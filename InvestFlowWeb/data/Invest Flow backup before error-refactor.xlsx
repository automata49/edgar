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380" yWindow="1845" windowWidth="23670" windowHeight="12945" tabRatio="600" firstSheet="0" activeTab="2" autoFilterDateGrouping="1"/>
  </bookViews>
  <sheets>
    <sheet name="뱅샐현황" sheetId="1" state="visible" r:id="rId1"/>
    <sheet name="대시보드" sheetId="2" state="visible" r:id="rId2"/>
    <sheet name="관심종목" sheetId="3" state="visible" r:id="rId3"/>
    <sheet name="차트데이터" sheetId="4" state="hidden" r:id="rId4"/>
    <sheet name="이벤트 관리" sheetId="5" state="visible" r:id="rId5"/>
    <sheet name="BD" sheetId="6" state="visible" r:id="rId6"/>
    <sheet name="시트4" sheetId="7" state="visible" r:id="rId7"/>
  </sheets>
  <definedNames>
    <definedName name="_xlnm._FilterDatabase" localSheetId="4" hidden="1">'이벤트 관리'!$A$1:$K$104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mmmm&quot; &quot;d&quot;, &quot;yyyy"/>
    <numFmt numFmtId="165" formatCode="#,##0.00;\-#,##0.00;\-"/>
    <numFmt numFmtId="166" formatCode="\+0.00;\-0.00;&quot;-&quot;"/>
    <numFmt numFmtId="167" formatCode="\+0.00%;\-0.00%;\-"/>
    <numFmt numFmtId="168" formatCode="#,##0.00;#\-##0.00;\-"/>
    <numFmt numFmtId="169" formatCode="[$₩]#,##0"/>
    <numFmt numFmtId="170" formatCode="\+#,##0.00;#\-##0.00;#,\-"/>
    <numFmt numFmtId="171" formatCode="#,##0,,&quot;M&quot;"/>
    <numFmt numFmtId="172" formatCode="mmm&quot; &quot;d&quot;, &quot;yyyy"/>
    <numFmt numFmtId="173" formatCode="0.000"/>
    <numFmt numFmtId="174" formatCode="0.0000"/>
    <numFmt numFmtId="175" formatCode="yyyy\-mm\-dd"/>
    <numFmt numFmtId="176" formatCode="#,##0.00\ &quot;%&quot;\ "/>
    <numFmt numFmtId="177" formatCode="yyyy-mm-dd"/>
    <numFmt numFmtId="178" formatCode="hh:mm"/>
  </numFmts>
  <fonts count="74">
    <font>
      <name val="Arial"/>
      <color rgb="FF000000"/>
      <sz val="10"/>
      <scheme val="minor"/>
    </font>
    <font>
      <name val="Arial"/>
      <color theme="1"/>
      <sz val="10"/>
    </font>
    <font>
      <name val="Roboto"/>
      <color rgb="FF000000"/>
      <sz val="10"/>
    </font>
    <font>
      <name val="Roboto"/>
      <b val="1"/>
      <i val="1"/>
      <color rgb="FFFFFFFF"/>
      <sz val="10"/>
    </font>
    <font>
      <name val="Arial"/>
      <color rgb="FF000000"/>
      <sz val="10"/>
      <scheme val="minor"/>
    </font>
    <font>
      <name val="Roboto"/>
      <b val="1"/>
      <color rgb="FFFFFFFF"/>
      <sz val="8"/>
    </font>
    <font>
      <name val="Roboto"/>
      <color rgb="FFFFFFFF"/>
      <sz val="10"/>
      <u val="single"/>
    </font>
    <font>
      <name val="Roboto"/>
      <color theme="1"/>
      <sz val="18"/>
    </font>
    <font>
      <name val="Roboto"/>
      <color rgb="FF666666"/>
      <sz val="9"/>
    </font>
    <font>
      <name val="Roboto"/>
      <color theme="1"/>
      <sz val="10"/>
    </font>
    <font>
      <name val="Roboto"/>
      <color theme="1"/>
      <sz val="24"/>
    </font>
    <font>
      <name val="Roboto"/>
      <b val="1"/>
      <color theme="1"/>
      <sz val="10"/>
    </font>
    <font>
      <name val="Roboto"/>
      <b val="1"/>
      <color rgb="FF999999"/>
      <sz val="10"/>
    </font>
    <font>
      <name val="Roboto"/>
      <color theme="1"/>
      <sz val="10"/>
    </font>
    <font>
      <name val="Arial"/>
      <color rgb="FFFFFFFF"/>
      <sz val="10"/>
      <scheme val="minor"/>
    </font>
    <font>
      <name val="Inconsolata"/>
      <color rgb="FF7E3794"/>
      <sz val="11"/>
    </font>
    <font>
      <name val="Arial"/>
      <sz val="10"/>
    </font>
    <font>
      <name val="Roboto"/>
      <color rgb="FFFFFFFF"/>
      <sz val="10"/>
    </font>
    <font>
      <name val="Arial"/>
      <color rgb="FFFFFFFF"/>
      <sz val="10"/>
      <scheme val="minor"/>
    </font>
    <font>
      <name val="Arial"/>
      <color theme="1"/>
      <sz val="10"/>
      <scheme val="minor"/>
    </font>
    <font>
      <name val="Inconsolata"/>
      <color rgb="FFFFFFFF"/>
      <sz val="8"/>
    </font>
    <font>
      <name val="Arial"/>
      <color rgb="FFB7B7B7"/>
      <sz val="10"/>
      <scheme val="minor"/>
    </font>
    <font>
      <name val="Roboto"/>
      <color rgb="FFFFFFFF"/>
      <sz val="10"/>
      <u val="single"/>
    </font>
    <font>
      <name val="Inconsolata"/>
      <color rgb="FF000000"/>
      <sz val="11"/>
    </font>
    <font>
      <name val="Roboto"/>
      <color rgb="FFB7B7B7"/>
      <sz val="10"/>
    </font>
    <font>
      <name val="Roboto"/>
      <color theme="1"/>
      <sz val="36"/>
    </font>
    <font>
      <name val="Roboto"/>
      <color theme="1"/>
      <sz val="14"/>
    </font>
    <font>
      <name val="Inconsolata"/>
      <color rgb="FF11A9CC"/>
      <sz val="11"/>
    </font>
    <font>
      <name val="Inconsolata"/>
      <b val="1"/>
      <i val="1"/>
      <color rgb="FF000000"/>
      <sz val="11"/>
      <u val="single"/>
    </font>
    <font>
      <name val="Inconsolata"/>
      <color rgb="FF000000"/>
      <sz val="10"/>
    </font>
    <font>
      <name val="Inconsolata"/>
      <b val="1"/>
      <i val="1"/>
      <color rgb="FF000000"/>
      <sz val="11"/>
      <u val="single"/>
    </font>
    <font>
      <name val="Inconsolata"/>
      <b val="1"/>
      <i val="1"/>
      <color rgb="FF000000"/>
      <sz val="11"/>
      <u val="single"/>
    </font>
    <font>
      <name val="Inconsolata"/>
      <b val="1"/>
      <i val="1"/>
      <color rgb="FF000000"/>
      <sz val="11"/>
      <u val="single"/>
    </font>
    <font>
      <name val="Arial"/>
      <color rgb="FF666666"/>
      <sz val="10"/>
      <scheme val="minor"/>
    </font>
    <font>
      <name val="Roboto"/>
      <color theme="1"/>
      <sz val="12"/>
    </font>
    <font>
      <name val="Roboto"/>
      <color rgb="FFFFFFFF"/>
      <sz val="10"/>
    </font>
    <font>
      <name val="Roboto"/>
      <b val="1"/>
      <color theme="1"/>
      <sz val="10"/>
    </font>
    <font>
      <name val="Inconsolata"/>
      <b val="1"/>
      <i val="1"/>
      <color rgb="FF000000"/>
      <sz val="11"/>
      <u val="single"/>
    </font>
    <font>
      <name val="Arial"/>
      <color rgb="FF999999"/>
      <sz val="10"/>
      <scheme val="minor"/>
    </font>
    <font>
      <name val="Roboto"/>
      <b val="1"/>
      <i val="1"/>
      <color rgb="FF000000"/>
      <sz val="10"/>
      <u val="single"/>
    </font>
    <font>
      <name val="Inconsolata"/>
      <b val="1"/>
      <i val="1"/>
      <color rgb="FF000000"/>
      <sz val="11"/>
      <u val="single"/>
    </font>
    <font>
      <name val="Inconsolata"/>
      <color rgb="FF666666"/>
      <sz val="9"/>
    </font>
    <font>
      <name val="Inconsolata"/>
      <color rgb="FF000000"/>
      <sz val="9"/>
    </font>
    <font>
      <name val="Inconsolata"/>
      <color rgb="FF7E3794"/>
      <sz val="10"/>
    </font>
    <font>
      <name val="Roboto"/>
      <color rgb="FFFFFFFF"/>
      <sz val="7"/>
    </font>
    <font>
      <name val="Roboto"/>
      <color rgb="FF000000"/>
      <sz val="10"/>
    </font>
    <font>
      <name val="Inconsolata"/>
      <color rgb="FFFFFFFF"/>
      <sz val="11"/>
    </font>
    <font>
      <name val="Inconsolata"/>
      <color rgb="FFF7981D"/>
      <sz val="11"/>
    </font>
    <font>
      <name val="Roboto"/>
      <color rgb="FF11A9CC"/>
      <sz val="10"/>
    </font>
    <font>
      <name val="Roboto"/>
      <b val="1"/>
      <i val="1"/>
      <color rgb="FF000000"/>
      <sz val="10"/>
      <u val="single"/>
    </font>
    <font>
      <name val="Roboto"/>
      <b val="1"/>
      <i val="1"/>
      <color rgb="FF000000"/>
      <sz val="10"/>
      <u val="single"/>
    </font>
    <font>
      <name val="Roboto"/>
      <color rgb="FF666666"/>
      <sz val="10"/>
    </font>
    <font>
      <name val="Inconsolata"/>
      <color rgb="FF434343"/>
      <sz val="9"/>
    </font>
    <font>
      <name val="Arial"/>
      <color rgb="FF434343"/>
      <sz val="9"/>
    </font>
    <font>
      <name val="Inconsolata"/>
      <color rgb="FF666666"/>
      <sz val="10"/>
    </font>
    <font>
      <name val="Roboto"/>
      <color rgb="FFFFFFFF"/>
      <sz val="8"/>
    </font>
    <font>
      <name val="Roboto"/>
      <color rgb="FF666666"/>
      <sz val="10"/>
    </font>
    <font>
      <name val="Inconsolata"/>
      <color rgb="FF666666"/>
      <sz val="11"/>
    </font>
    <font>
      <name val="Inconsolata"/>
      <color rgb="FF999999"/>
      <sz val="11"/>
    </font>
    <font>
      <name val="Arial"/>
      <b val="1"/>
      <color rgb="FFF5773D"/>
      <sz val="11"/>
      <scheme val="minor"/>
    </font>
    <font>
      <name val="Arial"/>
      <color rgb="FF000000"/>
      <sz val="11"/>
      <scheme val="minor"/>
    </font>
    <font>
      <name val="Roboto"/>
      <b val="1"/>
      <color rgb="FFF5773D"/>
      <sz val="10"/>
    </font>
    <font>
      <name val="Roboto"/>
      <b val="1"/>
      <i val="1"/>
      <color rgb="FF000000"/>
      <sz val="11"/>
      <u val="single"/>
    </font>
    <font>
      <name val="Roboto"/>
      <b val="1"/>
      <i val="1"/>
      <color rgb="FF666666"/>
      <sz val="10"/>
      <u val="single"/>
    </font>
    <font>
      <name val="Roboto"/>
      <b val="1"/>
      <color rgb="FF000000"/>
      <sz val="10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  <scheme val="minor"/>
    </font>
    <font>
      <name val="Arial"/>
      <charset val="129"/>
      <family val="3"/>
      <sz val="8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FFFFFF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2"/>
    </font>
    <font>
      <b val="1"/>
    </font>
  </fonts>
  <fills count="2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  <fill>
      <patternFill patternType="solid">
        <fgColor rgb="FFF5773D"/>
        <bgColor rgb="FFF5773D"/>
      </patternFill>
    </fill>
    <fill>
      <patternFill patternType="solid">
        <fgColor rgb="FFB7B7B7"/>
        <bgColor rgb="FFB7B7B7"/>
      </patternFill>
    </fill>
    <fill>
      <patternFill patternType="solid">
        <fgColor rgb="FFFCFCBF"/>
        <bgColor rgb="FFFCFCBF"/>
      </patternFill>
    </fill>
    <fill>
      <patternFill patternType="solid">
        <fgColor rgb="FFD9D9D9"/>
        <bgColor rgb="FFD9D9D9"/>
      </patternFill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D9D9D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tted">
        <color rgb="FFD9D9D9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CCCCCC"/>
      </left>
      <right/>
      <top style="thin">
        <color rgb="FFFFFFFF"/>
      </top>
      <bottom/>
      <diagonal/>
    </border>
    <border>
      <left/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ck">
        <color rgb="FFCCCCCC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/>
      <top style="thin">
        <color rgb="FFFFFFFF"/>
      </top>
      <bottom style="thin">
        <color rgb="FFEFEFEF"/>
      </bottom>
      <diagonal/>
    </border>
    <border>
      <left style="thin">
        <color rgb="FFF3F3F3"/>
      </left>
      <right/>
      <top/>
      <bottom style="thin">
        <color rgb="FFF3F3F3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FFFFF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CCCCCC"/>
      </left>
      <right style="thin">
        <color rgb="FFFFFFFF"/>
      </right>
      <top/>
      <bottom style="thin">
        <color rgb="FFFFFFFF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CCCCCC"/>
      </left>
      <right/>
      <top/>
      <bottom/>
      <diagonal/>
    </border>
    <border>
      <left style="hair">
        <color rgb="FFFDA780"/>
      </left>
      <right/>
      <top style="hair">
        <color rgb="FFFDA780"/>
      </top>
      <bottom/>
      <diagonal/>
    </border>
    <border>
      <left/>
      <right/>
      <top style="hair">
        <color rgb="FFFDA780"/>
      </top>
      <bottom/>
      <diagonal/>
    </border>
    <border>
      <left/>
      <right style="hair">
        <color rgb="FFFDA780"/>
      </right>
      <top style="hair">
        <color rgb="FFFDA780"/>
      </top>
      <bottom/>
      <diagonal/>
    </border>
    <border>
      <left style="hair">
        <color rgb="FFFDA780"/>
      </left>
      <right/>
      <top/>
      <bottom style="hair">
        <color rgb="FFFDA780"/>
      </bottom>
      <diagonal/>
    </border>
    <border>
      <left/>
      <right/>
      <top/>
      <bottom style="hair">
        <color rgb="FFFDA780"/>
      </bottom>
      <diagonal/>
    </border>
    <border>
      <left/>
      <right style="hair">
        <color rgb="FFFDA780"/>
      </right>
      <top/>
      <bottom style="hair">
        <color rgb="FFFDA780"/>
      </bottom>
      <diagonal/>
    </border>
    <border>
      <left style="thick">
        <color rgb="FFCCCCCC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FDA780"/>
      </left>
      <right/>
      <top style="hair">
        <color rgb="FFFDA780"/>
      </top>
      <bottom style="hair">
        <color rgb="FFFDA780"/>
      </bottom>
      <diagonal/>
    </border>
    <border>
      <left/>
      <right/>
      <top style="hair">
        <color rgb="FFFDA780"/>
      </top>
      <bottom style="hair">
        <color rgb="FFFDA780"/>
      </bottom>
      <diagonal/>
    </border>
    <border>
      <left/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 style="thick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hair">
        <color rgb="FFFFFFFF"/>
      </right>
      <top/>
      <bottom style="thin">
        <color rgb="FFFFFFFF"/>
      </bottom>
      <diagonal/>
    </border>
    <border>
      <left style="thick">
        <color rgb="FFCCCCCC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FFFFF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/>
      <bottom style="thin">
        <color rgb="FFEFEFEF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medium">
        <color rgb="FFF5773D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hair">
        <color rgb="FFFDA780"/>
      </left>
      <right style="thin">
        <color rgb="FFFFFFFF"/>
      </right>
      <top style="hair">
        <color rgb="FFFDA780"/>
      </top>
      <bottom style="hair">
        <color rgb="FFFDA780"/>
      </bottom>
      <diagonal/>
    </border>
    <border>
      <left style="thin">
        <color rgb="FFFFFFFF"/>
      </left>
      <right style="hair">
        <color rgb="FFFFFFFF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/>
      <top style="hair">
        <color rgb="FFFDA780"/>
      </top>
      <bottom style="hair">
        <color rgb="FFFDA780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rgb="FFEFEFEF"/>
      </left>
      <right style="thick">
        <color rgb="FFFFFFFF"/>
      </right>
      <top style="thin">
        <color rgb="FFFFFFFF"/>
      </top>
      <bottom style="thin">
        <color rgb="FFEFEFEF"/>
      </bottom>
      <diagonal/>
    </border>
    <border>
      <left/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/>
      <top style="thin">
        <color rgb="FFF3F3F3"/>
      </top>
      <bottom style="medium">
        <color rgb="FFF5773D"/>
      </bottom>
      <diagonal/>
    </border>
    <border>
      <left/>
      <right/>
      <top/>
      <bottom style="medium">
        <color rgb="FFF5773D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rgb="FFFDA780"/>
      </left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hair">
        <color rgb="FFFDA780"/>
      </left>
      <right/>
      <top/>
      <bottom/>
      <diagonal/>
    </border>
    <border>
      <left/>
      <right style="hair">
        <color rgb="FFFDA780"/>
      </right>
      <top/>
      <bottom/>
      <diagonal/>
    </border>
    <border>
      <left style="thick">
        <color rgb="FFCCCCCC"/>
      </left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bottom style="thin">
        <color rgb="00D9E2F3"/>
      </bottom>
    </border>
    <border>
      <bottom style="hair">
        <color rgb="00E7E6E6"/>
      </bottom>
    </border>
  </borders>
  <cellStyleXfs count="3">
    <xf numFmtId="0" fontId="4" fillId="0" borderId="14"/>
    <xf numFmtId="0" fontId="65" fillId="0" borderId="14"/>
    <xf numFmtId="0" fontId="71" fillId="0" borderId="14"/>
  </cellStyleXfs>
  <cellXfs count="5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2" fontId="1" fillId="0" borderId="0" pivotButton="0" quotePrefix="0" xfId="0"/>
    <xf numFmtId="10" fontId="1" fillId="0" borderId="0" pivotButton="0" quotePrefix="0" xfId="0"/>
    <xf numFmtId="164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0" fillId="0" borderId="0" applyAlignment="1" pivotButton="0" quotePrefix="0" xfId="0">
      <alignment horizontal="left"/>
    </xf>
    <xf numFmtId="4" fontId="10" fillId="0" borderId="0" applyAlignment="1" pivotButton="0" quotePrefix="0" xfId="0">
      <alignment horizontal="left"/>
    </xf>
    <xf numFmtId="2" fontId="9" fillId="0" borderId="0" pivotButton="0" quotePrefix="0" xfId="0"/>
    <xf numFmtId="10" fontId="9" fillId="0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wrapText="1"/>
    </xf>
    <xf numFmtId="10" fontId="12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 wrapText="1"/>
    </xf>
    <xf numFmtId="0" fontId="13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165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2" fontId="13" fillId="0" borderId="0" applyAlignment="1" pivotButton="0" quotePrefix="0" xfId="0">
      <alignment horizontal="right"/>
    </xf>
    <xf numFmtId="10" fontId="13" fillId="0" borderId="0" applyAlignment="1" pivotButton="0" quotePrefix="0" xfId="0">
      <alignment horizontal="right"/>
    </xf>
    <xf numFmtId="9" fontId="13" fillId="0" borderId="0" applyAlignment="1" pivotButton="0" quotePrefix="0" xfId="0">
      <alignment horizontal="center" vertical="center"/>
    </xf>
    <xf numFmtId="0" fontId="13" fillId="0" borderId="2" pivotButton="0" quotePrefix="0" xfId="0"/>
    <xf numFmtId="0" fontId="13" fillId="0" borderId="2" pivotButton="0" quotePrefix="0" xfId="0"/>
    <xf numFmtId="165" fontId="13" fillId="0" borderId="2" applyAlignment="1" pivotButton="0" quotePrefix="0" xfId="0">
      <alignment horizontal="right"/>
    </xf>
    <xf numFmtId="165" fontId="13" fillId="0" borderId="2" applyAlignment="1" pivotButton="0" quotePrefix="0" xfId="0">
      <alignment horizontal="right"/>
    </xf>
    <xf numFmtId="166" fontId="13" fillId="0" borderId="2" applyAlignment="1" pivotButton="0" quotePrefix="0" xfId="0">
      <alignment horizontal="right"/>
    </xf>
    <xf numFmtId="167" fontId="13" fillId="0" borderId="2" applyAlignment="1" pivotButton="0" quotePrefix="0" xfId="0">
      <alignment horizontal="right"/>
    </xf>
    <xf numFmtId="168" fontId="13" fillId="0" borderId="3" applyAlignment="1" pivotButton="0" quotePrefix="0" xfId="0">
      <alignment horizontal="right"/>
    </xf>
    <xf numFmtId="0" fontId="13" fillId="0" borderId="0" applyAlignment="1" pivotButton="0" quotePrefix="0" xfId="0">
      <alignment horizontal="center" vertical="center"/>
    </xf>
    <xf numFmtId="10" fontId="15" fillId="0" borderId="0" pivotButton="0" quotePrefix="0" xfId="0"/>
    <xf numFmtId="165" fontId="13" fillId="0" borderId="0" applyAlignment="1" pivotButton="0" quotePrefix="0" xfId="0">
      <alignment horizontal="right"/>
    </xf>
    <xf numFmtId="168" fontId="13" fillId="0" borderId="5" applyAlignment="1" pivotButton="0" quotePrefix="0" xfId="0">
      <alignment horizontal="right"/>
    </xf>
    <xf numFmtId="0" fontId="17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3" fillId="2" borderId="6" pivotButton="0" quotePrefix="0" xfId="0"/>
    <xf numFmtId="0" fontId="18" fillId="3" borderId="7" applyAlignment="1" pivotButton="0" quotePrefix="0" xfId="0">
      <alignment horizontal="left" vertical="center"/>
    </xf>
    <xf numFmtId="169" fontId="18" fillId="3" borderId="7" applyAlignment="1" pivotButton="0" quotePrefix="0" xfId="0">
      <alignment horizontal="right" vertical="center"/>
    </xf>
    <xf numFmtId="169" fontId="18" fillId="2" borderId="8" applyAlignment="1" pivotButton="0" quotePrefix="0" xfId="0">
      <alignment horizontal="right" vertical="center"/>
    </xf>
    <xf numFmtId="0" fontId="13" fillId="0" borderId="8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7" fillId="3" borderId="7" applyAlignment="1" pivotButton="0" quotePrefix="0" xfId="0">
      <alignment horizontal="left" vertical="center"/>
    </xf>
    <xf numFmtId="169" fontId="17" fillId="3" borderId="7" pivotButton="0" quotePrefix="0" xfId="0"/>
    <xf numFmtId="0" fontId="13" fillId="0" borderId="6" pivotButton="0" quotePrefix="0" xfId="0"/>
    <xf numFmtId="0" fontId="13" fillId="0" borderId="9" pivotButton="0" quotePrefix="0" xfId="0"/>
    <xf numFmtId="0" fontId="13" fillId="0" borderId="7" pivotButton="0" quotePrefix="0" xfId="0"/>
    <xf numFmtId="0" fontId="19" fillId="0" borderId="10" pivotButton="0" quotePrefix="0" xfId="0"/>
    <xf numFmtId="0" fontId="19" fillId="0" borderId="11" pivotButton="0" quotePrefix="0" xfId="0"/>
    <xf numFmtId="0" fontId="19" fillId="0" borderId="12" pivotButton="0" quotePrefix="0" xfId="0"/>
    <xf numFmtId="0" fontId="19" fillId="0" borderId="7" pivotButton="0" quotePrefix="0" xfId="0"/>
    <xf numFmtId="0" fontId="20" fillId="3" borderId="7" applyAlignment="1" pivotButton="0" quotePrefix="0" xfId="0">
      <alignment horizontal="left" vertical="center"/>
    </xf>
    <xf numFmtId="0" fontId="1" fillId="4" borderId="0" pivotButton="0" quotePrefix="0" xfId="0"/>
    <xf numFmtId="169" fontId="17" fillId="3" borderId="7" applyAlignment="1" pivotButton="0" quotePrefix="0" xfId="0">
      <alignment horizontal="right" vertical="center"/>
    </xf>
    <xf numFmtId="0" fontId="19" fillId="2" borderId="8" pivotButton="0" quotePrefix="0" xfId="0"/>
    <xf numFmtId="0" fontId="5" fillId="4" borderId="0" pivotButton="0" quotePrefix="0" xfId="0"/>
    <xf numFmtId="0" fontId="13" fillId="0" borderId="7" pivotButton="0" quotePrefix="0" xfId="0"/>
    <xf numFmtId="0" fontId="19" fillId="0" borderId="8" pivotButton="0" quotePrefix="0" xfId="0"/>
    <xf numFmtId="0" fontId="19" fillId="0" borderId="6" pivotButton="0" quotePrefix="0" xfId="0"/>
    <xf numFmtId="0" fontId="21" fillId="0" borderId="13" applyAlignment="1" pivotButton="0" quotePrefix="0" xfId="0">
      <alignment horizontal="left" vertical="center" wrapText="1"/>
    </xf>
    <xf numFmtId="0" fontId="22" fillId="4" borderId="0" applyAlignment="1" pivotButton="0" quotePrefix="0" xfId="0">
      <alignment vertical="top"/>
    </xf>
    <xf numFmtId="0" fontId="23" fillId="2" borderId="0" applyAlignment="1" pivotButton="0" quotePrefix="0" xfId="0">
      <alignment horizontal="left"/>
    </xf>
    <xf numFmtId="169" fontId="17" fillId="2" borderId="8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/>
    </xf>
    <xf numFmtId="0" fontId="24" fillId="0" borderId="14" pivotButton="0" quotePrefix="0" xfId="0"/>
    <xf numFmtId="0" fontId="1" fillId="6" borderId="0" pivotButton="0" quotePrefix="0" xfId="0"/>
    <xf numFmtId="0" fontId="19" fillId="0" borderId="15" pivotButton="0" quotePrefix="0" xfId="0"/>
    <xf numFmtId="0" fontId="19" fillId="0" borderId="16" pivotButton="0" quotePrefix="0" xfId="0"/>
    <xf numFmtId="0" fontId="1" fillId="0" borderId="14" pivotButton="0" quotePrefix="0" xfId="0"/>
    <xf numFmtId="0" fontId="13" fillId="2" borderId="7" pivotButton="0" quotePrefix="0" xfId="0"/>
    <xf numFmtId="0" fontId="17" fillId="2" borderId="7" pivotButton="0" quotePrefix="0" xfId="0"/>
    <xf numFmtId="0" fontId="13" fillId="0" borderId="7" applyAlignment="1" pivotButton="0" quotePrefix="0" xfId="0">
      <alignment vertical="center"/>
    </xf>
    <xf numFmtId="0" fontId="13" fillId="0" borderId="18" pivotButton="0" quotePrefix="0" xfId="0"/>
    <xf numFmtId="0" fontId="8" fillId="0" borderId="0" pivotButton="0" quotePrefix="0" xfId="0"/>
    <xf numFmtId="0" fontId="2" fillId="2" borderId="7" applyAlignment="1" pivotButton="0" quotePrefix="0" xfId="0">
      <alignment horizontal="left"/>
    </xf>
    <xf numFmtId="0" fontId="13" fillId="0" borderId="18" pivotButton="0" quotePrefix="0" xfId="0"/>
    <xf numFmtId="0" fontId="13" fillId="0" borderId="6" applyAlignment="1" pivotButton="0" quotePrefix="0" xfId="0">
      <alignment vertical="center"/>
    </xf>
    <xf numFmtId="165" fontId="13" fillId="0" borderId="18" applyAlignment="1" pivotButton="0" quotePrefix="0" xfId="0">
      <alignment horizontal="right"/>
    </xf>
    <xf numFmtId="0" fontId="13" fillId="0" borderId="19" applyAlignment="1" pivotButton="0" quotePrefix="0" xfId="0">
      <alignment vertical="center"/>
    </xf>
    <xf numFmtId="165" fontId="13" fillId="0" borderId="18" applyAlignment="1" pivotButton="0" quotePrefix="0" xfId="0">
      <alignment horizontal="right"/>
    </xf>
    <xf numFmtId="0" fontId="2" fillId="2" borderId="20" applyAlignment="1" pivotButton="0" quotePrefix="0" xfId="0">
      <alignment horizontal="left"/>
    </xf>
    <xf numFmtId="166" fontId="13" fillId="0" borderId="18" applyAlignment="1" pivotButton="0" quotePrefix="0" xfId="0">
      <alignment horizontal="right"/>
    </xf>
    <xf numFmtId="167" fontId="13" fillId="0" borderId="18" applyAlignment="1" pivotButton="0" quotePrefix="0" xfId="0">
      <alignment horizontal="right"/>
    </xf>
    <xf numFmtId="170" fontId="26" fillId="0" borderId="0" applyAlignment="1" pivotButton="0" quotePrefix="0" xfId="0">
      <alignment horizontal="left" vertical="center"/>
    </xf>
    <xf numFmtId="168" fontId="13" fillId="0" borderId="21" applyAlignment="1" pivotButton="0" quotePrefix="0" xfId="0">
      <alignment horizontal="right"/>
    </xf>
    <xf numFmtId="10" fontId="23" fillId="0" borderId="0" applyAlignment="1" pivotButton="0" quotePrefix="0" xfId="0">
      <alignment horizontal="right"/>
    </xf>
    <xf numFmtId="167" fontId="26" fillId="0" borderId="0" applyAlignment="1" pivotButton="0" quotePrefix="0" xfId="0">
      <alignment horizontal="left" vertical="center"/>
    </xf>
    <xf numFmtId="10" fontId="27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 vertical="center" wrapText="1"/>
    </xf>
    <xf numFmtId="0" fontId="9" fillId="0" borderId="23" pivotButton="0" quotePrefix="0" xfId="0"/>
    <xf numFmtId="0" fontId="31" fillId="2" borderId="7" applyAlignment="1" pivotButton="0" quotePrefix="0" xfId="0">
      <alignment horizontal="left"/>
    </xf>
    <xf numFmtId="0" fontId="2" fillId="2" borderId="7" applyAlignment="1" pivotButton="0" quotePrefix="0" xfId="0">
      <alignment horizontal="left"/>
    </xf>
    <xf numFmtId="0" fontId="17" fillId="2" borderId="7" applyAlignment="1" pivotButton="0" quotePrefix="0" xfId="0">
      <alignment horizontal="center"/>
    </xf>
    <xf numFmtId="0" fontId="17" fillId="7" borderId="25" applyAlignment="1" pivotButton="0" quotePrefix="0" xfId="0">
      <alignment horizontal="center" vertical="center" wrapText="1"/>
    </xf>
    <xf numFmtId="0" fontId="32" fillId="2" borderId="10" applyAlignment="1" pivotButton="0" quotePrefix="0" xfId="0">
      <alignment horizontal="left" vertical="top" wrapText="1"/>
    </xf>
    <xf numFmtId="0" fontId="33" fillId="7" borderId="26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/>
    </xf>
    <xf numFmtId="171" fontId="34" fillId="0" borderId="0" applyAlignment="1" pivotButton="0" quotePrefix="0" xfId="0">
      <alignment horizontal="left" vertical="center"/>
    </xf>
    <xf numFmtId="4" fontId="34" fillId="0" borderId="0" applyAlignment="1" pivotButton="0" quotePrefix="0" xfId="0">
      <alignment horizontal="left" vertical="center"/>
    </xf>
    <xf numFmtId="0" fontId="17" fillId="7" borderId="29" applyAlignment="1" pivotButton="0" quotePrefix="0" xfId="0">
      <alignment horizontal="center" wrapText="1"/>
    </xf>
    <xf numFmtId="0" fontId="14" fillId="7" borderId="26" applyAlignment="1" pivotButton="0" quotePrefix="0" xfId="0">
      <alignment horizontal="center" vertical="center" wrapText="1"/>
    </xf>
    <xf numFmtId="0" fontId="17" fillId="7" borderId="30" applyAlignment="1" pivotButton="0" quotePrefix="0" xfId="0">
      <alignment horizontal="center" vertical="center"/>
    </xf>
    <xf numFmtId="0" fontId="14" fillId="7" borderId="31" applyAlignment="1" pivotButton="0" quotePrefix="0" xfId="0">
      <alignment horizontal="center" vertical="center" wrapText="1"/>
    </xf>
    <xf numFmtId="0" fontId="14" fillId="7" borderId="32" applyAlignment="1" pivotButton="0" quotePrefix="0" xfId="0">
      <alignment horizontal="center" wrapText="1"/>
    </xf>
    <xf numFmtId="0" fontId="33" fillId="7" borderId="33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/>
    </xf>
    <xf numFmtId="0" fontId="9" fillId="0" borderId="34" pivotButton="0" quotePrefix="0" xfId="0"/>
    <xf numFmtId="0" fontId="14" fillId="7" borderId="33" applyAlignment="1" pivotButton="0" quotePrefix="0" xfId="0">
      <alignment horizontal="center" wrapText="1"/>
    </xf>
    <xf numFmtId="0" fontId="13" fillId="8" borderId="35" applyAlignment="1" pivotButton="0" quotePrefix="0" xfId="0">
      <alignment horizontal="center" vertical="center"/>
    </xf>
    <xf numFmtId="2" fontId="2" fillId="2" borderId="30" applyAlignment="1" pivotButton="0" quotePrefix="0" xfId="0">
      <alignment horizontal="center" vertical="center"/>
    </xf>
    <xf numFmtId="0" fontId="35" fillId="0" borderId="0" pivotButton="0" quotePrefix="0" xfId="0"/>
    <xf numFmtId="0" fontId="17" fillId="7" borderId="20" applyAlignment="1" pivotButton="0" quotePrefix="0" xfId="0">
      <alignment horizontal="left"/>
    </xf>
    <xf numFmtId="10" fontId="2" fillId="0" borderId="0" applyAlignment="1" pivotButton="0" quotePrefix="0" xfId="0">
      <alignment horizontal="right" vertical="center"/>
    </xf>
    <xf numFmtId="0" fontId="17" fillId="7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2" fillId="8" borderId="20" applyAlignment="1" pivotButton="0" quotePrefix="0" xfId="0">
      <alignment horizontal="center"/>
    </xf>
    <xf numFmtId="0" fontId="36" fillId="0" borderId="0" pivotButton="0" quotePrefix="0" xfId="0"/>
    <xf numFmtId="10" fontId="13" fillId="0" borderId="7" applyAlignment="1" pivotButton="0" quotePrefix="0" xfId="0">
      <alignment horizontal="center"/>
    </xf>
    <xf numFmtId="0" fontId="37" fillId="2" borderId="36" applyAlignment="1" pivotButton="0" quotePrefix="0" xfId="0">
      <alignment horizontal="left"/>
    </xf>
    <xf numFmtId="0" fontId="36" fillId="0" borderId="18" pivotButton="0" quotePrefix="0" xfId="0"/>
    <xf numFmtId="0" fontId="36" fillId="0" borderId="18" applyAlignment="1" pivotButton="0" quotePrefix="0" xfId="0">
      <alignment horizontal="right"/>
    </xf>
    <xf numFmtId="0" fontId="2" fillId="8" borderId="37" applyAlignment="1" pivotButton="0" quotePrefix="0" xfId="0">
      <alignment horizontal="center"/>
    </xf>
    <xf numFmtId="172" fontId="13" fillId="0" borderId="0" applyAlignment="1" pivotButton="0" quotePrefix="0" xfId="0">
      <alignment horizontal="left"/>
    </xf>
    <xf numFmtId="10" fontId="13" fillId="0" borderId="38" applyAlignment="1" pivotButton="0" quotePrefix="0" xfId="0">
      <alignment horizontal="center"/>
    </xf>
    <xf numFmtId="4" fontId="13" fillId="0" borderId="0" pivotButton="0" quotePrefix="0" xfId="0"/>
    <xf numFmtId="0" fontId="13" fillId="8" borderId="39" applyAlignment="1" pivotButton="0" quotePrefix="0" xfId="0">
      <alignment horizontal="center" vertical="center"/>
    </xf>
    <xf numFmtId="3" fontId="13" fillId="0" borderId="0" pivotButton="0" quotePrefix="0" xfId="0"/>
    <xf numFmtId="2" fontId="2" fillId="2" borderId="40" applyAlignment="1" pivotButton="0" quotePrefix="0" xfId="0">
      <alignment horizontal="center" vertical="center"/>
    </xf>
    <xf numFmtId="0" fontId="2" fillId="3" borderId="41" applyAlignment="1" pivotButton="0" quotePrefix="0" xfId="0">
      <alignment horizontal="center" vertical="center" wrapText="1"/>
    </xf>
    <xf numFmtId="0" fontId="19" fillId="0" borderId="42" pivotButton="0" quotePrefix="0" xfId="0"/>
    <xf numFmtId="165" fontId="38" fillId="0" borderId="43" applyAlignment="1" pivotButton="0" quotePrefix="0" xfId="0">
      <alignment horizontal="right" vertical="center" wrapText="1"/>
    </xf>
    <xf numFmtId="4" fontId="38" fillId="0" borderId="43" pivotButton="0" quotePrefix="0" xfId="0"/>
    <xf numFmtId="0" fontId="19" fillId="0" borderId="45" pivotButton="0" quotePrefix="0" xfId="0"/>
    <xf numFmtId="0" fontId="40" fillId="2" borderId="7" applyAlignment="1" pivotButton="0" quotePrefix="0" xfId="0">
      <alignment horizontal="left" vertical="top"/>
    </xf>
    <xf numFmtId="0" fontId="2" fillId="2" borderId="6" applyAlignment="1" pivotButton="0" quotePrefix="0" xfId="0">
      <alignment horizontal="left"/>
    </xf>
    <xf numFmtId="0" fontId="29" fillId="2" borderId="53" applyAlignment="1" pivotButton="0" quotePrefix="0" xfId="0">
      <alignment vertical="top"/>
    </xf>
    <xf numFmtId="10" fontId="15" fillId="0" borderId="0" applyAlignment="1" pivotButton="0" quotePrefix="0" xfId="0">
      <alignment horizontal="right" vertical="center"/>
    </xf>
    <xf numFmtId="169" fontId="29" fillId="2" borderId="54" applyAlignment="1" pivotButton="0" quotePrefix="0" xfId="0">
      <alignment vertical="top" wrapText="1"/>
    </xf>
    <xf numFmtId="0" fontId="13" fillId="0" borderId="8" pivotButton="0" quotePrefix="0" xfId="0"/>
    <xf numFmtId="0" fontId="19" fillId="0" borderId="36" pivotButton="0" quotePrefix="0" xfId="0"/>
    <xf numFmtId="0" fontId="42" fillId="2" borderId="55" applyAlignment="1" pivotButton="0" quotePrefix="0" xfId="0">
      <alignment horizontal="left" vertical="center"/>
    </xf>
    <xf numFmtId="0" fontId="43" fillId="0" borderId="0" pivotButton="0" quotePrefix="0" xfId="0"/>
    <xf numFmtId="173" fontId="15" fillId="0" borderId="0" pivotButton="0" quotePrefix="0" xfId="0"/>
    <xf numFmtId="0" fontId="29" fillId="0" borderId="0" applyAlignment="1" pivotButton="0" quotePrefix="0" xfId="0">
      <alignment vertical="center" wrapText="1"/>
    </xf>
    <xf numFmtId="0" fontId="2" fillId="2" borderId="42" applyAlignment="1" pivotButton="0" quotePrefix="0" xfId="0">
      <alignment horizontal="left"/>
    </xf>
    <xf numFmtId="0" fontId="13" fillId="0" borderId="12" pivotButton="0" quotePrefix="0" xfId="0"/>
    <xf numFmtId="2" fontId="4" fillId="0" borderId="43" applyAlignment="1" pivotButton="0" quotePrefix="0" xfId="0">
      <alignment horizontal="right" vertical="center" wrapText="1"/>
    </xf>
    <xf numFmtId="0" fontId="19" fillId="0" borderId="8" pivotButton="0" quotePrefix="0" xfId="0"/>
    <xf numFmtId="2" fontId="4" fillId="0" borderId="58" applyAlignment="1" pivotButton="0" quotePrefix="0" xfId="0">
      <alignment horizontal="right" vertical="center" wrapText="1"/>
    </xf>
    <xf numFmtId="0" fontId="2" fillId="2" borderId="59" applyAlignment="1" pivotButton="0" quotePrefix="0" xfId="0">
      <alignment horizontal="left"/>
    </xf>
    <xf numFmtId="0" fontId="13" fillId="0" borderId="60" pivotButton="0" quotePrefix="0" xfId="0"/>
    <xf numFmtId="10" fontId="38" fillId="0" borderId="0" applyAlignment="1" pivotButton="0" quotePrefix="0" xfId="0">
      <alignment horizontal="right" vertical="center" wrapText="1"/>
    </xf>
    <xf numFmtId="0" fontId="43" fillId="0" borderId="0" pivotButton="0" quotePrefix="0" xfId="0"/>
    <xf numFmtId="0" fontId="17" fillId="7" borderId="61" applyAlignment="1" pivotButton="0" quotePrefix="0" xfId="0">
      <alignment horizontal="center"/>
    </xf>
    <xf numFmtId="0" fontId="17" fillId="7" borderId="62" applyAlignment="1" pivotButton="0" quotePrefix="0" xfId="0">
      <alignment horizontal="center" vertical="center"/>
    </xf>
    <xf numFmtId="0" fontId="17" fillId="7" borderId="63" applyAlignment="1" pivotButton="0" quotePrefix="0" xfId="0">
      <alignment horizontal="center" vertical="center" wrapText="1"/>
    </xf>
    <xf numFmtId="0" fontId="44" fillId="7" borderId="64" applyAlignment="1" pivotButton="0" quotePrefix="0" xfId="0">
      <alignment horizontal="center" vertical="center" wrapText="1"/>
    </xf>
    <xf numFmtId="174" fontId="38" fillId="0" borderId="0" applyAlignment="1" pivotButton="0" quotePrefix="0" xfId="0">
      <alignment horizontal="right" vertical="center" wrapText="1"/>
    </xf>
    <xf numFmtId="0" fontId="17" fillId="7" borderId="64" applyAlignment="1" pivotButton="0" quotePrefix="0" xfId="0">
      <alignment horizontal="center" vertical="center"/>
    </xf>
    <xf numFmtId="0" fontId="17" fillId="7" borderId="65" applyAlignment="1" pivotButton="0" quotePrefix="0" xfId="0">
      <alignment horizontal="center" vertical="center" wrapText="1"/>
    </xf>
    <xf numFmtId="0" fontId="13" fillId="8" borderId="66" applyAlignment="1" pivotButton="0" quotePrefix="0" xfId="0">
      <alignment horizontal="center"/>
    </xf>
    <xf numFmtId="10" fontId="2" fillId="2" borderId="67" applyAlignment="1" pivotButton="0" quotePrefix="0" xfId="0">
      <alignment horizontal="center" vertical="center"/>
    </xf>
    <xf numFmtId="0" fontId="2" fillId="2" borderId="7" applyAlignment="1" pivotButton="0" quotePrefix="0" xfId="0">
      <alignment horizontal="left" vertical="center"/>
    </xf>
    <xf numFmtId="2" fontId="4" fillId="0" borderId="0" applyAlignment="1" pivotButton="0" quotePrefix="0" xfId="0">
      <alignment horizontal="right" vertical="center" wrapText="1"/>
    </xf>
    <xf numFmtId="0" fontId="13" fillId="8" borderId="68" applyAlignment="1" pivotButton="0" quotePrefix="0" xfId="0">
      <alignment horizontal="center" vertical="center"/>
    </xf>
    <xf numFmtId="2" fontId="13" fillId="0" borderId="32" applyAlignment="1" pivotButton="0" quotePrefix="0" xfId="0">
      <alignment horizontal="center" vertical="center"/>
    </xf>
    <xf numFmtId="165" fontId="8" fillId="2" borderId="32" applyAlignment="1" pivotButton="0" quotePrefix="0" xfId="0">
      <alignment horizontal="center" vertical="center"/>
    </xf>
    <xf numFmtId="2" fontId="8" fillId="0" borderId="67" applyAlignment="1" pivotButton="0" quotePrefix="0" xfId="0">
      <alignment horizontal="center" vertical="center"/>
    </xf>
    <xf numFmtId="0" fontId="45" fillId="2" borderId="7" applyAlignment="1" pivotButton="0" quotePrefix="0" xfId="0">
      <alignment horizontal="left" vertical="center"/>
    </xf>
    <xf numFmtId="0" fontId="29" fillId="2" borderId="7" applyAlignment="1" pivotButton="0" quotePrefix="0" xfId="0">
      <alignment horizontal="left" vertical="top"/>
    </xf>
    <xf numFmtId="10" fontId="46" fillId="0" borderId="0" pivotButton="0" quotePrefix="0" xfId="0"/>
    <xf numFmtId="0" fontId="47" fillId="0" borderId="0" pivotButton="0" quotePrefix="0" xfId="0"/>
    <xf numFmtId="0" fontId="13" fillId="0" borderId="0" applyAlignment="1" pivotButton="0" quotePrefix="0" xfId="0">
      <alignment horizontal="center" vertical="center"/>
    </xf>
    <xf numFmtId="165" fontId="8" fillId="0" borderId="32" applyAlignment="1" pivotButton="0" quotePrefix="0" xfId="0">
      <alignment horizontal="center" vertical="center"/>
    </xf>
    <xf numFmtId="0" fontId="13" fillId="8" borderId="69" applyAlignment="1" pivotButton="0" quotePrefix="0" xfId="0">
      <alignment horizontal="center" vertical="center"/>
    </xf>
    <xf numFmtId="2" fontId="13" fillId="0" borderId="70" applyAlignment="1" pivotButton="0" quotePrefix="0" xfId="0">
      <alignment horizontal="center" vertical="center"/>
    </xf>
    <xf numFmtId="165" fontId="8" fillId="0" borderId="70" applyAlignment="1" pivotButton="0" quotePrefix="0" xfId="0">
      <alignment horizontal="center" vertical="center"/>
    </xf>
    <xf numFmtId="10" fontId="46" fillId="0" borderId="0" applyAlignment="1" pivotButton="0" quotePrefix="0" xfId="0">
      <alignment horizontal="right"/>
    </xf>
    <xf numFmtId="2" fontId="8" fillId="0" borderId="71" applyAlignment="1" pivotButton="0" quotePrefix="0" xfId="0">
      <alignment horizontal="center" vertical="center"/>
    </xf>
    <xf numFmtId="0" fontId="13" fillId="8" borderId="72" applyAlignment="1" pivotButton="0" quotePrefix="0" xfId="0">
      <alignment horizontal="center"/>
    </xf>
    <xf numFmtId="10" fontId="2" fillId="2" borderId="71" applyAlignment="1" pivotButton="0" quotePrefix="0" xfId="0">
      <alignment horizontal="center" vertical="center"/>
    </xf>
    <xf numFmtId="10" fontId="48" fillId="0" borderId="0" applyAlignment="1" pivotButton="0" quotePrefix="0" xfId="0">
      <alignment horizontal="right" vertical="center"/>
    </xf>
    <xf numFmtId="0" fontId="19" fillId="0" borderId="73" pivotButton="0" quotePrefix="0" xfId="0"/>
    <xf numFmtId="0" fontId="13" fillId="0" borderId="0" applyAlignment="1" pivotButton="0" quotePrefix="0" xfId="0">
      <alignment vertical="center" wrapText="1"/>
    </xf>
    <xf numFmtId="0" fontId="19" fillId="0" borderId="74" pivotButton="0" quotePrefix="0" xfId="0"/>
    <xf numFmtId="0" fontId="19" fillId="0" borderId="20" pivotButton="0" quotePrefix="0" xfId="0"/>
    <xf numFmtId="2" fontId="51" fillId="0" borderId="7" applyAlignment="1" pivotButton="0" quotePrefix="0" xfId="0">
      <alignment horizontal="center" vertical="center"/>
    </xf>
    <xf numFmtId="0" fontId="42" fillId="2" borderId="75" applyAlignment="1" pivotButton="0" quotePrefix="0" xfId="0">
      <alignment horizontal="left" vertical="center"/>
    </xf>
    <xf numFmtId="169" fontId="29" fillId="2" borderId="76" applyAlignment="1" pivotButton="0" quotePrefix="0" xfId="0">
      <alignment horizontal="left" vertical="center" wrapText="1"/>
    </xf>
    <xf numFmtId="0" fontId="54" fillId="2" borderId="77" applyAlignment="1" pivotButton="0" quotePrefix="0" xfId="0">
      <alignment vertical="center" wrapText="1"/>
    </xf>
    <xf numFmtId="0" fontId="19" fillId="0" borderId="78" pivotButton="0" quotePrefix="0" xfId="0"/>
    <xf numFmtId="0" fontId="2" fillId="2" borderId="79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7" fillId="2" borderId="12" applyAlignment="1" pivotButton="0" quotePrefix="0" xfId="0">
      <alignment horizontal="center"/>
    </xf>
    <xf numFmtId="0" fontId="17" fillId="2" borderId="11" applyAlignment="1" pivotButton="0" quotePrefix="0" xfId="0">
      <alignment horizontal="center"/>
    </xf>
    <xf numFmtId="0" fontId="13" fillId="0" borderId="80" pivotButton="0" quotePrefix="0" xfId="0"/>
    <xf numFmtId="0" fontId="13" fillId="0" borderId="11" pivotButton="0" quotePrefix="0" xfId="0"/>
    <xf numFmtId="0" fontId="2" fillId="2" borderId="36" applyAlignment="1" pivotButton="0" quotePrefix="0" xfId="0">
      <alignment horizontal="left"/>
    </xf>
    <xf numFmtId="0" fontId="17" fillId="7" borderId="29" applyAlignment="1" pivotButton="0" quotePrefix="0" xfId="0">
      <alignment horizontal="center" vertical="center"/>
    </xf>
    <xf numFmtId="0" fontId="17" fillId="7" borderId="64" applyAlignment="1" pivotButton="0" quotePrefix="0" xfId="0">
      <alignment horizontal="center" vertical="center" wrapText="1"/>
    </xf>
    <xf numFmtId="0" fontId="44" fillId="7" borderId="81" applyAlignment="1" pivotButton="0" quotePrefix="0" xfId="0">
      <alignment horizontal="center" vertical="center" wrapText="1"/>
    </xf>
    <xf numFmtId="0" fontId="17" fillId="7" borderId="82" applyAlignment="1" pivotButton="0" quotePrefix="0" xfId="0">
      <alignment horizontal="center" vertical="center" wrapText="1"/>
    </xf>
    <xf numFmtId="0" fontId="17" fillId="7" borderId="64" applyAlignment="1" pivotButton="0" quotePrefix="0" xfId="0">
      <alignment horizontal="center" vertical="center"/>
    </xf>
    <xf numFmtId="0" fontId="55" fillId="7" borderId="30" applyAlignment="1" pivotButton="0" quotePrefix="0" xfId="0">
      <alignment horizontal="center" vertical="center"/>
    </xf>
    <xf numFmtId="0" fontId="2" fillId="8" borderId="35" applyAlignment="1" pivotButton="0" quotePrefix="0" xfId="0">
      <alignment horizontal="center"/>
    </xf>
    <xf numFmtId="2" fontId="2" fillId="9" borderId="32" applyAlignment="1" pivotButton="0" quotePrefix="0" xfId="0">
      <alignment horizontal="center" vertical="center" wrapText="1"/>
    </xf>
    <xf numFmtId="2" fontId="2" fillId="2" borderId="83" applyAlignment="1" pivotButton="0" quotePrefix="0" xfId="0">
      <alignment horizontal="center" vertical="center" wrapText="1"/>
    </xf>
    <xf numFmtId="0" fontId="2" fillId="10" borderId="84" applyAlignment="1" pivotButton="0" quotePrefix="0" xfId="0">
      <alignment horizontal="center" vertical="center" wrapText="1"/>
    </xf>
    <xf numFmtId="2" fontId="2" fillId="0" borderId="32" applyAlignment="1" pivotButton="0" quotePrefix="0" xfId="0">
      <alignment horizontal="center" vertical="center" wrapText="1"/>
    </xf>
    <xf numFmtId="2" fontId="2" fillId="0" borderId="85" applyAlignment="1" pivotButton="0" quotePrefix="0" xfId="0">
      <alignment horizontal="center"/>
    </xf>
    <xf numFmtId="2" fontId="2" fillId="2" borderId="32" applyAlignment="1" pivotButton="0" quotePrefix="0" xfId="0">
      <alignment horizontal="center" vertical="center" wrapText="1"/>
    </xf>
    <xf numFmtId="0" fontId="2" fillId="10" borderId="86" applyAlignment="1" pivotButton="0" quotePrefix="0" xfId="0">
      <alignment horizontal="center" vertical="center" wrapText="1"/>
    </xf>
    <xf numFmtId="2" fontId="2" fillId="0" borderId="70" applyAlignment="1" pivotButton="0" quotePrefix="0" xfId="0">
      <alignment horizontal="center" vertical="center" wrapText="1"/>
    </xf>
    <xf numFmtId="2" fontId="2" fillId="0" borderId="87" applyAlignment="1" pivotButton="0" quotePrefix="0" xfId="0">
      <alignment horizontal="center"/>
    </xf>
    <xf numFmtId="0" fontId="2" fillId="2" borderId="8" applyAlignment="1" pivotButton="0" quotePrefix="0" xfId="0">
      <alignment horizontal="left"/>
    </xf>
    <xf numFmtId="0" fontId="2" fillId="2" borderId="1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8" borderId="39" applyAlignment="1" pivotButton="0" quotePrefix="0" xfId="0">
      <alignment horizontal="center"/>
    </xf>
    <xf numFmtId="2" fontId="2" fillId="2" borderId="70" applyAlignment="1" pivotButton="0" quotePrefix="0" xfId="0">
      <alignment horizontal="center" vertical="center" wrapText="1"/>
    </xf>
    <xf numFmtId="2" fontId="2" fillId="2" borderId="88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left"/>
    </xf>
    <xf numFmtId="2" fontId="51" fillId="0" borderId="45" applyAlignment="1" pivotButton="0" quotePrefix="0" xfId="0">
      <alignment horizontal="center" vertical="center"/>
    </xf>
    <xf numFmtId="0" fontId="13" fillId="0" borderId="45" pivotButton="0" quotePrefix="0" xfId="0"/>
    <xf numFmtId="0" fontId="38" fillId="0" borderId="43" pivotButton="0" quotePrefix="0" xfId="0"/>
    <xf numFmtId="0" fontId="2" fillId="3" borderId="89" applyAlignment="1" pivotButton="0" quotePrefix="0" xfId="0">
      <alignment horizontal="center" vertical="center" wrapText="1"/>
    </xf>
    <xf numFmtId="165" fontId="38" fillId="0" borderId="90" applyAlignment="1" pivotButton="0" quotePrefix="0" xfId="0">
      <alignment horizontal="right" vertical="center" wrapText="1"/>
    </xf>
    <xf numFmtId="4" fontId="38" fillId="0" borderId="90" pivotButton="0" quotePrefix="0" xfId="0"/>
    <xf numFmtId="2" fontId="4" fillId="0" borderId="90" applyAlignment="1" pivotButton="0" quotePrefix="0" xfId="0">
      <alignment horizontal="right" vertical="center" wrapText="1"/>
    </xf>
    <xf numFmtId="2" fontId="4" fillId="0" borderId="91" applyAlignment="1" pivotButton="0" quotePrefix="0" xfId="0">
      <alignment horizontal="right" vertical="center" wrapText="1"/>
    </xf>
    <xf numFmtId="10" fontId="38" fillId="0" borderId="92" applyAlignment="1" pivotButton="0" quotePrefix="0" xfId="0">
      <alignment horizontal="right" vertical="center" wrapText="1"/>
    </xf>
    <xf numFmtId="174" fontId="38" fillId="0" borderId="92" applyAlignment="1" pivotButton="0" quotePrefix="0" xfId="0">
      <alignment horizontal="right" vertical="center" wrapText="1"/>
    </xf>
    <xf numFmtId="2" fontId="4" fillId="0" borderId="92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10" fontId="4" fillId="0" borderId="0" applyAlignment="1" pivotButton="0" quotePrefix="0" xfId="0">
      <alignment horizontal="right" vertical="center" wrapText="1"/>
    </xf>
    <xf numFmtId="174" fontId="4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0" fontId="17" fillId="7" borderId="93" applyAlignment="1" pivotButton="0" quotePrefix="0" xfId="0">
      <alignment horizontal="center" vertical="center" wrapText="1"/>
    </xf>
    <xf numFmtId="0" fontId="14" fillId="7" borderId="33" applyAlignment="1" pivotButton="0" quotePrefix="0" xfId="0">
      <alignment horizontal="center" vertical="center" wrapText="1"/>
    </xf>
    <xf numFmtId="0" fontId="14" fillId="7" borderId="9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3" fillId="8" borderId="84" applyAlignment="1" pivotButton="0" quotePrefix="0" xfId="0">
      <alignment horizontal="center"/>
    </xf>
    <xf numFmtId="165" fontId="33" fillId="0" borderId="32" pivotButton="0" quotePrefix="0" xfId="0"/>
    <xf numFmtId="4" fontId="33" fillId="0" borderId="32" pivotButton="0" quotePrefix="0" xfId="0"/>
    <xf numFmtId="2" fontId="19" fillId="0" borderId="32" pivotButton="0" quotePrefix="0" xfId="0"/>
    <xf numFmtId="2" fontId="19" fillId="0" borderId="85" pivotButton="0" quotePrefix="0" xfId="0"/>
    <xf numFmtId="0" fontId="13" fillId="8" borderId="86" applyAlignment="1" pivotButton="0" quotePrefix="0" xfId="0">
      <alignment horizontal="center"/>
    </xf>
    <xf numFmtId="165" fontId="33" fillId="0" borderId="70" pivotButton="0" quotePrefix="0" xfId="0"/>
    <xf numFmtId="4" fontId="33" fillId="0" borderId="70" pivotButton="0" quotePrefix="0" xfId="0"/>
    <xf numFmtId="2" fontId="19" fillId="0" borderId="70" pivotButton="0" quotePrefix="0" xfId="0"/>
    <xf numFmtId="2" fontId="19" fillId="0" borderId="87" pivotButton="0" quotePrefix="0" xfId="0"/>
    <xf numFmtId="0" fontId="19" fillId="0" borderId="0" applyAlignment="1" pivotButton="0" quotePrefix="0" xfId="0">
      <alignment horizontal="center"/>
    </xf>
    <xf numFmtId="0" fontId="19" fillId="0" borderId="0" pivotButton="0" quotePrefix="0" xfId="0"/>
    <xf numFmtId="0" fontId="14" fillId="7" borderId="32" applyAlignment="1" pivotButton="0" quotePrefix="0" xfId="0">
      <alignment horizontal="center" wrapText="1"/>
    </xf>
    <xf numFmtId="0" fontId="33" fillId="7" borderId="3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wrapText="1"/>
    </xf>
    <xf numFmtId="0" fontId="9" fillId="8" borderId="32" applyAlignment="1" pivotButton="0" quotePrefix="0" xfId="0">
      <alignment horizontal="center"/>
    </xf>
    <xf numFmtId="165" fontId="56" fillId="2" borderId="32" applyAlignment="1" pivotButton="0" quotePrefix="0" xfId="0">
      <alignment horizontal="right"/>
    </xf>
    <xf numFmtId="4" fontId="57" fillId="0" borderId="32" pivotButton="0" quotePrefix="0" xfId="0"/>
    <xf numFmtId="10" fontId="38" fillId="0" borderId="32" applyAlignment="1" pivotButton="0" quotePrefix="0" xfId="0">
      <alignment horizontal="right" vertical="center" wrapText="1"/>
    </xf>
    <xf numFmtId="174" fontId="38" fillId="0" borderId="32" applyAlignment="1" pivotButton="0" quotePrefix="0" xfId="0">
      <alignment horizontal="right" vertical="center" wrapText="1"/>
    </xf>
    <xf numFmtId="2" fontId="4" fillId="0" borderId="85" applyAlignment="1" pivotButton="0" quotePrefix="0" xfId="0">
      <alignment horizontal="right" vertical="center" wrapText="1"/>
    </xf>
    <xf numFmtId="0" fontId="9" fillId="8" borderId="70" applyAlignment="1" pivotButton="0" quotePrefix="0" xfId="0">
      <alignment horizontal="center"/>
    </xf>
    <xf numFmtId="165" fontId="56" fillId="2" borderId="70" applyAlignment="1" pivotButton="0" quotePrefix="0" xfId="0">
      <alignment horizontal="right"/>
    </xf>
    <xf numFmtId="4" fontId="57" fillId="0" borderId="70" pivotButton="0" quotePrefix="0" xfId="0"/>
    <xf numFmtId="10" fontId="38" fillId="0" borderId="70" applyAlignment="1" pivotButton="0" quotePrefix="0" xfId="0">
      <alignment horizontal="right" vertical="center" wrapText="1"/>
    </xf>
    <xf numFmtId="174" fontId="38" fillId="0" borderId="70" applyAlignment="1" pivotButton="0" quotePrefix="0" xfId="0">
      <alignment horizontal="right" vertical="center" wrapText="1"/>
    </xf>
    <xf numFmtId="2" fontId="4" fillId="0" borderId="87" applyAlignment="1" pivotButton="0" quotePrefix="0" xfId="0">
      <alignment horizontal="right" vertical="center" wrapText="1"/>
    </xf>
    <xf numFmtId="10" fontId="19" fillId="0" borderId="0" pivotButton="0" quotePrefix="0" xfId="0"/>
    <xf numFmtId="0" fontId="14" fillId="7" borderId="0" applyAlignment="1" pivotButton="0" quotePrefix="0" xfId="0">
      <alignment horizontal="center" vertical="center" wrapText="1"/>
    </xf>
    <xf numFmtId="10" fontId="4" fillId="2" borderId="0" applyAlignment="1" pivotButton="0" quotePrefix="0" xfId="0">
      <alignment horizontal="center" vertical="center" wrapText="1"/>
    </xf>
    <xf numFmtId="0" fontId="9" fillId="8" borderId="70" applyAlignment="1" pivotButton="0" quotePrefix="0" xfId="0">
      <alignment horizontal="center"/>
    </xf>
    <xf numFmtId="10" fontId="4" fillId="2" borderId="92" applyAlignment="1" pivotButton="0" quotePrefix="0" xfId="0">
      <alignment horizontal="center" vertical="center" wrapText="1"/>
    </xf>
    <xf numFmtId="0" fontId="19" fillId="8" borderId="84" applyAlignment="1" pivotButton="0" quotePrefix="0" xfId="0">
      <alignment horizontal="center"/>
    </xf>
    <xf numFmtId="165" fontId="38" fillId="0" borderId="32" pivotButton="0" quotePrefix="0" xfId="0"/>
    <xf numFmtId="4" fontId="58" fillId="0" borderId="32" pivotButton="0" quotePrefix="0" xfId="0"/>
    <xf numFmtId="2" fontId="23" fillId="0" borderId="32" pivotButton="0" quotePrefix="0" xfId="0"/>
    <xf numFmtId="2" fontId="4" fillId="0" borderId="32" pivotButton="0" quotePrefix="0" xfId="0"/>
    <xf numFmtId="10" fontId="58" fillId="0" borderId="32" pivotButton="0" quotePrefix="0" xfId="0"/>
    <xf numFmtId="2" fontId="38" fillId="0" borderId="32" pivotButton="0" quotePrefix="0" xfId="0"/>
    <xf numFmtId="2" fontId="4" fillId="0" borderId="85" pivotButton="0" quotePrefix="0" xfId="0"/>
    <xf numFmtId="0" fontId="19" fillId="8" borderId="86" applyAlignment="1" pivotButton="0" quotePrefix="0" xfId="0">
      <alignment horizontal="center"/>
    </xf>
    <xf numFmtId="165" fontId="38" fillId="0" borderId="70" pivotButton="0" quotePrefix="0" xfId="0"/>
    <xf numFmtId="4" fontId="58" fillId="0" borderId="70" pivotButton="0" quotePrefix="0" xfId="0"/>
    <xf numFmtId="2" fontId="23" fillId="0" borderId="70" pivotButton="0" quotePrefix="0" xfId="0"/>
    <xf numFmtId="2" fontId="4" fillId="0" borderId="70" pivotButton="0" quotePrefix="0" xfId="0"/>
    <xf numFmtId="10" fontId="58" fillId="0" borderId="70" pivotButton="0" quotePrefix="0" xfId="0"/>
    <xf numFmtId="2" fontId="38" fillId="0" borderId="70" pivotButton="0" quotePrefix="0" xfId="0"/>
    <xf numFmtId="2" fontId="4" fillId="0" borderId="87" pivotButton="0" quotePrefix="0" xfId="0"/>
    <xf numFmtId="0" fontId="23" fillId="2" borderId="0" pivotButton="0" quotePrefix="0" xfId="0"/>
    <xf numFmtId="0" fontId="49" fillId="2" borderId="16" applyAlignment="1" pivotButton="0" quotePrefix="0" xfId="0">
      <alignment horizontal="left" vertical="top"/>
    </xf>
    <xf numFmtId="0" fontId="16" fillId="0" borderId="22" pivotButton="0" quotePrefix="0" xfId="0"/>
    <xf numFmtId="0" fontId="16" fillId="0" borderId="15" pivotButton="0" quotePrefix="0" xfId="0"/>
    <xf numFmtId="0" fontId="52" fillId="2" borderId="47" applyAlignment="1" pivotButton="0" quotePrefix="0" xfId="0">
      <alignment vertical="top" wrapText="1"/>
    </xf>
    <xf numFmtId="0" fontId="16" fillId="0" borderId="48" pivotButton="0" quotePrefix="0" xfId="0"/>
    <xf numFmtId="0" fontId="16" fillId="0" borderId="49" pivotButton="0" quotePrefix="0" xfId="0"/>
    <xf numFmtId="0" fontId="16" fillId="0" borderId="50" pivotButton="0" quotePrefix="0" xfId="0"/>
    <xf numFmtId="0" fontId="16" fillId="0" borderId="51" pivotButton="0" quotePrefix="0" xfId="0"/>
    <xf numFmtId="0" fontId="16" fillId="0" borderId="52" pivotButton="0" quotePrefix="0" xfId="0"/>
    <xf numFmtId="0" fontId="53" fillId="2" borderId="47" applyAlignment="1" pivotButton="0" quotePrefix="0" xfId="0">
      <alignment horizontal="left" vertical="top" wrapText="1"/>
    </xf>
    <xf numFmtId="0" fontId="28" fillId="2" borderId="16" applyAlignment="1" pivotButton="0" quotePrefix="0" xfId="0">
      <alignment horizontal="left" vertical="top" wrapText="1"/>
    </xf>
    <xf numFmtId="0" fontId="30" fillId="2" borderId="24" applyAlignment="1" pivotButton="0" quotePrefix="0" xfId="0">
      <alignment horizontal="left" vertical="top"/>
    </xf>
    <xf numFmtId="0" fontId="16" fillId="0" borderId="27" pivotButton="0" quotePrefix="0" xfId="0"/>
    <xf numFmtId="0" fontId="16" fillId="0" borderId="28" pivotButton="0" quotePrefix="0" xfId="0"/>
    <xf numFmtId="0" fontId="16" fillId="0" borderId="10" pivotButton="0" quotePrefix="0" xfId="0"/>
    <xf numFmtId="0" fontId="16" fillId="0" borderId="46" pivotButton="0" quotePrefix="0" xfId="0"/>
    <xf numFmtId="0" fontId="0" fillId="0" borderId="0" pivotButton="0" quotePrefix="0" xfId="0"/>
    <xf numFmtId="0" fontId="39" fillId="2" borderId="44" applyAlignment="1" pivotButton="0" quotePrefix="0" xfId="0">
      <alignment horizontal="left" vertical="top" wrapText="1"/>
    </xf>
    <xf numFmtId="0" fontId="41" fillId="2" borderId="47" applyAlignment="1" pivotButton="0" quotePrefix="0" xfId="0">
      <alignment vertical="center" wrapText="1"/>
    </xf>
    <xf numFmtId="169" fontId="29" fillId="2" borderId="55" applyAlignment="1" pivotButton="0" quotePrefix="0" xfId="0">
      <alignment horizontal="left" vertical="center" wrapText="1"/>
    </xf>
    <xf numFmtId="0" fontId="16" fillId="0" borderId="56" pivotButton="0" quotePrefix="0" xfId="0"/>
    <xf numFmtId="0" fontId="16" fillId="0" borderId="57" pivotButton="0" quotePrefix="0" xfId="0"/>
    <xf numFmtId="0" fontId="50" fillId="2" borderId="22" applyAlignment="1" pivotButton="0" quotePrefix="0" xfId="0">
      <alignment horizontal="left" vertical="top"/>
    </xf>
    <xf numFmtId="0" fontId="13" fillId="0" borderId="4" applyAlignment="1" pivotButton="0" quotePrefix="0" xfId="0">
      <alignment horizontal="center" vertical="center"/>
    </xf>
    <xf numFmtId="0" fontId="16" fillId="0" borderId="4" pivotButton="0" quotePrefix="0" xfId="0"/>
    <xf numFmtId="0" fontId="16" fillId="0" borderId="17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9" fontId="13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25" fillId="0" borderId="0" applyAlignment="1" pivotButton="0" quotePrefix="0" xfId="0">
      <alignment wrapText="1"/>
    </xf>
    <xf numFmtId="4" fontId="10" fillId="0" borderId="0" applyAlignment="1" pivotButton="0" quotePrefix="0" xfId="0">
      <alignment horizontal="left" vertical="center"/>
    </xf>
    <xf numFmtId="0" fontId="66" fillId="0" borderId="14" applyAlignment="1" pivotButton="0" quotePrefix="0" xfId="1">
      <alignment horizontal="center" vertical="center"/>
    </xf>
    <xf numFmtId="0" fontId="65" fillId="0" borderId="14" pivotButton="0" quotePrefix="0" xfId="1"/>
    <xf numFmtId="0" fontId="68" fillId="11" borderId="95" applyAlignment="1" pivotButton="0" quotePrefix="0" xfId="1">
      <alignment horizontal="center" vertical="center"/>
    </xf>
    <xf numFmtId="0" fontId="68" fillId="11" borderId="96" applyAlignment="1" pivotButton="0" quotePrefix="0" xfId="1">
      <alignment horizontal="center" vertical="center"/>
    </xf>
    <xf numFmtId="0" fontId="68" fillId="11" borderId="96" applyAlignment="1" pivotButton="0" quotePrefix="0" xfId="1">
      <alignment horizontal="center" vertical="center"/>
    </xf>
    <xf numFmtId="0" fontId="65" fillId="0" borderId="97" applyAlignment="1" pivotButton="0" quotePrefix="0" xfId="1">
      <alignment horizontal="center" vertical="center"/>
    </xf>
    <xf numFmtId="0" fontId="65" fillId="0" borderId="98" applyAlignment="1" pivotButton="0" quotePrefix="0" xfId="1">
      <alignment horizontal="center" vertical="center"/>
    </xf>
    <xf numFmtId="0" fontId="65" fillId="0" borderId="98" applyAlignment="1" pivotButton="0" quotePrefix="0" xfId="1">
      <alignment horizontal="center" vertical="center"/>
    </xf>
    <xf numFmtId="0" fontId="68" fillId="12" borderId="95" applyAlignment="1" pivotButton="0" quotePrefix="0" xfId="1">
      <alignment horizontal="center" vertical="center"/>
    </xf>
    <xf numFmtId="0" fontId="68" fillId="13" borderId="99" applyAlignment="1" pivotButton="0" quotePrefix="0" xfId="1">
      <alignment horizontal="center" vertical="center"/>
    </xf>
    <xf numFmtId="0" fontId="68" fillId="12" borderId="96" applyAlignment="1" pivotButton="0" quotePrefix="0" xfId="1">
      <alignment horizontal="center" vertical="center"/>
    </xf>
    <xf numFmtId="0" fontId="68" fillId="14" borderId="100" applyAlignment="1" pivotButton="0" quotePrefix="0" xfId="1">
      <alignment horizontal="center" vertical="center"/>
    </xf>
    <xf numFmtId="3" fontId="65" fillId="0" borderId="101" pivotButton="0" quotePrefix="0" xfId="1"/>
    <xf numFmtId="0" fontId="68" fillId="13" borderId="97" applyAlignment="1" pivotButton="0" quotePrefix="0" xfId="1">
      <alignment horizontal="center" vertical="center"/>
    </xf>
    <xf numFmtId="3" fontId="68" fillId="14" borderId="98" pivotButton="0" quotePrefix="0" xfId="1"/>
    <xf numFmtId="0" fontId="69" fillId="15" borderId="102" applyAlignment="1" pivotButton="0" quotePrefix="0" xfId="1">
      <alignment horizontal="center" vertical="center"/>
    </xf>
    <xf numFmtId="3" fontId="68" fillId="16" borderId="103" pivotButton="0" quotePrefix="0" xfId="1"/>
    <xf numFmtId="0" fontId="68" fillId="13" borderId="95" applyAlignment="1" pivotButton="0" quotePrefix="0" xfId="1">
      <alignment horizontal="center" vertical="center"/>
    </xf>
    <xf numFmtId="0" fontId="68" fillId="13" borderId="104" applyAlignment="1" pivotButton="0" quotePrefix="0" xfId="1">
      <alignment horizontal="center" vertical="center"/>
    </xf>
    <xf numFmtId="0" fontId="68" fillId="12" borderId="105" applyAlignment="1" pivotButton="0" quotePrefix="0" xfId="1">
      <alignment horizontal="center" vertical="center"/>
    </xf>
    <xf numFmtId="0" fontId="68" fillId="12" borderId="101" applyAlignment="1" pivotButton="0" quotePrefix="0" xfId="1">
      <alignment horizontal="center" vertical="center"/>
    </xf>
    <xf numFmtId="0" fontId="68" fillId="12" borderId="101" applyAlignment="1" pivotButton="0" quotePrefix="0" xfId="1">
      <alignment horizontal="center" vertical="center"/>
    </xf>
    <xf numFmtId="0" fontId="68" fillId="0" borderId="106" applyAlignment="1" pivotButton="0" quotePrefix="0" xfId="1">
      <alignment horizontal="center" vertical="center"/>
    </xf>
    <xf numFmtId="0" fontId="65" fillId="0" borderId="107" pivotButton="0" quotePrefix="0" xfId="1"/>
    <xf numFmtId="3" fontId="65" fillId="0" borderId="107" pivotButton="0" quotePrefix="0" xfId="1"/>
    <xf numFmtId="0" fontId="68" fillId="0" borderId="107" applyAlignment="1" pivotButton="0" quotePrefix="0" xfId="1">
      <alignment horizontal="center" vertical="center"/>
    </xf>
    <xf numFmtId="3" fontId="65" fillId="0" borderId="108" pivotButton="0" quotePrefix="0" xfId="1"/>
    <xf numFmtId="0" fontId="65" fillId="0" borderId="107" pivotButton="0" quotePrefix="0" xfId="1"/>
    <xf numFmtId="0" fontId="65" fillId="0" borderId="108" pivotButton="0" quotePrefix="0" xfId="1"/>
    <xf numFmtId="0" fontId="68" fillId="0" borderId="106" applyAlignment="1" pivotButton="0" quotePrefix="0" xfId="1">
      <alignment horizontal="center" vertical="center"/>
    </xf>
    <xf numFmtId="0" fontId="68" fillId="13" borderId="106" applyAlignment="1" pivotButton="0" quotePrefix="0" xfId="1">
      <alignment horizontal="center" vertical="center"/>
    </xf>
    <xf numFmtId="3" fontId="68" fillId="17" borderId="107" pivotButton="0" quotePrefix="0" xfId="1"/>
    <xf numFmtId="0" fontId="68" fillId="13" borderId="107" applyAlignment="1" pivotButton="0" quotePrefix="0" xfId="1">
      <alignment horizontal="center" vertical="center"/>
    </xf>
    <xf numFmtId="3" fontId="68" fillId="17" borderId="108" pivotButton="0" quotePrefix="0" xfId="1"/>
    <xf numFmtId="0" fontId="69" fillId="18" borderId="109" applyAlignment="1" pivotButton="0" quotePrefix="0" xfId="1">
      <alignment horizontal="center" vertical="center"/>
    </xf>
    <xf numFmtId="3" fontId="68" fillId="17" borderId="110" applyAlignment="1" pivotButton="0" quotePrefix="0" xfId="1">
      <alignment horizontal="center" vertical="center"/>
    </xf>
    <xf numFmtId="0" fontId="69" fillId="19" borderId="111" applyAlignment="1" pivotButton="0" quotePrefix="0" xfId="1">
      <alignment horizontal="center" vertical="center"/>
    </xf>
    <xf numFmtId="0" fontId="69" fillId="19" borderId="112" applyAlignment="1" pivotButton="0" quotePrefix="0" xfId="1">
      <alignment horizontal="center" vertical="center"/>
    </xf>
    <xf numFmtId="0" fontId="69" fillId="19" borderId="112" applyAlignment="1" pivotButton="0" quotePrefix="0" xfId="1">
      <alignment horizontal="center" vertical="center"/>
    </xf>
    <xf numFmtId="0" fontId="65" fillId="0" borderId="105" pivotButton="0" quotePrefix="0" xfId="1"/>
    <xf numFmtId="0" fontId="65" fillId="0" borderId="101" pivotButton="0" quotePrefix="0" xfId="1"/>
    <xf numFmtId="0" fontId="65" fillId="0" borderId="101" applyAlignment="1" pivotButton="0" quotePrefix="0" xfId="1">
      <alignment horizontal="center" vertical="center"/>
    </xf>
    <xf numFmtId="3" fontId="65" fillId="0" borderId="113" pivotButton="0" quotePrefix="0" xfId="1"/>
    <xf numFmtId="175" fontId="65" fillId="0" borderId="101" pivotButton="0" quotePrefix="0" xfId="1"/>
    <xf numFmtId="3" fontId="69" fillId="15" borderId="102" applyAlignment="1" pivotButton="0" quotePrefix="0" xfId="1">
      <alignment horizontal="center" vertical="center"/>
    </xf>
    <xf numFmtId="0" fontId="68" fillId="16" borderId="114" applyAlignment="1" pivotButton="0" quotePrefix="0" xfId="1">
      <alignment horizontal="center" vertical="center"/>
    </xf>
    <xf numFmtId="0" fontId="68" fillId="16" borderId="114" applyAlignment="1" pivotButton="0" quotePrefix="0" xfId="1">
      <alignment horizontal="center" vertical="center"/>
    </xf>
    <xf numFmtId="0" fontId="68" fillId="16" borderId="115" applyAlignment="1" pivotButton="0" quotePrefix="0" xfId="1">
      <alignment horizontal="center" vertical="center"/>
    </xf>
    <xf numFmtId="0" fontId="68" fillId="16" borderId="116" applyAlignment="1" pivotButton="0" quotePrefix="0" xfId="1">
      <alignment horizontal="center" vertical="center"/>
    </xf>
    <xf numFmtId="0" fontId="68" fillId="16" borderId="116" applyAlignment="1" pivotButton="0" quotePrefix="0" xfId="1">
      <alignment horizontal="center" vertical="center"/>
    </xf>
    <xf numFmtId="3" fontId="68" fillId="16" borderId="116" applyAlignment="1" pivotButton="0" quotePrefix="0" xfId="1">
      <alignment horizontal="center" vertical="center"/>
    </xf>
    <xf numFmtId="0" fontId="68" fillId="16" borderId="117" applyAlignment="1" pivotButton="0" quotePrefix="0" xfId="1">
      <alignment horizontal="center" vertical="center"/>
    </xf>
    <xf numFmtId="0" fontId="65" fillId="0" borderId="101" pivotButton="0" quotePrefix="0" xfId="1"/>
    <xf numFmtId="4" fontId="65" fillId="0" borderId="113" pivotButton="0" quotePrefix="0" xfId="1"/>
    <xf numFmtId="3" fontId="69" fillId="18" borderId="102" applyAlignment="1" pivotButton="0" quotePrefix="0" xfId="1">
      <alignment horizontal="center" vertical="center"/>
    </xf>
    <xf numFmtId="176" fontId="68" fillId="16" borderId="116" applyAlignment="1" pivotButton="0" quotePrefix="0" xfId="1">
      <alignment horizontal="center" vertical="center"/>
    </xf>
    <xf numFmtId="0" fontId="69" fillId="18" borderId="111" applyAlignment="1" pivotButton="0" quotePrefix="0" xfId="1">
      <alignment horizontal="center" vertical="center"/>
    </xf>
    <xf numFmtId="0" fontId="69" fillId="18" borderId="112" applyAlignment="1" pivotButton="0" quotePrefix="0" xfId="1">
      <alignment horizontal="center" vertical="center"/>
    </xf>
    <xf numFmtId="0" fontId="69" fillId="18" borderId="112" applyAlignment="1" pivotButton="0" quotePrefix="0" xfId="1">
      <alignment horizontal="center" vertical="center"/>
    </xf>
    <xf numFmtId="3" fontId="68" fillId="16" borderId="116" applyAlignment="1" pivotButton="0" quotePrefix="0" xfId="1">
      <alignment horizontal="center" vertical="center"/>
    </xf>
    <xf numFmtId="0" fontId="0" fillId="0" borderId="104" pivotButton="0" quotePrefix="0" xfId="0"/>
    <xf numFmtId="0" fontId="0" fillId="0" borderId="132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19" pivotButton="0" quotePrefix="0" xfId="0"/>
    <xf numFmtId="0" fontId="0" fillId="0" borderId="128" pivotButton="0" quotePrefix="0" xfId="0"/>
    <xf numFmtId="0" fontId="0" fillId="0" borderId="133" pivotButton="0" quotePrefix="0" xfId="0"/>
    <xf numFmtId="0" fontId="0" fillId="0" borderId="114" pivotButton="0" quotePrefix="0" xfId="0"/>
    <xf numFmtId="0" fontId="0" fillId="0" borderId="113" pivotButton="0" quotePrefix="0" xfId="0"/>
    <xf numFmtId="0" fontId="0" fillId="0" borderId="105" pivotButton="0" quotePrefix="0" xfId="0"/>
    <xf numFmtId="0" fontId="0" fillId="0" borderId="127" pivotButton="0" quotePrefix="0" xfId="0"/>
    <xf numFmtId="0" fontId="0" fillId="0" borderId="130" pivotButton="0" quotePrefix="0" xfId="0"/>
    <xf numFmtId="0" fontId="0" fillId="0" borderId="131" pivotButton="0" quotePrefix="0" xfId="0"/>
    <xf numFmtId="0" fontId="0" fillId="0" borderId="124" pivotButton="0" quotePrefix="0" xfId="0"/>
    <xf numFmtId="175" fontId="65" fillId="0" borderId="101" pivotButton="0" quotePrefix="0" xfId="1"/>
    <xf numFmtId="0" fontId="0" fillId="0" borderId="121" pivotButton="0" quotePrefix="0" xfId="0"/>
    <xf numFmtId="0" fontId="0" fillId="0" borderId="102" pivotButton="0" quotePrefix="0" xfId="0"/>
    <xf numFmtId="0" fontId="0" fillId="0" borderId="122" pivotButton="0" quotePrefix="0" xfId="0"/>
    <xf numFmtId="176" fontId="68" fillId="16" borderId="116" applyAlignment="1" pivotButton="0" quotePrefix="0" xfId="1">
      <alignment horizontal="center" vertical="center"/>
    </xf>
    <xf numFmtId="169" fontId="18" fillId="3" borderId="7" applyAlignment="1" pivotButton="0" quotePrefix="0" xfId="0">
      <alignment horizontal="right" vertical="center"/>
    </xf>
    <xf numFmtId="169" fontId="18" fillId="2" borderId="8" applyAlignment="1" pivotButton="0" quotePrefix="0" xfId="0">
      <alignment horizontal="right" vertical="center"/>
    </xf>
    <xf numFmtId="169" fontId="17" fillId="3" borderId="7" pivotButton="0" quotePrefix="0" xfId="0"/>
    <xf numFmtId="169" fontId="17" fillId="3" borderId="7" applyAlignment="1" pivotButton="0" quotePrefix="0" xfId="0">
      <alignment horizontal="right" vertical="center"/>
    </xf>
    <xf numFmtId="169" fontId="17" fillId="2" borderId="8" applyAlignment="1" pivotButton="0" quotePrefix="0" xfId="0">
      <alignment horizontal="right" vertical="center"/>
    </xf>
    <xf numFmtId="0" fontId="0" fillId="0" borderId="22" pivotButton="0" quotePrefix="0" xfId="0"/>
    <xf numFmtId="0" fontId="30" fillId="2" borderId="20" applyAlignment="1" pivotButton="0" quotePrefix="0" xfId="0">
      <alignment horizontal="left" vertical="top"/>
    </xf>
    <xf numFmtId="0" fontId="0" fillId="0" borderId="1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0" pivotButton="0" quotePrefix="0" xfId="0"/>
    <xf numFmtId="0" fontId="30" fillId="2" borderId="141" applyAlignment="1" pivotButton="0" quotePrefix="0" xfId="0">
      <alignment horizontal="left" vertical="top"/>
    </xf>
    <xf numFmtId="0" fontId="39" fillId="2" borderId="142" applyAlignment="1" pivotButton="0" quotePrefix="0" xfId="0">
      <alignment horizontal="left" vertical="top" wrapText="1"/>
    </xf>
    <xf numFmtId="0" fontId="0" fillId="0" borderId="46" pivotButton="0" quotePrefix="0" xfId="0"/>
    <xf numFmtId="0" fontId="41" fillId="2" borderId="138" applyAlignment="1" pivotButton="0" quotePrefix="0" xfId="0">
      <alignment vertical="center" wrapText="1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169" fontId="29" fillId="2" borderId="54" applyAlignment="1" pivotButton="0" quotePrefix="0" xfId="0">
      <alignment vertical="top" wrapText="1"/>
    </xf>
    <xf numFmtId="169" fontId="29" fillId="2" borderId="138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57" pivotButton="0" quotePrefix="0" xfId="0"/>
    <xf numFmtId="165" fontId="8" fillId="2" borderId="32" applyAlignment="1" pivotButton="0" quotePrefix="0" xfId="0">
      <alignment horizontal="center" vertical="center"/>
    </xf>
    <xf numFmtId="165" fontId="8" fillId="0" borderId="32" applyAlignment="1" pivotButton="0" quotePrefix="0" xfId="0">
      <alignment horizontal="center" vertical="center"/>
    </xf>
    <xf numFmtId="165" fontId="8" fillId="0" borderId="70" applyAlignment="1" pivotButton="0" quotePrefix="0" xfId="0">
      <alignment horizontal="center" vertical="center"/>
    </xf>
    <xf numFmtId="0" fontId="49" fillId="2" borderId="45" applyAlignment="1" pivotButton="0" quotePrefix="0" xfId="0">
      <alignment horizontal="left" vertical="top"/>
    </xf>
    <xf numFmtId="0" fontId="50" fillId="2" borderId="15" applyAlignment="1" pivotButton="0" quotePrefix="0" xfId="0">
      <alignment horizontal="left" vertical="top"/>
    </xf>
    <xf numFmtId="0" fontId="52" fillId="2" borderId="138" applyAlignment="1" pivotButton="0" quotePrefix="0" xfId="0">
      <alignment vertical="top" wrapText="1"/>
    </xf>
    <xf numFmtId="0" fontId="53" fillId="2" borderId="138" applyAlignment="1" pivotButton="0" quotePrefix="0" xfId="0">
      <alignment horizontal="left" vertical="top" wrapText="1"/>
    </xf>
    <xf numFmtId="169" fontId="29" fillId="2" borderId="76" applyAlignment="1" pivotButton="0" quotePrefix="0" xfId="0">
      <alignment horizontal="left" vertical="center" wrapText="1"/>
    </xf>
    <xf numFmtId="10" fontId="70" fillId="20" borderId="0" applyAlignment="1" pivotButton="0" quotePrefix="0" xfId="0">
      <alignment vertical="center" wrapText="1"/>
    </xf>
    <xf numFmtId="10" fontId="1" fillId="0" borderId="0" applyAlignment="1" pivotButton="0" quotePrefix="0" xfId="0">
      <alignment vertical="center" wrapText="1"/>
    </xf>
    <xf numFmtId="0" fontId="71" fillId="0" borderId="14" pivotButton="0" quotePrefix="0" xfId="2"/>
    <xf numFmtId="165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0" fontId="13" fillId="0" borderId="14" applyAlignment="1" pivotButton="0" quotePrefix="0" xfId="0">
      <alignment horizontal="center" vertical="center" wrapText="1"/>
    </xf>
    <xf numFmtId="9" fontId="13" fillId="0" borderId="14" applyAlignment="1" pivotButton="0" quotePrefix="0" xfId="0">
      <alignment horizontal="center" vertical="center"/>
    </xf>
    <xf numFmtId="0" fontId="13" fillId="0" borderId="143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right"/>
    </xf>
    <xf numFmtId="166" fontId="13" fillId="0" borderId="2" applyAlignment="1" pivotButton="0" quotePrefix="0" xfId="0">
      <alignment horizontal="right"/>
    </xf>
    <xf numFmtId="167" fontId="13" fillId="0" borderId="2" applyAlignment="1" pivotButton="0" quotePrefix="0" xfId="0">
      <alignment horizontal="right"/>
    </xf>
    <xf numFmtId="168" fontId="13" fillId="0" borderId="3" applyAlignment="1" pivotButton="0" quotePrefix="0" xfId="0">
      <alignment horizontal="right"/>
    </xf>
    <xf numFmtId="0" fontId="13" fillId="0" borderId="14" applyAlignment="1" pivotButton="0" quotePrefix="0" xfId="0">
      <alignment horizontal="center" vertical="center"/>
    </xf>
    <xf numFmtId="0" fontId="0" fillId="0" borderId="4" pivotButton="0" quotePrefix="0" xfId="0"/>
    <xf numFmtId="168" fontId="13" fillId="0" borderId="5" applyAlignment="1" pivotButton="0" quotePrefix="0" xfId="0">
      <alignment horizontal="right"/>
    </xf>
    <xf numFmtId="0" fontId="0" fillId="0" borderId="17" pivotButton="0" quotePrefix="0" xfId="0"/>
    <xf numFmtId="165" fontId="13" fillId="0" borderId="18" applyAlignment="1" pivotButton="0" quotePrefix="0" xfId="0">
      <alignment horizontal="right"/>
    </xf>
    <xf numFmtId="166" fontId="13" fillId="0" borderId="18" applyAlignment="1" pivotButton="0" quotePrefix="0" xfId="0">
      <alignment horizontal="right"/>
    </xf>
    <xf numFmtId="167" fontId="13" fillId="0" borderId="18" applyAlignment="1" pivotButton="0" quotePrefix="0" xfId="0">
      <alignment horizontal="right"/>
    </xf>
    <xf numFmtId="168" fontId="13" fillId="0" borderId="21" applyAlignment="1" pivotButton="0" quotePrefix="0" xfId="0">
      <alignment horizontal="right"/>
    </xf>
    <xf numFmtId="0" fontId="13" fillId="0" borderId="17" applyAlignment="1" pivotButton="0" quotePrefix="0" xfId="0">
      <alignment horizontal="center" vertical="center"/>
    </xf>
    <xf numFmtId="0" fontId="29" fillId="0" borderId="14" applyAlignment="1" pivotButton="0" quotePrefix="0" xfId="0">
      <alignment horizontal="left" vertical="center" wrapText="1"/>
    </xf>
    <xf numFmtId="0" fontId="13" fillId="0" borderId="143" applyAlignment="1" pivotButton="0" quotePrefix="0" xfId="0">
      <alignment horizontal="center" vertical="center"/>
    </xf>
    <xf numFmtId="173" fontId="15" fillId="0" borderId="0" pivotButton="0" quotePrefix="0" xfId="0"/>
    <xf numFmtId="0" fontId="29" fillId="0" borderId="14" applyAlignment="1" pivotButton="0" quotePrefix="0" xfId="0">
      <alignment vertical="center" wrapText="1"/>
    </xf>
    <xf numFmtId="0" fontId="70" fillId="21" borderId="144" applyAlignment="1" pivotButton="0" quotePrefix="0" xfId="0">
      <alignment horizontal="center" vertical="center" wrapText="1"/>
    </xf>
    <xf numFmtId="0" fontId="70" fillId="22" borderId="0" applyAlignment="1" pivotButton="0" quotePrefix="0" xfId="0">
      <alignment wrapText="1"/>
    </xf>
    <xf numFmtId="0" fontId="0" fillId="0" borderId="145" applyAlignment="1" pivotButton="0" quotePrefix="0" xfId="0">
      <alignment vertical="top" wrapText="1"/>
    </xf>
    <xf numFmtId="177" fontId="0" fillId="0" borderId="145" applyAlignment="1" pivotButton="0" quotePrefix="0" xfId="0">
      <alignment vertical="top" wrapText="1"/>
    </xf>
    <xf numFmtId="178" fontId="0" fillId="0" borderId="145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 wrapText="1"/>
    </xf>
    <xf numFmtId="165" fontId="38" fillId="0" borderId="43" applyAlignment="1" pivotButton="0" quotePrefix="0" xfId="0">
      <alignment horizontal="right" vertical="center" wrapText="1"/>
    </xf>
    <xf numFmtId="174" fontId="38" fillId="0" borderId="0" applyAlignment="1" pivotButton="0" quotePrefix="0" xfId="0">
      <alignment horizontal="right" vertical="center" wrapText="1"/>
    </xf>
    <xf numFmtId="165" fontId="38" fillId="0" borderId="90" applyAlignment="1" pivotButton="0" quotePrefix="0" xfId="0">
      <alignment horizontal="right" vertical="center" wrapText="1"/>
    </xf>
    <xf numFmtId="174" fontId="38" fillId="0" borderId="92" applyAlignment="1" pivotButton="0" quotePrefix="0" xfId="0">
      <alignment horizontal="right" vertical="center" wrapText="1"/>
    </xf>
    <xf numFmtId="174" fontId="4" fillId="0" borderId="0" applyAlignment="1" pivotButton="0" quotePrefix="0" xfId="0">
      <alignment horizontal="right" vertical="center" wrapText="1"/>
    </xf>
    <xf numFmtId="165" fontId="33" fillId="0" borderId="32" pivotButton="0" quotePrefix="0" xfId="0"/>
    <xf numFmtId="165" fontId="33" fillId="0" borderId="70" pivotButton="0" quotePrefix="0" xfId="0"/>
    <xf numFmtId="165" fontId="56" fillId="2" borderId="32" applyAlignment="1" pivotButton="0" quotePrefix="0" xfId="0">
      <alignment horizontal="right"/>
    </xf>
    <xf numFmtId="174" fontId="38" fillId="0" borderId="32" applyAlignment="1" pivotButton="0" quotePrefix="0" xfId="0">
      <alignment horizontal="right" vertical="center" wrapText="1"/>
    </xf>
    <xf numFmtId="165" fontId="56" fillId="2" borderId="70" applyAlignment="1" pivotButton="0" quotePrefix="0" xfId="0">
      <alignment horizontal="right"/>
    </xf>
    <xf numFmtId="174" fontId="38" fillId="0" borderId="70" applyAlignment="1" pivotButton="0" quotePrefix="0" xfId="0">
      <alignment horizontal="right" vertical="center" wrapText="1"/>
    </xf>
    <xf numFmtId="165" fontId="38" fillId="0" borderId="32" pivotButton="0" quotePrefix="0" xfId="0"/>
    <xf numFmtId="165" fontId="38" fillId="0" borderId="70" pivotButton="0" quotePrefix="0" xfId="0"/>
    <xf numFmtId="0" fontId="25" fillId="0" borderId="14" applyAlignment="1" pivotButton="0" quotePrefix="0" xfId="0">
      <alignment wrapText="1"/>
    </xf>
    <xf numFmtId="4" fontId="10" fillId="0" borderId="14" applyAlignment="1" pivotButton="0" quotePrefix="0" xfId="0">
      <alignment horizontal="left" vertical="center"/>
    </xf>
    <xf numFmtId="170" fontId="26" fillId="0" borderId="0" applyAlignment="1" pivotButton="0" quotePrefix="0" xfId="0">
      <alignment horizontal="left" vertical="center"/>
    </xf>
    <xf numFmtId="167" fontId="26" fillId="0" borderId="0" applyAlignment="1" pivotButton="0" quotePrefix="0" xfId="0">
      <alignment horizontal="left" vertical="center"/>
    </xf>
    <xf numFmtId="171" fontId="34" fillId="0" borderId="0" applyAlignment="1" pivotButton="0" quotePrefix="0" xfId="0">
      <alignment horizontal="left" vertical="center"/>
    </xf>
    <xf numFmtId="172" fontId="13" fillId="0" borderId="0" applyAlignment="1" pivotButton="0" quotePrefix="0" xfId="0">
      <alignment horizontal="left"/>
    </xf>
    <xf numFmtId="0" fontId="72" fillId="21" borderId="0" applyAlignment="1" pivotButton="0" quotePrefix="0" xfId="0">
      <alignment horizontal="center"/>
    </xf>
    <xf numFmtId="0" fontId="73" fillId="23" borderId="0" pivotButton="0" quotePrefix="0" xfId="0"/>
    <xf numFmtId="0" fontId="70" fillId="24" borderId="0" pivotButton="0" quotePrefix="0" xfId="0"/>
    <xf numFmtId="177" fontId="0" fillId="0" borderId="0" pivotButton="0" quotePrefix="0" xfId="0"/>
    <xf numFmtId="2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</cellXfs>
  <cellStyles count="3">
    <cellStyle name="표준" xfId="0" builtinId="0"/>
    <cellStyle name="표준 2" xfId="1"/>
    <cellStyle name="Hyperlink" xfId="2" builtinId="8" hidden="0"/>
  </cellStyles>
  <dxfs count="140"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CC0000"/>
      </font>
      <fill>
        <patternFill patternType="solid">
          <fgColor rgb="FFFCE8E6"/>
          <bgColor rgb="FFFCE8E6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ko-KR" altLang="en-US" b="0">
                <a:solidFill>
                  <a:srgbClr val="757575"/>
                </a:solidFill>
                <a:latin typeface="+mn-lt"/>
              </a:rPr>
              <a:t>동적자산배분 투자비중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8EEE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CFCBF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E7FCBF"/>
              </a:solidFill>
              <a:ln>
                <a:prstDash val="solid"/>
              </a:ln>
            </spPr>
          </dPt>
          <cat>
            <strRef>
              <f>대시보드!$G$1:$G$3</f>
              <strCache>
                <ptCount val="3"/>
                <pt idx="0">
                  <v>채권</v>
                </pt>
                <pt idx="1">
                  <v>변형 듀얼모멘텀</v>
                </pt>
                <pt idx="2">
                  <v>BAA</v>
                </pt>
              </strCache>
            </strRef>
          </cat>
          <val>
            <numRef>
              <f>대시보드!$H$1:$H$3</f>
              <numCache>
                <formatCode>[$₩]#,##0</formatCode>
                <ptCount val="3"/>
                <pt idx="0">
                  <v>2222222.133333333</v>
                </pt>
                <pt idx="1">
                  <v>2222222.133333333</v>
                </pt>
                <pt idx="2">
                  <v>2222222.133333333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ko-KR" altLang="en-US" b="0">
                <a:solidFill>
                  <a:srgbClr val="757575"/>
                </a:solidFill>
                <a:latin typeface="Arial"/>
              </a:rPr>
              <a:t>전체 투자비중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674EA7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9F773"/>
              </a:solidFill>
              <a:ln>
                <a:prstDash val="solid"/>
              </a:ln>
            </spPr>
          </dPt>
          <cat>
            <strRef>
              <f>대시보드!$B$2:$B$3</f>
              <strCache>
                <ptCount val="2"/>
                <pt idx="0">
                  <v>한국 개별주 퀀트</v>
                </pt>
                <pt idx="1">
                  <v>동적자산배분</v>
                </pt>
              </strCache>
            </strRef>
          </cat>
          <val>
            <numRef>
              <f>대시보드!$C$2:$C$3</f>
              <numCache>
                <formatCode>[$₩]#,##0</formatCode>
                <ptCount val="2"/>
                <pt idx="0">
                  <v>9999999.6</v>
                </pt>
                <pt idx="1">
                  <v>6666666.4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선택 Ticker 가격 차트</a:t>
            </a:r>
          </a:p>
        </rich>
      </tx>
    </title>
    <plotArea>
      <areaChart>
        <grouping val="standard"/>
        <ser>
          <idx val="0"/>
          <order val="0"/>
          <tx>
            <strRef>
              <f>'관심종목'!Y24</f>
            </strRef>
          </tx>
          <spPr>
            <a:ln>
              <a:prstDash val="solid"/>
            </a:ln>
          </spPr>
          <cat>
            <numRef>
              <f>'관심종목'!$X$25:$X$276</f>
            </numRef>
          </cat>
          <val>
            <numRef>
              <f>'관심종목'!$Y$25:$Y$276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F30" authorId="0" shapeId="0">
      <text>
        <t>20년 이상 국채 만기 채권</t>
      </text>
    </comment>
    <comment ref="F33" authorId="0" shapeId="0">
      <text>
        <t>주식과 채권이 둘다 무너질때는 원자재가 빛나는 경우가 있다</t>
      </text>
    </comment>
    <comment ref="F41" authorId="0" shapeId="0">
      <text>
        <t xml:space="preserve">받는 이자와 연금이 인플레이션과 연동되는 채권
</t>
      </text>
    </comment>
    <comment ref="F43" authorId="0" shapeId="0">
      <text>
        <t>신용이 높은 회사채권</t>
      </text>
    </comment>
    <comment ref="F44" authorId="0" shapeId="0">
      <text>
        <t xml:space="preserve">신용이 낮은 회사채권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742950</colOff>
      <row>0</row>
      <rowOff>0</rowOff>
    </from>
    <ext cx="2257425" cy="8191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3</col>
      <colOff>114300</colOff>
      <row>0</row>
      <rowOff>9525</rowOff>
    </from>
    <ext cx="2257425" cy="8191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ventManager" displayName="EventManager" ref="A1:K104" headerRowCount="1">
  <autoFilter ref="A1:K104"/>
  <tableColumns count="11">
    <tableColumn id="1" name="구분"/>
    <tableColumn id="2" name="주기"/>
    <tableColumn id="3" name="날짜"/>
    <tableColumn id="4" name="시간"/>
    <tableColumn id="5" name="시장/국가"/>
    <tableColumn id="6" name="관련 Ticker"/>
    <tableColumn id="7" name="이벤트명"/>
    <tableColumn id="8" name="중요도"/>
    <tableColumn id="9" name="상태"/>
    <tableColumn id="10" name="메모"/>
    <tableColumn id="11" name="자료 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://www.google.com/finance" TargetMode="External" Id="rId1" /><Relationship Type="http://schemas.openxmlformats.org/officeDocument/2006/relationships/hyperlink" Target="#'&#51060;&#48292;&#53944; &#44288;&#47532;'!A1" TargetMode="External" Id="rId2" /><Relationship Type="http://schemas.openxmlformats.org/officeDocument/2006/relationships/hyperlink" Target="#'&#44288;&#49900;&#51333;&#47785;'!Y2" TargetMode="External" Id="rId3" /><Relationship Type="http://schemas.openxmlformats.org/officeDocument/2006/relationships/hyperlink" Target="#'&#44288;&#49900;&#51333;&#47785;'!Y2" TargetMode="External" Id="rId4" /><Relationship Type="http://schemas.openxmlformats.org/officeDocument/2006/relationships/hyperlink" Target="#'&#44288;&#49900;&#51333;&#47785;'!Y2" TargetMode="External" Id="rId5" /><Relationship Type="http://schemas.openxmlformats.org/officeDocument/2006/relationships/hyperlink" Target="#'&#44288;&#49900;&#51333;&#47785;'!Y2" TargetMode="External" Id="rId6" /><Relationship Type="http://schemas.openxmlformats.org/officeDocument/2006/relationships/hyperlink" Target="#'&#44288;&#49900;&#51333;&#47785;'!Y2" TargetMode="External" Id="rId7" /><Relationship Type="http://schemas.openxmlformats.org/officeDocument/2006/relationships/hyperlink" Target="#'&#44288;&#49900;&#51333;&#47785;'!Y2" TargetMode="External" Id="rId8" /><Relationship Type="http://schemas.openxmlformats.org/officeDocument/2006/relationships/hyperlink" Target="#'&#44288;&#49900;&#51333;&#47785;'!Y2" TargetMode="External" Id="rId9" /><Relationship Type="http://schemas.openxmlformats.org/officeDocument/2006/relationships/hyperlink" Target="#'&#44288;&#49900;&#51333;&#47785;'!Y2" TargetMode="External" Id="rId10" /><Relationship Type="http://schemas.openxmlformats.org/officeDocument/2006/relationships/hyperlink" Target="#'&#44288;&#49900;&#51333;&#47785;'!Y2" TargetMode="External" Id="rId11" /><Relationship Type="http://schemas.openxmlformats.org/officeDocument/2006/relationships/hyperlink" Target="#'&#44288;&#49900;&#51333;&#47785;'!Y2" TargetMode="External" Id="rId12" /><Relationship Type="http://schemas.openxmlformats.org/officeDocument/2006/relationships/hyperlink" Target="#'&#44288;&#49900;&#51333;&#47785;'!Y2" TargetMode="External" Id="rId13" /><Relationship Type="http://schemas.openxmlformats.org/officeDocument/2006/relationships/hyperlink" Target="#'&#44288;&#49900;&#51333;&#47785;'!Y2" TargetMode="External" Id="rId14" /><Relationship Type="http://schemas.openxmlformats.org/officeDocument/2006/relationships/hyperlink" Target="#'&#44288;&#49900;&#51333;&#47785;'!Y2" TargetMode="External" Id="rId15" /><Relationship Type="http://schemas.openxmlformats.org/officeDocument/2006/relationships/hyperlink" Target="#'&#44288;&#49900;&#51333;&#47785;'!Y2" TargetMode="External" Id="rId16" /><Relationship Type="http://schemas.openxmlformats.org/officeDocument/2006/relationships/hyperlink" Target="#'&#44288;&#49900;&#51333;&#47785;'!Y2" TargetMode="External" Id="rId17" /><Relationship Type="http://schemas.openxmlformats.org/officeDocument/2006/relationships/hyperlink" Target="#'&#44288;&#49900;&#51333;&#47785;'!Y2" TargetMode="External" Id="rId18" /><Relationship Type="http://schemas.openxmlformats.org/officeDocument/2006/relationships/hyperlink" Target="#'&#44288;&#49900;&#51333;&#47785;'!Y2" TargetMode="External" Id="rId19" /><Relationship Type="http://schemas.openxmlformats.org/officeDocument/2006/relationships/hyperlink" Target="#'&#44288;&#49900;&#51333;&#47785;'!Y2" TargetMode="External" Id="rId20" /><Relationship Type="http://schemas.openxmlformats.org/officeDocument/2006/relationships/hyperlink" Target="#'&#44288;&#49900;&#51333;&#47785;'!Y2" TargetMode="External" Id="rId21" /><Relationship Type="http://schemas.openxmlformats.org/officeDocument/2006/relationships/hyperlink" Target="#'&#44288;&#49900;&#51333;&#47785;'!Y2" TargetMode="External" Id="rId22" /><Relationship Type="http://schemas.openxmlformats.org/officeDocument/2006/relationships/hyperlink" Target="#'&#44288;&#49900;&#51333;&#47785;'!Y2" TargetMode="External" Id="rId23" /><Relationship Type="http://schemas.openxmlformats.org/officeDocument/2006/relationships/hyperlink" Target="#'&#44288;&#49900;&#51333;&#47785;'!Y2" TargetMode="External" Id="rId24" /><Relationship Type="http://schemas.openxmlformats.org/officeDocument/2006/relationships/hyperlink" Target="#'&#44288;&#49900;&#51333;&#47785;'!Y2" TargetMode="External" Id="rId25" /><Relationship Type="http://schemas.openxmlformats.org/officeDocument/2006/relationships/hyperlink" Target="#'&#44288;&#49900;&#51333;&#47785;'!Y2" TargetMode="External" Id="rId26" /><Relationship Type="http://schemas.openxmlformats.org/officeDocument/2006/relationships/hyperlink" Target="#'&#44288;&#49900;&#51333;&#47785;'!Y2" TargetMode="External" Id="rId27" /><Relationship Type="http://schemas.openxmlformats.org/officeDocument/2006/relationships/hyperlink" Target="#'&#44288;&#49900;&#51333;&#47785;'!Y2" TargetMode="External" Id="rId28" /><Relationship Type="http://schemas.openxmlformats.org/officeDocument/2006/relationships/hyperlink" Target="#'&#44288;&#49900;&#51333;&#47785;'!Y2" TargetMode="External" Id="rId29" /><Relationship Type="http://schemas.openxmlformats.org/officeDocument/2006/relationships/hyperlink" Target="#'&#44288;&#49900;&#51333;&#47785;'!Y2" TargetMode="External" Id="rId30" /><Relationship Type="http://schemas.openxmlformats.org/officeDocument/2006/relationships/hyperlink" Target="#'&#44288;&#49900;&#51333;&#47785;'!Y2" TargetMode="External" Id="rId31" /><Relationship Type="http://schemas.openxmlformats.org/officeDocument/2006/relationships/hyperlink" Target="#'&#44288;&#49900;&#51333;&#47785;'!Y2" TargetMode="External" Id="rId32" /><Relationship Type="http://schemas.openxmlformats.org/officeDocument/2006/relationships/hyperlink" Target="#'&#44288;&#49900;&#51333;&#47785;'!Y2" TargetMode="External" Id="rId33" /><Relationship Type="http://schemas.openxmlformats.org/officeDocument/2006/relationships/hyperlink" Target="#'&#44288;&#49900;&#51333;&#47785;'!Y2" TargetMode="External" Id="rId34" /><Relationship Type="http://schemas.openxmlformats.org/officeDocument/2006/relationships/hyperlink" Target="#'&#44288;&#49900;&#51333;&#47785;'!Y2" TargetMode="External" Id="rId35" /><Relationship Type="http://schemas.openxmlformats.org/officeDocument/2006/relationships/hyperlink" Target="#'&#44288;&#49900;&#51333;&#47785;'!Y2" TargetMode="External" Id="rId36" /><Relationship Type="http://schemas.openxmlformats.org/officeDocument/2006/relationships/hyperlink" Target="#'&#44288;&#49900;&#51333;&#47785;'!Y2" TargetMode="External" Id="rId37" /><Relationship Type="http://schemas.openxmlformats.org/officeDocument/2006/relationships/hyperlink" Target="#'&#44288;&#49900;&#51333;&#47785;'!Y2" TargetMode="External" Id="rId38" /><Relationship Type="http://schemas.openxmlformats.org/officeDocument/2006/relationships/drawing" Target="/xl/drawings/drawing2.xml" Id="rId3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149"/>
  <sheetViews>
    <sheetView tabSelected="1" zoomScale="70" zoomScaleNormal="70" workbookViewId="0">
      <selection activeCell="C29" sqref="C29"/>
    </sheetView>
  </sheetViews>
  <sheetFormatPr baseColWidth="8" defaultRowHeight="14.25"/>
  <cols>
    <col width="7.28515625" customWidth="1" style="343" min="1" max="1"/>
    <col width="19.140625" customWidth="1" style="343" min="2" max="18"/>
    <col width="9.140625" customWidth="1" style="343" min="19" max="16384"/>
  </cols>
  <sheetData>
    <row r="3" ht="18" customHeight="1" s="322">
      <c r="B3" s="342" t="inlineStr">
        <is>
          <t>1.고객정보</t>
        </is>
      </c>
    </row>
    <row r="4" ht="15" customHeight="1" s="322" thickBot="1">
      <c r="B4" s="343" t="inlineStr">
        <is>
          <t>사용자의 기본 정보에 해당하는 항목입니다.</t>
        </is>
      </c>
    </row>
    <row r="5" ht="15" customHeight="1" s="322">
      <c r="B5" s="344" t="inlineStr">
        <is>
          <t>이름</t>
        </is>
      </c>
      <c r="C5" s="346" t="inlineStr">
        <is>
          <t>성별</t>
        </is>
      </c>
      <c r="D5" s="346" t="inlineStr">
        <is>
          <t>연령
(만 나이)</t>
        </is>
      </c>
      <c r="E5" s="346" t="inlineStr">
        <is>
          <t>신용점수
(KCB)</t>
        </is>
      </c>
      <c r="F5" s="346" t="inlineStr">
        <is>
          <t>이메일</t>
        </is>
      </c>
      <c r="G5" s="402" t="n"/>
    </row>
    <row r="6" ht="15" customHeight="1" s="322" thickBot="1">
      <c r="B6" s="347" t="inlineStr">
        <is>
          <t>김용</t>
        </is>
      </c>
      <c r="C6" s="349" t="inlineStr">
        <is>
          <t>남</t>
        </is>
      </c>
      <c r="D6" s="349" t="n">
        <v>46</v>
      </c>
      <c r="E6" s="349" t="n">
        <v>1000</v>
      </c>
      <c r="F6" s="349" t="inlineStr">
        <is>
          <t>-</t>
        </is>
      </c>
      <c r="G6" s="403" t="n"/>
    </row>
    <row r="9" ht="18" customHeight="1" s="322">
      <c r="B9" s="342" t="inlineStr">
        <is>
          <t>2.현금흐름현황</t>
        </is>
      </c>
    </row>
    <row r="10" ht="15" customHeight="1" s="322" thickBot="1">
      <c r="B10" s="343" t="inlineStr">
        <is>
          <t>최근 1년 동안의 현금흐름을 분석합니다.</t>
        </is>
      </c>
    </row>
    <row r="11" ht="15" customHeight="1" s="322">
      <c r="B11" s="350" t="inlineStr">
        <is>
          <t>항목</t>
        </is>
      </c>
      <c r="C11" s="351" t="inlineStr">
        <is>
          <t>총계</t>
        </is>
      </c>
      <c r="D11" s="351" t="inlineStr">
        <is>
          <t>월평균</t>
        </is>
      </c>
      <c r="E11" s="352" t="inlineStr">
        <is>
          <t>2025-07</t>
        </is>
      </c>
      <c r="F11" s="352" t="inlineStr">
        <is>
          <t>2025-08</t>
        </is>
      </c>
      <c r="G11" s="352" t="inlineStr">
        <is>
          <t>2025-09</t>
        </is>
      </c>
      <c r="H11" s="352" t="inlineStr">
        <is>
          <t>2025-10</t>
        </is>
      </c>
      <c r="I11" s="352" t="inlineStr">
        <is>
          <t>2025-11</t>
        </is>
      </c>
      <c r="J11" s="352" t="inlineStr">
        <is>
          <t>2025-12</t>
        </is>
      </c>
      <c r="K11" s="352" t="inlineStr">
        <is>
          <t>2026-01</t>
        </is>
      </c>
      <c r="L11" s="352" t="inlineStr">
        <is>
          <t>2026-02</t>
        </is>
      </c>
      <c r="M11" s="352" t="inlineStr">
        <is>
          <t>2026-03</t>
        </is>
      </c>
      <c r="N11" s="352" t="inlineStr">
        <is>
          <t>2026-04</t>
        </is>
      </c>
      <c r="O11" s="352" t="inlineStr">
        <is>
          <t>2026-05</t>
        </is>
      </c>
      <c r="P11" s="352" t="inlineStr">
        <is>
          <t>2026-06</t>
        </is>
      </c>
      <c r="Q11" s="352" t="inlineStr">
        <is>
          <t>2026-07</t>
        </is>
      </c>
    </row>
    <row r="12" ht="15" customHeight="1" s="322">
      <c r="B12" s="353" t="inlineStr">
        <is>
          <t>금융수입</t>
        </is>
      </c>
      <c r="C12" s="354">
        <f>SUM(E12:Q12)</f>
        <v/>
      </c>
      <c r="D12" s="354">
        <f>C12/13</f>
        <v/>
      </c>
      <c r="E12" s="354" t="n">
        <v>0</v>
      </c>
      <c r="F12" s="354" t="n">
        <v>0</v>
      </c>
      <c r="G12" s="354" t="n">
        <v>80000</v>
      </c>
      <c r="H12" s="354" t="n">
        <v>1</v>
      </c>
      <c r="I12" s="354" t="n">
        <v>0</v>
      </c>
      <c r="J12" s="354" t="n">
        <v>20000</v>
      </c>
      <c r="K12" s="354" t="n">
        <v>0</v>
      </c>
      <c r="L12" s="354" t="n">
        <v>0</v>
      </c>
      <c r="M12" s="354" t="n">
        <v>4</v>
      </c>
      <c r="N12" s="354" t="n">
        <v>0</v>
      </c>
      <c r="O12" s="354" t="n">
        <v>1</v>
      </c>
      <c r="P12" s="354" t="n">
        <v>0</v>
      </c>
      <c r="Q12" s="354" t="n">
        <v>0</v>
      </c>
    </row>
    <row r="13" ht="15" customHeight="1" s="322">
      <c r="B13" s="353" t="inlineStr">
        <is>
          <t>급여</t>
        </is>
      </c>
      <c r="C13" s="354">
        <f>SUM(E13:Q13)</f>
        <v/>
      </c>
      <c r="D13" s="354">
        <f>C13/13</f>
        <v/>
      </c>
      <c r="E13" s="354" t="n">
        <v>0</v>
      </c>
      <c r="F13" s="354" t="n">
        <v>5107809</v>
      </c>
      <c r="G13" s="354" t="n">
        <v>5863980</v>
      </c>
      <c r="H13" s="354" t="n">
        <v>10584640</v>
      </c>
      <c r="I13" s="354" t="n">
        <v>5897358</v>
      </c>
      <c r="J13" s="354" t="n">
        <v>9609713</v>
      </c>
      <c r="K13" s="354" t="n">
        <v>5869380</v>
      </c>
      <c r="L13" s="354" t="n">
        <v>12652275</v>
      </c>
      <c r="M13" s="354" t="n">
        <v>6055700</v>
      </c>
      <c r="N13" s="354" t="n">
        <v>6132550</v>
      </c>
      <c r="O13" s="354" t="n">
        <v>6052268</v>
      </c>
      <c r="P13" s="354" t="n">
        <v>6022650</v>
      </c>
      <c r="Q13" s="354" t="n">
        <v>6065877</v>
      </c>
    </row>
    <row r="14" ht="15" customHeight="1" s="322">
      <c r="B14" s="353" t="inlineStr">
        <is>
          <t>기타수입</t>
        </is>
      </c>
      <c r="C14" s="354">
        <f>SUM(E14:Q14)</f>
        <v/>
      </c>
      <c r="D14" s="354">
        <f>C14/13</f>
        <v/>
      </c>
      <c r="E14" s="354" t="n">
        <v>0</v>
      </c>
      <c r="F14" s="354" t="n">
        <v>0</v>
      </c>
      <c r="G14" s="354" t="n">
        <v>0</v>
      </c>
      <c r="H14" s="354" t="n">
        <v>0</v>
      </c>
      <c r="I14" s="354" t="n">
        <v>0</v>
      </c>
      <c r="J14" s="354" t="n">
        <v>0</v>
      </c>
      <c r="K14" s="354" t="n">
        <v>0</v>
      </c>
      <c r="L14" s="354" t="n">
        <v>0</v>
      </c>
      <c r="M14" s="354" t="n">
        <v>0</v>
      </c>
      <c r="N14" s="354" t="n">
        <v>0</v>
      </c>
      <c r="O14" s="354" t="n">
        <v>0</v>
      </c>
      <c r="P14" s="354" t="n">
        <v>10430</v>
      </c>
      <c r="Q14" s="354" t="n">
        <v>0</v>
      </c>
    </row>
    <row r="15" ht="15" customHeight="1" s="322">
      <c r="B15" s="353" t="inlineStr">
        <is>
          <t>사업수입</t>
        </is>
      </c>
      <c r="C15" s="354">
        <f>SUM(E15:Q15)</f>
        <v/>
      </c>
      <c r="D15" s="354">
        <f>C15/13</f>
        <v/>
      </c>
      <c r="E15" s="354" t="n">
        <v>0</v>
      </c>
      <c r="F15" s="354" t="n">
        <v>0</v>
      </c>
      <c r="G15" s="354" t="n">
        <v>0</v>
      </c>
      <c r="H15" s="354" t="n">
        <v>0</v>
      </c>
      <c r="I15" s="354" t="n">
        <v>0</v>
      </c>
      <c r="J15" s="354" t="n">
        <v>0</v>
      </c>
      <c r="K15" s="354" t="n">
        <v>0</v>
      </c>
      <c r="L15" s="354" t="n">
        <v>0</v>
      </c>
      <c r="M15" s="354" t="n">
        <v>0</v>
      </c>
      <c r="N15" s="354" t="n">
        <v>1064432</v>
      </c>
      <c r="O15" s="354" t="n">
        <v>0</v>
      </c>
      <c r="P15" s="354" t="n">
        <v>0</v>
      </c>
      <c r="Q15" s="354" t="n">
        <v>0</v>
      </c>
    </row>
    <row r="16" ht="15" customHeight="1" s="322">
      <c r="B16" s="353" t="inlineStr">
        <is>
          <t>상여금</t>
        </is>
      </c>
      <c r="C16" s="354">
        <f>SUM(E16:Q16)</f>
        <v/>
      </c>
      <c r="D16" s="354">
        <f>C16/13</f>
        <v/>
      </c>
      <c r="E16" s="354" t="n">
        <v>0</v>
      </c>
      <c r="F16" s="354" t="n">
        <v>0</v>
      </c>
      <c r="G16" s="354" t="n">
        <v>0</v>
      </c>
      <c r="H16" s="354" t="n">
        <v>0</v>
      </c>
      <c r="I16" s="354" t="n">
        <v>0</v>
      </c>
      <c r="J16" s="354" t="n">
        <v>0</v>
      </c>
      <c r="K16" s="354" t="n">
        <v>0</v>
      </c>
      <c r="L16" s="354" t="n">
        <v>0</v>
      </c>
      <c r="M16" s="354" t="n">
        <v>0</v>
      </c>
      <c r="N16" s="354" t="n">
        <v>0</v>
      </c>
      <c r="O16" s="354" t="n">
        <v>0</v>
      </c>
      <c r="P16" s="354" t="n">
        <v>2378785</v>
      </c>
      <c r="Q16" s="354" t="n">
        <v>0</v>
      </c>
    </row>
    <row r="17" ht="15" customHeight="1" s="322">
      <c r="B17" s="353" t="inlineStr">
        <is>
          <t>미분류</t>
        </is>
      </c>
      <c r="C17" s="354">
        <f>SUM(E17:Q17)</f>
        <v/>
      </c>
      <c r="D17" s="354">
        <f>C17/13</f>
        <v/>
      </c>
      <c r="E17" s="354" t="n">
        <v>0</v>
      </c>
      <c r="F17" s="354" t="n">
        <v>0</v>
      </c>
      <c r="G17" s="354" t="n">
        <v>0</v>
      </c>
      <c r="H17" s="354" t="n">
        <v>0</v>
      </c>
      <c r="I17" s="354" t="n">
        <v>0</v>
      </c>
      <c r="J17" s="354" t="n">
        <v>0</v>
      </c>
      <c r="K17" s="354" t="n">
        <v>0</v>
      </c>
      <c r="L17" s="354" t="n">
        <v>0</v>
      </c>
      <c r="M17" s="354" t="n">
        <v>0</v>
      </c>
      <c r="N17" s="354" t="n">
        <v>0</v>
      </c>
      <c r="O17" s="354" t="n">
        <v>0</v>
      </c>
      <c r="P17" s="354" t="n">
        <v>0</v>
      </c>
      <c r="Q17" s="354" t="n">
        <v>2279856</v>
      </c>
    </row>
    <row r="18" ht="15.75" customHeight="1" s="322" thickBot="1">
      <c r="B18" s="355" t="inlineStr">
        <is>
          <t>월수입 총계</t>
        </is>
      </c>
      <c r="C18" s="356">
        <f>SUM(E18:Q18)</f>
        <v/>
      </c>
      <c r="D18" s="356">
        <f>C18/13</f>
        <v/>
      </c>
      <c r="E18" s="356">
        <f>SUM(E12:E17)</f>
        <v/>
      </c>
      <c r="F18" s="356">
        <f>SUM(F12:F17)</f>
        <v/>
      </c>
      <c r="G18" s="356">
        <f>SUM(G12:G17)</f>
        <v/>
      </c>
      <c r="H18" s="356">
        <f>SUM(H12:H17)</f>
        <v/>
      </c>
      <c r="I18" s="356">
        <f>SUM(I12:I17)</f>
        <v/>
      </c>
      <c r="J18" s="356">
        <f>SUM(J12:J17)</f>
        <v/>
      </c>
      <c r="K18" s="356">
        <f>SUM(K12:K17)</f>
        <v/>
      </c>
      <c r="L18" s="356">
        <f>SUM(L12:L17)</f>
        <v/>
      </c>
      <c r="M18" s="356">
        <f>SUM(M12:M17)</f>
        <v/>
      </c>
      <c r="N18" s="356">
        <f>SUM(N12:N17)</f>
        <v/>
      </c>
      <c r="O18" s="356">
        <f>SUM(O12:O17)</f>
        <v/>
      </c>
      <c r="P18" s="356">
        <f>SUM(P12:P17)</f>
        <v/>
      </c>
      <c r="Q18" s="356">
        <f>SUM(Q12:Q17)</f>
        <v/>
      </c>
    </row>
    <row r="19" ht="15" customHeight="1" s="322">
      <c r="A19" s="343" t="inlineStr">
        <is>
          <t>필수</t>
        </is>
      </c>
      <c r="B19" s="353" t="inlineStr">
        <is>
          <t>경조/선물</t>
        </is>
      </c>
      <c r="C19" s="354">
        <f>SUM(E19:Q19)</f>
        <v/>
      </c>
      <c r="D19" s="354">
        <f>C19/13</f>
        <v/>
      </c>
      <c r="E19" s="354" t="n">
        <v>700000</v>
      </c>
      <c r="F19" s="354" t="n">
        <v>730000</v>
      </c>
      <c r="G19" s="354" t="n">
        <v>700000</v>
      </c>
      <c r="H19" s="354" t="n">
        <v>930000</v>
      </c>
      <c r="I19" s="354" t="n">
        <v>750000</v>
      </c>
      <c r="J19" s="354" t="n">
        <v>750000</v>
      </c>
      <c r="K19" s="354" t="n">
        <v>750000</v>
      </c>
      <c r="L19" s="354" t="n">
        <v>760336</v>
      </c>
      <c r="M19" s="354" t="n">
        <v>721000</v>
      </c>
      <c r="N19" s="354" t="n">
        <v>750000</v>
      </c>
      <c r="O19" s="354" t="n">
        <v>750000</v>
      </c>
      <c r="P19" s="354" t="n">
        <v>750000</v>
      </c>
      <c r="Q19" s="354" t="n">
        <v>50000</v>
      </c>
    </row>
    <row r="20" ht="15" customHeight="1" s="322">
      <c r="A20" s="343" t="inlineStr">
        <is>
          <t>선택</t>
        </is>
      </c>
      <c r="B20" s="353" t="inlineStr">
        <is>
          <t>교육/학습</t>
        </is>
      </c>
      <c r="C20" s="354">
        <f>SUM(E20:Q20)</f>
        <v/>
      </c>
      <c r="D20" s="354">
        <f>C20/13</f>
        <v/>
      </c>
      <c r="E20" s="354" t="n">
        <v>0</v>
      </c>
      <c r="F20" s="354" t="n">
        <v>0</v>
      </c>
      <c r="G20" s="354" t="n">
        <v>10200</v>
      </c>
      <c r="H20" s="354" t="n">
        <v>0</v>
      </c>
      <c r="I20" s="354" t="n">
        <v>0</v>
      </c>
      <c r="J20" s="354" t="n">
        <v>12000</v>
      </c>
      <c r="K20" s="354" t="n">
        <v>85700</v>
      </c>
      <c r="L20" s="354" t="n">
        <v>92190</v>
      </c>
      <c r="M20" s="354" t="n">
        <v>0</v>
      </c>
      <c r="N20" s="354" t="n">
        <v>6000</v>
      </c>
      <c r="O20" s="354" t="n">
        <v>0</v>
      </c>
      <c r="P20" s="354" t="n">
        <v>0</v>
      </c>
      <c r="Q20" s="354" t="n">
        <v>0</v>
      </c>
    </row>
    <row r="21" ht="15" customHeight="1" s="322">
      <c r="A21" s="343" t="inlineStr">
        <is>
          <t>필수</t>
        </is>
      </c>
      <c r="B21" s="353" t="inlineStr">
        <is>
          <t>교통</t>
        </is>
      </c>
      <c r="C21" s="354">
        <f>SUM(E21:Q21)</f>
        <v/>
      </c>
      <c r="D21" s="354">
        <f>C21/13</f>
        <v/>
      </c>
      <c r="E21" s="354" t="n">
        <v>0</v>
      </c>
      <c r="F21" s="354" t="n">
        <v>2900</v>
      </c>
      <c r="G21" s="354" t="n">
        <v>30000</v>
      </c>
      <c r="H21" s="354" t="n">
        <v>30000</v>
      </c>
      <c r="I21" s="354" t="n">
        <v>60750</v>
      </c>
      <c r="J21" s="354" t="n">
        <v>50000</v>
      </c>
      <c r="K21" s="354" t="n">
        <v>63200</v>
      </c>
      <c r="L21" s="354" t="n">
        <v>75300</v>
      </c>
      <c r="M21" s="354" t="n">
        <v>60000</v>
      </c>
      <c r="N21" s="354" t="n">
        <v>53200</v>
      </c>
      <c r="O21" s="354" t="n">
        <v>60000</v>
      </c>
      <c r="P21" s="354" t="n">
        <v>63400</v>
      </c>
      <c r="Q21" s="354" t="n">
        <v>71500</v>
      </c>
    </row>
    <row r="22" ht="15" customHeight="1" s="322">
      <c r="A22" s="343" t="inlineStr">
        <is>
          <t>필수</t>
        </is>
      </c>
      <c r="B22" s="353" t="inlineStr">
        <is>
          <t>금융</t>
        </is>
      </c>
      <c r="C22" s="354">
        <f>SUM(E22:Q22)</f>
        <v/>
      </c>
      <c r="D22" s="354">
        <f>C22/13</f>
        <v/>
      </c>
      <c r="E22" s="354" t="n">
        <v>60380</v>
      </c>
      <c r="F22" s="354" t="n">
        <v>1313802</v>
      </c>
      <c r="G22" s="354" t="n">
        <v>121577701</v>
      </c>
      <c r="H22" s="354" t="n">
        <v>1659562</v>
      </c>
      <c r="I22" s="354" t="n">
        <v>1384699</v>
      </c>
      <c r="J22" s="354" t="n">
        <v>1498194</v>
      </c>
      <c r="K22" s="354" t="n">
        <v>2075322</v>
      </c>
      <c r="L22" s="354" t="n">
        <v>1863655</v>
      </c>
      <c r="M22" s="354" t="n">
        <v>2015670</v>
      </c>
      <c r="N22" s="354" t="n">
        <v>1818208</v>
      </c>
      <c r="O22" s="354" t="n">
        <v>2053519</v>
      </c>
      <c r="P22" s="354" t="n">
        <v>2005859</v>
      </c>
      <c r="Q22" s="354" t="n">
        <v>1995597</v>
      </c>
    </row>
    <row r="23" ht="15" customHeight="1" s="322">
      <c r="A23" s="343" t="inlineStr">
        <is>
          <t>선택</t>
        </is>
      </c>
      <c r="B23" s="353" t="inlineStr">
        <is>
          <t>문화/여가</t>
        </is>
      </c>
      <c r="C23" s="354">
        <f>SUM(E23:Q23)</f>
        <v/>
      </c>
      <c r="D23" s="354">
        <f>C23/13</f>
        <v/>
      </c>
      <c r="E23" s="354" t="n">
        <v>0</v>
      </c>
      <c r="F23" s="354" t="n">
        <v>21900</v>
      </c>
      <c r="G23" s="354" t="n">
        <v>9270</v>
      </c>
      <c r="H23" s="354" t="n">
        <v>0</v>
      </c>
      <c r="I23" s="354" t="n">
        <v>7000</v>
      </c>
      <c r="J23" s="354" t="n">
        <v>18000</v>
      </c>
      <c r="K23" s="354" t="n">
        <v>71490</v>
      </c>
      <c r="L23" s="354" t="n">
        <v>34900</v>
      </c>
      <c r="M23" s="354" t="n">
        <v>54490</v>
      </c>
      <c r="N23" s="354" t="n">
        <v>37900</v>
      </c>
      <c r="O23" s="354" t="n">
        <v>4000</v>
      </c>
      <c r="P23" s="354" t="n">
        <v>48700</v>
      </c>
      <c r="Q23" s="354" t="n">
        <v>11000</v>
      </c>
    </row>
    <row r="24" ht="15" customHeight="1" s="322">
      <c r="A24" s="343" t="inlineStr">
        <is>
          <t>선택</t>
        </is>
      </c>
      <c r="B24" s="353" t="inlineStr">
        <is>
          <t>반려동물</t>
        </is>
      </c>
      <c r="C24" s="354">
        <f>SUM(E24:Q24)</f>
        <v/>
      </c>
      <c r="D24" s="354">
        <f>C24/13</f>
        <v/>
      </c>
      <c r="E24" s="354" t="n">
        <v>0</v>
      </c>
      <c r="F24" s="354" t="n">
        <v>0</v>
      </c>
      <c r="G24" s="354" t="n">
        <v>0</v>
      </c>
      <c r="H24" s="354" t="n">
        <v>0</v>
      </c>
      <c r="I24" s="354" t="n">
        <v>0</v>
      </c>
      <c r="J24" s="354" t="n">
        <v>0</v>
      </c>
      <c r="K24" s="354" t="n">
        <v>0</v>
      </c>
      <c r="L24" s="354" t="n">
        <v>0</v>
      </c>
      <c r="M24" s="354" t="n">
        <v>0</v>
      </c>
      <c r="N24" s="354" t="n">
        <v>0</v>
      </c>
      <c r="O24" s="354" t="n">
        <v>0</v>
      </c>
      <c r="P24" s="354" t="n">
        <v>32500</v>
      </c>
      <c r="Q24" s="354" t="n">
        <v>0</v>
      </c>
    </row>
    <row r="25" ht="15" customHeight="1" s="322">
      <c r="A25" s="343" t="inlineStr">
        <is>
          <t>선택</t>
        </is>
      </c>
      <c r="B25" s="353" t="inlineStr">
        <is>
          <t>뷰티/미용</t>
        </is>
      </c>
      <c r="C25" s="354">
        <f>SUM(E25:Q25)</f>
        <v/>
      </c>
      <c r="D25" s="354">
        <f>C25/13</f>
        <v/>
      </c>
      <c r="E25" s="354" t="n">
        <v>0</v>
      </c>
      <c r="F25" s="354" t="n">
        <v>52400</v>
      </c>
      <c r="G25" s="354" t="n">
        <v>81670</v>
      </c>
      <c r="H25" s="354" t="n">
        <v>41200</v>
      </c>
      <c r="I25" s="354" t="n">
        <v>102433</v>
      </c>
      <c r="J25" s="354" t="n">
        <v>83333</v>
      </c>
      <c r="K25" s="354" t="n">
        <v>150833</v>
      </c>
      <c r="L25" s="354" t="n">
        <v>83333</v>
      </c>
      <c r="M25" s="354" t="n">
        <v>101933</v>
      </c>
      <c r="N25" s="354" t="n">
        <v>83333</v>
      </c>
      <c r="O25" s="354" t="n">
        <v>43610</v>
      </c>
      <c r="P25" s="354" t="n">
        <v>37660</v>
      </c>
      <c r="Q25" s="354" t="n">
        <v>88170</v>
      </c>
    </row>
    <row r="26" ht="15" customHeight="1" s="322">
      <c r="A26" s="343" t="inlineStr">
        <is>
          <t>선택</t>
        </is>
      </c>
      <c r="B26" s="353" t="inlineStr">
        <is>
          <t>생활</t>
        </is>
      </c>
      <c r="C26" s="354">
        <f>SUM(E26:Q26)</f>
        <v/>
      </c>
      <c r="D26" s="354">
        <f>C26/13</f>
        <v/>
      </c>
      <c r="E26" s="354" t="n">
        <v>0</v>
      </c>
      <c r="F26" s="354" t="n">
        <v>517390</v>
      </c>
      <c r="G26" s="354" t="n">
        <v>562764</v>
      </c>
      <c r="H26" s="354" t="n">
        <v>384580</v>
      </c>
      <c r="I26" s="354" t="n">
        <v>657570</v>
      </c>
      <c r="J26" s="354" t="n">
        <v>562880</v>
      </c>
      <c r="K26" s="354" t="n">
        <v>406777</v>
      </c>
      <c r="L26" s="354" t="n">
        <v>664860</v>
      </c>
      <c r="M26" s="354" t="n">
        <v>238890</v>
      </c>
      <c r="N26" s="354" t="n">
        <v>248160</v>
      </c>
      <c r="O26" s="354" t="n">
        <v>611080</v>
      </c>
      <c r="P26" s="354" t="n">
        <v>180400</v>
      </c>
      <c r="Q26" s="354" t="n">
        <v>231160</v>
      </c>
    </row>
    <row r="27" ht="15" customHeight="1" s="322">
      <c r="A27" s="343" t="inlineStr">
        <is>
          <t>선택</t>
        </is>
      </c>
      <c r="B27" s="353" t="inlineStr">
        <is>
          <t>술/유흥</t>
        </is>
      </c>
      <c r="C27" s="354">
        <f>SUM(E27:Q27)</f>
        <v/>
      </c>
      <c r="D27" s="354">
        <f>C27/13</f>
        <v/>
      </c>
      <c r="E27" s="354" t="n">
        <v>0</v>
      </c>
      <c r="F27" s="354" t="n">
        <v>0</v>
      </c>
      <c r="G27" s="354" t="n">
        <v>0</v>
      </c>
      <c r="H27" s="354" t="n">
        <v>0</v>
      </c>
      <c r="I27" s="354" t="n">
        <v>28500</v>
      </c>
      <c r="J27" s="354" t="n">
        <v>0</v>
      </c>
      <c r="K27" s="354" t="n">
        <v>0</v>
      </c>
      <c r="L27" s="354" t="n">
        <v>0</v>
      </c>
      <c r="M27" s="354" t="n">
        <v>0</v>
      </c>
      <c r="N27" s="354" t="n">
        <v>121400</v>
      </c>
      <c r="O27" s="354" t="n">
        <v>0</v>
      </c>
      <c r="P27" s="354" t="n">
        <v>0</v>
      </c>
      <c r="Q27" s="354" t="n">
        <v>0</v>
      </c>
    </row>
    <row r="28" ht="15" customHeight="1" s="322">
      <c r="A28" s="343" t="inlineStr">
        <is>
          <t>선택</t>
        </is>
      </c>
      <c r="B28" s="353" t="inlineStr">
        <is>
          <t>식비</t>
        </is>
      </c>
      <c r="C28" s="354">
        <f>SUM(E28:Q28)</f>
        <v/>
      </c>
      <c r="D28" s="354">
        <f>C28/13</f>
        <v/>
      </c>
      <c r="E28" s="354" t="n">
        <v>198963</v>
      </c>
      <c r="F28" s="354" t="n">
        <v>1064704</v>
      </c>
      <c r="G28" s="354" t="n">
        <v>534182</v>
      </c>
      <c r="H28" s="354" t="n">
        <v>619454</v>
      </c>
      <c r="I28" s="354" t="n">
        <v>814865</v>
      </c>
      <c r="J28" s="354" t="n">
        <v>586715</v>
      </c>
      <c r="K28" s="354" t="n">
        <v>951826</v>
      </c>
      <c r="L28" s="354" t="n">
        <v>1051308</v>
      </c>
      <c r="M28" s="354" t="n">
        <v>1223049</v>
      </c>
      <c r="N28" s="354" t="n">
        <v>824610</v>
      </c>
      <c r="O28" s="354" t="n">
        <v>1109662</v>
      </c>
      <c r="P28" s="354" t="n">
        <v>717950</v>
      </c>
      <c r="Q28" s="354" t="n">
        <v>1162035</v>
      </c>
    </row>
    <row r="29" ht="15" customHeight="1" s="322">
      <c r="A29" s="343" t="inlineStr">
        <is>
          <t>선택</t>
        </is>
      </c>
      <c r="B29" s="353" t="inlineStr">
        <is>
          <t>여행/숙박</t>
        </is>
      </c>
      <c r="C29" s="354">
        <f>SUM(E29:Q29)</f>
        <v/>
      </c>
      <c r="D29" s="354">
        <f>C29/13</f>
        <v/>
      </c>
      <c r="E29" s="354" t="n">
        <v>0</v>
      </c>
      <c r="F29" s="354" t="n">
        <v>0</v>
      </c>
      <c r="G29" s="354" t="n">
        <v>0</v>
      </c>
      <c r="H29" s="354" t="n">
        <v>42000</v>
      </c>
      <c r="I29" s="354" t="n">
        <v>0</v>
      </c>
      <c r="J29" s="354" t="n">
        <v>0</v>
      </c>
      <c r="K29" s="354" t="n">
        <v>28500</v>
      </c>
      <c r="L29" s="354" t="n">
        <v>126254</v>
      </c>
      <c r="M29" s="354" t="n">
        <v>3000</v>
      </c>
      <c r="N29" s="354" t="n">
        <v>61400</v>
      </c>
      <c r="O29" s="354" t="n">
        <v>10000</v>
      </c>
      <c r="P29" s="354" t="n">
        <v>220900</v>
      </c>
      <c r="Q29" s="354" t="n">
        <v>0</v>
      </c>
    </row>
    <row r="30" ht="15" customHeight="1" s="322">
      <c r="A30" s="343" t="inlineStr">
        <is>
          <t>선택</t>
        </is>
      </c>
      <c r="B30" s="353" t="inlineStr">
        <is>
          <t>온라인쇼핑</t>
        </is>
      </c>
      <c r="C30" s="354">
        <f>SUM(E30:Q30)</f>
        <v/>
      </c>
      <c r="D30" s="354">
        <f>C30/13</f>
        <v/>
      </c>
      <c r="E30" s="354" t="n">
        <v>95160</v>
      </c>
      <c r="F30" s="354" t="n">
        <v>796617</v>
      </c>
      <c r="G30" s="354" t="n">
        <v>5908354</v>
      </c>
      <c r="H30" s="354" t="n">
        <v>478950</v>
      </c>
      <c r="I30" s="354" t="n">
        <v>1478034</v>
      </c>
      <c r="J30" s="354" t="n">
        <v>251792</v>
      </c>
      <c r="K30" s="354" t="n">
        <v>894758</v>
      </c>
      <c r="L30" s="354" t="n">
        <v>253822</v>
      </c>
      <c r="M30" s="354" t="n">
        <v>505824</v>
      </c>
      <c r="N30" s="354" t="n">
        <v>365333</v>
      </c>
      <c r="O30" s="354" t="n">
        <v>286309</v>
      </c>
      <c r="P30" s="354" t="n">
        <v>688755</v>
      </c>
      <c r="Q30" s="354" t="n">
        <v>188672</v>
      </c>
    </row>
    <row r="31" ht="15" customHeight="1" s="322">
      <c r="A31" s="343" t="inlineStr">
        <is>
          <t>선택</t>
        </is>
      </c>
      <c r="B31" s="353" t="inlineStr">
        <is>
          <t>의료/건강</t>
        </is>
      </c>
      <c r="C31" s="354">
        <f>SUM(E31:Q31)</f>
        <v/>
      </c>
      <c r="D31" s="354">
        <f>C31/13</f>
        <v/>
      </c>
      <c r="E31" s="354" t="n">
        <v>0</v>
      </c>
      <c r="F31" s="354" t="n">
        <v>111520</v>
      </c>
      <c r="G31" s="354" t="n">
        <v>268350</v>
      </c>
      <c r="H31" s="354" t="n">
        <v>132420</v>
      </c>
      <c r="I31" s="354" t="n">
        <v>434750</v>
      </c>
      <c r="J31" s="354" t="n">
        <v>116200</v>
      </c>
      <c r="K31" s="354" t="n">
        <v>57370</v>
      </c>
      <c r="L31" s="354" t="n">
        <v>105720</v>
      </c>
      <c r="M31" s="354" t="n">
        <v>110470</v>
      </c>
      <c r="N31" s="354" t="n">
        <v>30200</v>
      </c>
      <c r="O31" s="354" t="n">
        <v>265200</v>
      </c>
      <c r="P31" s="354" t="n">
        <v>235960</v>
      </c>
      <c r="Q31" s="354" t="n">
        <v>45000</v>
      </c>
    </row>
    <row r="32" ht="15" customHeight="1" s="322">
      <c r="A32" s="343" t="inlineStr">
        <is>
          <t>선택</t>
        </is>
      </c>
      <c r="B32" s="353" t="inlineStr">
        <is>
          <t>자녀/육아</t>
        </is>
      </c>
      <c r="C32" s="354">
        <f>SUM(E32:Q32)</f>
        <v/>
      </c>
      <c r="D32" s="354">
        <f>C32/13</f>
        <v/>
      </c>
      <c r="E32" s="354" t="n">
        <v>0</v>
      </c>
      <c r="F32" s="354" t="n">
        <v>311950</v>
      </c>
      <c r="G32" s="354" t="n">
        <v>273200</v>
      </c>
      <c r="H32" s="354" t="n">
        <v>72300</v>
      </c>
      <c r="I32" s="354" t="n">
        <v>0</v>
      </c>
      <c r="J32" s="354" t="n">
        <v>137370</v>
      </c>
      <c r="K32" s="354" t="n">
        <v>101620</v>
      </c>
      <c r="L32" s="354" t="n">
        <v>112900</v>
      </c>
      <c r="M32" s="354" t="n">
        <v>0</v>
      </c>
      <c r="N32" s="354" t="n">
        <v>29380</v>
      </c>
      <c r="O32" s="354" t="n">
        <v>22620</v>
      </c>
      <c r="P32" s="354" t="n">
        <v>36600</v>
      </c>
      <c r="Q32" s="354" t="n">
        <v>0</v>
      </c>
    </row>
    <row r="33" ht="15" customHeight="1" s="322">
      <c r="A33" s="343" t="inlineStr">
        <is>
          <t>필수</t>
        </is>
      </c>
      <c r="B33" s="353" t="inlineStr">
        <is>
          <t>자동차</t>
        </is>
      </c>
      <c r="C33" s="354">
        <f>SUM(E33:Q33)</f>
        <v/>
      </c>
      <c r="D33" s="354">
        <f>C33/13</f>
        <v/>
      </c>
      <c r="E33" s="354" t="n">
        <v>0</v>
      </c>
      <c r="F33" s="354" t="n">
        <v>21800</v>
      </c>
      <c r="G33" s="354" t="n">
        <v>78100</v>
      </c>
      <c r="H33" s="354" t="n">
        <v>162859</v>
      </c>
      <c r="I33" s="354" t="n">
        <v>63700</v>
      </c>
      <c r="J33" s="354" t="n">
        <v>180307</v>
      </c>
      <c r="K33" s="354" t="n">
        <v>217000</v>
      </c>
      <c r="L33" s="354" t="n">
        <v>57700</v>
      </c>
      <c r="M33" s="354" t="n">
        <v>176212</v>
      </c>
      <c r="N33" s="354" t="n">
        <v>87300</v>
      </c>
      <c r="O33" s="354" t="n">
        <v>145800</v>
      </c>
      <c r="P33" s="354" t="n">
        <v>247613</v>
      </c>
      <c r="Q33" s="354" t="n">
        <v>113323</v>
      </c>
    </row>
    <row r="34" ht="15" customHeight="1" s="322">
      <c r="A34" s="343" t="inlineStr">
        <is>
          <t>필수</t>
        </is>
      </c>
      <c r="B34" s="353" t="inlineStr">
        <is>
          <t>주거/통신</t>
        </is>
      </c>
      <c r="C34" s="354">
        <f>SUM(E34:Q34)</f>
        <v/>
      </c>
      <c r="D34" s="354">
        <f>C34/13</f>
        <v/>
      </c>
      <c r="E34" s="354" t="n">
        <v>0</v>
      </c>
      <c r="F34" s="354" t="n">
        <v>0</v>
      </c>
      <c r="G34" s="354" t="n">
        <v>0</v>
      </c>
      <c r="H34" s="354" t="n">
        <v>356320</v>
      </c>
      <c r="I34" s="354" t="n">
        <v>429500</v>
      </c>
      <c r="J34" s="354" t="n">
        <v>575080</v>
      </c>
      <c r="K34" s="354" t="n">
        <v>652050</v>
      </c>
      <c r="L34" s="354" t="n">
        <v>651140</v>
      </c>
      <c r="M34" s="354" t="n">
        <v>569840</v>
      </c>
      <c r="N34" s="354" t="n">
        <v>445220</v>
      </c>
      <c r="O34" s="354" t="n">
        <v>343940</v>
      </c>
      <c r="P34" s="354" t="n">
        <v>376890</v>
      </c>
      <c r="Q34" s="354" t="n">
        <v>426980</v>
      </c>
    </row>
    <row r="35" ht="15" customHeight="1" s="322">
      <c r="A35" s="343" t="inlineStr">
        <is>
          <t>선택</t>
        </is>
      </c>
      <c r="B35" s="353" t="inlineStr">
        <is>
          <t>카페/간식</t>
        </is>
      </c>
      <c r="C35" s="354">
        <f>SUM(E35:Q35)</f>
        <v/>
      </c>
      <c r="D35" s="354">
        <f>C35/13</f>
        <v/>
      </c>
      <c r="E35" s="354" t="n">
        <v>0</v>
      </c>
      <c r="F35" s="354" t="n">
        <v>60800</v>
      </c>
      <c r="G35" s="354" t="n">
        <v>113145</v>
      </c>
      <c r="H35" s="354" t="n">
        <v>300660</v>
      </c>
      <c r="I35" s="354" t="n">
        <v>125000</v>
      </c>
      <c r="J35" s="354" t="n">
        <v>59850</v>
      </c>
      <c r="K35" s="354" t="n">
        <v>125066</v>
      </c>
      <c r="L35" s="354" t="n">
        <v>365366</v>
      </c>
      <c r="M35" s="354" t="n">
        <v>153136</v>
      </c>
      <c r="N35" s="354" t="n">
        <v>126000</v>
      </c>
      <c r="O35" s="354" t="n">
        <v>185200</v>
      </c>
      <c r="P35" s="354" t="n">
        <v>111350</v>
      </c>
      <c r="Q35" s="354" t="n">
        <v>151430</v>
      </c>
    </row>
    <row r="36" ht="15" customHeight="1" s="322">
      <c r="A36" s="343" t="inlineStr">
        <is>
          <t>선택</t>
        </is>
      </c>
      <c r="B36" s="353" t="inlineStr">
        <is>
          <t>패션/쇼핑</t>
        </is>
      </c>
      <c r="C36" s="354">
        <f>SUM(E36:Q36)</f>
        <v/>
      </c>
      <c r="D36" s="354">
        <f>C36/13</f>
        <v/>
      </c>
      <c r="E36" s="354" t="n">
        <v>29500</v>
      </c>
      <c r="F36" s="354" t="n">
        <v>96740</v>
      </c>
      <c r="G36" s="354" t="n">
        <v>168500</v>
      </c>
      <c r="H36" s="354" t="n">
        <v>727450</v>
      </c>
      <c r="I36" s="354" t="n">
        <v>60270</v>
      </c>
      <c r="J36" s="354" t="n">
        <v>0</v>
      </c>
      <c r="K36" s="354" t="n">
        <v>64500</v>
      </c>
      <c r="L36" s="354" t="n">
        <v>38500</v>
      </c>
      <c r="M36" s="354" t="n">
        <v>171510</v>
      </c>
      <c r="N36" s="354" t="n">
        <v>246565</v>
      </c>
      <c r="O36" s="354" t="n">
        <v>140000</v>
      </c>
      <c r="P36" s="354" t="n">
        <v>0</v>
      </c>
      <c r="Q36" s="354" t="n">
        <v>109300</v>
      </c>
    </row>
    <row r="37" ht="15" customHeight="1" s="322">
      <c r="A37" s="343" t="inlineStr">
        <is>
          <t>선택</t>
        </is>
      </c>
      <c r="B37" s="353" t="inlineStr">
        <is>
          <t>미분류</t>
        </is>
      </c>
      <c r="C37" s="354">
        <f>SUM(E37:Q37)</f>
        <v/>
      </c>
      <c r="D37" s="354">
        <f>C37/13</f>
        <v/>
      </c>
      <c r="E37" s="354" t="n">
        <v>0</v>
      </c>
      <c r="F37" s="354" t="n">
        <v>0</v>
      </c>
      <c r="G37" s="354" t="n">
        <v>0</v>
      </c>
      <c r="H37" s="354" t="n">
        <v>0</v>
      </c>
      <c r="I37" s="354" t="n">
        <v>0</v>
      </c>
      <c r="J37" s="354" t="n">
        <v>0</v>
      </c>
      <c r="K37" s="354" t="n">
        <v>0</v>
      </c>
      <c r="L37" s="354" t="n">
        <v>0</v>
      </c>
      <c r="M37" s="354" t="n">
        <v>0</v>
      </c>
      <c r="N37" s="354" t="n">
        <v>0</v>
      </c>
      <c r="O37" s="354" t="n">
        <v>0</v>
      </c>
      <c r="P37" s="354" t="n">
        <v>0</v>
      </c>
      <c r="Q37" s="354" t="n">
        <v>0</v>
      </c>
    </row>
    <row r="38" ht="15.75" customHeight="1" s="322" thickBot="1">
      <c r="B38" s="355" t="inlineStr">
        <is>
          <t>월지출 총계</t>
        </is>
      </c>
      <c r="C38" s="356">
        <f>SUM(E38:Q38)</f>
        <v/>
      </c>
      <c r="D38" s="356">
        <f>C38/13</f>
        <v/>
      </c>
      <c r="E38" s="356">
        <f>SUM(E19:E37)</f>
        <v/>
      </c>
      <c r="F38" s="356">
        <f>SUM(F19:F37)</f>
        <v/>
      </c>
      <c r="G38" s="356">
        <f>SUM(G19:G37)</f>
        <v/>
      </c>
      <c r="H38" s="356">
        <f>SUM(H19:H37)</f>
        <v/>
      </c>
      <c r="I38" s="356">
        <f>SUM(I19:I37)</f>
        <v/>
      </c>
      <c r="J38" s="356">
        <f>SUM(J19:J37)</f>
        <v/>
      </c>
      <c r="K38" s="356">
        <f>SUM(K19:K37)</f>
        <v/>
      </c>
      <c r="L38" s="356">
        <f>SUM(L19:L37)</f>
        <v/>
      </c>
      <c r="M38" s="356">
        <f>SUM(M19:M37)</f>
        <v/>
      </c>
      <c r="N38" s="356">
        <f>SUM(N19:N37)</f>
        <v/>
      </c>
      <c r="O38" s="356">
        <f>SUM(O19:O37)</f>
        <v/>
      </c>
      <c r="P38" s="356">
        <f>SUM(P19:P37)</f>
        <v/>
      </c>
      <c r="Q38" s="356">
        <f>SUM(Q19:Q37)</f>
        <v/>
      </c>
    </row>
    <row r="39" ht="15.75" customHeight="1" s="322" thickBot="1">
      <c r="B39" s="357" t="inlineStr">
        <is>
          <t>순수입 총계</t>
        </is>
      </c>
      <c r="C39" s="358">
        <f>SUM(E39:Q39)</f>
        <v/>
      </c>
      <c r="D39" s="358">
        <f>C39/13</f>
        <v/>
      </c>
      <c r="E39" s="358">
        <f>E18-E38</f>
        <v/>
      </c>
      <c r="F39" s="358">
        <f>F18-F38</f>
        <v/>
      </c>
      <c r="G39" s="358">
        <f>G18-G38</f>
        <v/>
      </c>
      <c r="H39" s="358">
        <f>H18-H38</f>
        <v/>
      </c>
      <c r="I39" s="358">
        <f>I18-I38</f>
        <v/>
      </c>
      <c r="J39" s="358">
        <f>J18-J38</f>
        <v/>
      </c>
      <c r="K39" s="358">
        <f>K18-K38</f>
        <v/>
      </c>
      <c r="L39" s="358">
        <f>L18-L38</f>
        <v/>
      </c>
      <c r="M39" s="358">
        <f>M18-M38</f>
        <v/>
      </c>
      <c r="N39" s="358">
        <f>N18-N38</f>
        <v/>
      </c>
      <c r="O39" s="358">
        <f>O18-O38</f>
        <v/>
      </c>
      <c r="P39" s="358">
        <f>P18-P38</f>
        <v/>
      </c>
      <c r="Q39" s="358">
        <f>Q18-Q38</f>
        <v/>
      </c>
    </row>
    <row r="42" ht="18" customHeight="1" s="322">
      <c r="B42" s="342" t="inlineStr">
        <is>
          <t>3.재무현황</t>
        </is>
      </c>
    </row>
    <row r="43" ht="15" customHeight="1" s="322" thickBot="1">
      <c r="B43" s="343" t="inlineStr">
        <is>
          <t>데이터를 내보낸 시점의 자산과 부채 상태를 분석합니다.</t>
        </is>
      </c>
    </row>
    <row r="44" ht="15" customHeight="1" s="322">
      <c r="B44" s="359" t="inlineStr">
        <is>
          <t>자산</t>
        </is>
      </c>
      <c r="C44" s="404" t="n"/>
      <c r="D44" s="404" t="n"/>
      <c r="E44" s="405" t="n"/>
      <c r="F44" s="360" t="inlineStr">
        <is>
          <t>부채</t>
        </is>
      </c>
      <c r="G44" s="404" t="n"/>
      <c r="H44" s="404" t="n"/>
      <c r="I44" s="402" t="n"/>
    </row>
    <row r="45" ht="15" customHeight="1" s="322">
      <c r="B45" s="361" t="inlineStr">
        <is>
          <t>항목</t>
        </is>
      </c>
      <c r="C45" s="363" t="inlineStr">
        <is>
          <t>상품명</t>
        </is>
      </c>
      <c r="D45" s="406" t="n"/>
      <c r="E45" s="363" t="inlineStr">
        <is>
          <t>금액</t>
        </is>
      </c>
      <c r="F45" s="363" t="inlineStr">
        <is>
          <t>항목</t>
        </is>
      </c>
      <c r="G45" s="363" t="inlineStr">
        <is>
          <t>상품명</t>
        </is>
      </c>
      <c r="H45" s="406" t="n"/>
      <c r="I45" s="363" t="inlineStr">
        <is>
          <t>금액</t>
        </is>
      </c>
    </row>
    <row r="46">
      <c r="B46" s="371" t="inlineStr">
        <is>
          <t>자유입출금 자산</t>
        </is>
      </c>
      <c r="C46" s="369" t="inlineStr">
        <is>
          <t>AMA+급여 MMDA</t>
        </is>
      </c>
      <c r="D46" s="407" t="n"/>
      <c r="E46" s="366" t="n">
        <v>0</v>
      </c>
      <c r="F46" s="367" t="inlineStr">
        <is>
          <t>장기대출</t>
        </is>
      </c>
      <c r="G46" s="369" t="inlineStr">
        <is>
          <t>하나은행 마이너스 통장</t>
        </is>
      </c>
      <c r="H46" s="407" t="n"/>
      <c r="I46" s="368" t="n">
        <v>121685737</v>
      </c>
    </row>
    <row r="47">
      <c r="B47" s="408" t="n"/>
      <c r="C47" s="369" t="inlineStr">
        <is>
          <t>AMA+급여 저축예금</t>
        </is>
      </c>
      <c r="D47" s="407" t="n"/>
      <c r="E47" s="366" t="n">
        <v>0</v>
      </c>
      <c r="F47" s="409" t="n"/>
      <c r="G47" s="369" t="inlineStr">
        <is>
          <t>가계일반자금대출(분할상환)-하나 아파트론(혼합금리형)</t>
        </is>
      </c>
      <c r="H47" s="407" t="n"/>
      <c r="I47" s="368" t="n">
        <v>207103001</v>
      </c>
    </row>
    <row r="48">
      <c r="B48" s="408" t="n"/>
      <c r="C48" s="369" t="inlineStr">
        <is>
          <t>MY 입출금통장</t>
        </is>
      </c>
      <c r="D48" s="407" t="n"/>
      <c r="E48" s="366" t="n">
        <v>1</v>
      </c>
      <c r="F48" s="409" t="n"/>
      <c r="G48" s="369" t="inlineStr">
        <is>
          <t>하나은행 마이너스 통장</t>
        </is>
      </c>
      <c r="H48" s="407" t="n"/>
      <c r="I48" s="368" t="n">
        <v>1726305</v>
      </c>
    </row>
    <row r="49">
      <c r="B49" s="408" t="n"/>
      <c r="C49" s="369" t="inlineStr">
        <is>
          <t>NH주거래우대통장(비대면실명확인)</t>
        </is>
      </c>
      <c r="D49" s="407" t="n"/>
      <c r="E49" s="366" t="n">
        <v>0</v>
      </c>
      <c r="F49" s="409" t="n"/>
      <c r="G49" s="369" t="inlineStr">
        <is>
          <t>2020년 2학기 일반상환학자금_등록금</t>
        </is>
      </c>
      <c r="H49" s="407" t="n"/>
      <c r="I49" s="368" t="n">
        <v>5448520</v>
      </c>
    </row>
    <row r="50">
      <c r="B50" s="408" t="n"/>
      <c r="C50" s="369" t="inlineStr">
        <is>
          <t>넘버엔 통장</t>
        </is>
      </c>
      <c r="D50" s="407" t="n"/>
      <c r="E50" s="366" t="n">
        <v>-121685737</v>
      </c>
      <c r="F50" s="409" t="n"/>
      <c r="G50" s="369" t="inlineStr">
        <is>
          <t>2021년 2학기 일반상환학자금_등록금</t>
        </is>
      </c>
      <c r="H50" s="407" t="n"/>
      <c r="I50" s="368" t="n">
        <v>5441312</v>
      </c>
    </row>
    <row r="51">
      <c r="B51" s="408" t="n"/>
      <c r="C51" s="369" t="inlineStr">
        <is>
          <t>달달 하나 통장</t>
        </is>
      </c>
      <c r="D51" s="407" t="n"/>
      <c r="E51" s="366" t="n">
        <v>-1726305</v>
      </c>
      <c r="F51" s="409" t="n"/>
      <c r="G51" s="369" t="inlineStr">
        <is>
          <t>2020년 1학기 일반상환학자금_등록금</t>
        </is>
      </c>
      <c r="H51" s="407" t="n"/>
      <c r="I51" s="368" t="n">
        <v>5198750</v>
      </c>
    </row>
    <row r="52">
      <c r="B52" s="408" t="n"/>
      <c r="C52" s="369" t="inlineStr">
        <is>
          <t>샐러리맨리치예금(스페셜플러스예금)</t>
        </is>
      </c>
      <c r="D52" s="407" t="n"/>
      <c r="E52" s="366" t="n">
        <v>86</v>
      </c>
      <c r="F52" s="410" t="n"/>
      <c r="G52" s="369" t="inlineStr">
        <is>
          <t>2021년 1학기 일반상환학자금_등록금</t>
        </is>
      </c>
      <c r="H52" s="407" t="n"/>
      <c r="I52" s="368" t="n">
        <v>5129730</v>
      </c>
    </row>
    <row r="53">
      <c r="B53" s="408" t="n"/>
      <c r="C53" s="369" t="inlineStr">
        <is>
          <t>입출금통장</t>
        </is>
      </c>
      <c r="D53" s="407" t="n"/>
      <c r="E53" s="366" t="n">
        <v>0</v>
      </c>
      <c r="F53" s="369" t="n"/>
      <c r="G53" s="369" t="n"/>
      <c r="H53" s="407" t="n"/>
      <c r="I53" s="370" t="n"/>
    </row>
    <row r="54">
      <c r="B54" s="408" t="n"/>
      <c r="C54" s="369" t="inlineStr">
        <is>
          <t>저축예금</t>
        </is>
      </c>
      <c r="D54" s="407" t="n"/>
      <c r="E54" s="366" t="n">
        <v>558</v>
      </c>
      <c r="F54" s="369" t="n"/>
      <c r="G54" s="369" t="n"/>
      <c r="H54" s="407" t="n"/>
      <c r="I54" s="370" t="n"/>
    </row>
    <row r="55">
      <c r="B55" s="408" t="n"/>
      <c r="C55" s="369" t="inlineStr">
        <is>
          <t>저축예금</t>
        </is>
      </c>
      <c r="D55" s="407" t="n"/>
      <c r="E55" s="366" t="n">
        <v>270000</v>
      </c>
      <c r="F55" s="369" t="n"/>
      <c r="G55" s="369" t="n"/>
      <c r="H55" s="407" t="n"/>
      <c r="I55" s="370" t="n"/>
    </row>
    <row r="56">
      <c r="B56" s="411" t="n"/>
      <c r="C56" s="369" t="inlineStr">
        <is>
          <t>저축예금(iM스마트통장)</t>
        </is>
      </c>
      <c r="D56" s="407" t="n"/>
      <c r="E56" s="366" t="n">
        <v>0</v>
      </c>
      <c r="F56" s="369" t="n"/>
      <c r="G56" s="369" t="n"/>
      <c r="H56" s="407" t="n"/>
      <c r="I56" s="370" t="n"/>
    </row>
    <row r="57" ht="15" customHeight="1" s="322">
      <c r="B57" s="371" t="inlineStr">
        <is>
          <t>신탁 자산</t>
        </is>
      </c>
      <c r="C57" s="369" t="n"/>
      <c r="D57" s="407" t="n"/>
      <c r="E57" s="366" t="n"/>
      <c r="F57" s="369" t="n"/>
      <c r="G57" s="369" t="n"/>
      <c r="H57" s="407" t="n"/>
      <c r="I57" s="370" t="n"/>
    </row>
    <row r="58" ht="15" customHeight="1" s="322">
      <c r="B58" s="371" t="inlineStr">
        <is>
          <t>현금 자산</t>
        </is>
      </c>
      <c r="C58" s="369" t="inlineStr">
        <is>
          <t>현금</t>
        </is>
      </c>
      <c r="D58" s="407" t="n"/>
      <c r="E58" s="366" t="n">
        <v>0</v>
      </c>
      <c r="F58" s="369" t="n"/>
      <c r="G58" s="369" t="n"/>
      <c r="H58" s="407" t="n"/>
      <c r="I58" s="370" t="n"/>
    </row>
    <row r="59" ht="15" customHeight="1" s="322">
      <c r="B59" s="371" t="inlineStr">
        <is>
          <t>저축성 자산</t>
        </is>
      </c>
      <c r="C59" s="369" t="n"/>
      <c r="D59" s="407" t="n"/>
      <c r="E59" s="366" t="n"/>
      <c r="F59" s="369" t="n"/>
      <c r="G59" s="369" t="n"/>
      <c r="H59" s="407" t="n"/>
      <c r="I59" s="370" t="n"/>
    </row>
    <row r="60">
      <c r="B60" s="371" t="inlineStr">
        <is>
          <t>전자금융 자산</t>
        </is>
      </c>
      <c r="C60" s="369" t="inlineStr">
        <is>
          <t>네이버페이 머니 - here****</t>
        </is>
      </c>
      <c r="D60" s="407" t="n"/>
      <c r="E60" s="366" t="n">
        <v>8920</v>
      </c>
      <c r="F60" s="369" t="n"/>
      <c r="G60" s="369" t="n"/>
      <c r="H60" s="407" t="n"/>
      <c r="I60" s="370" t="n"/>
    </row>
    <row r="61">
      <c r="B61" s="408" t="n"/>
      <c r="C61" s="369" t="inlineStr">
        <is>
          <t>카카오페이 머니 - 010*****399</t>
        </is>
      </c>
      <c r="D61" s="407" t="n"/>
      <c r="E61" s="366" t="n">
        <v>0</v>
      </c>
      <c r="F61" s="369" t="n"/>
      <c r="G61" s="369" t="n"/>
      <c r="H61" s="407" t="n"/>
      <c r="I61" s="370" t="n"/>
    </row>
    <row r="62">
      <c r="B62" s="411" t="n"/>
      <c r="C62" s="369" t="inlineStr">
        <is>
          <t>토스머니</t>
        </is>
      </c>
      <c r="D62" s="407" t="n"/>
      <c r="E62" s="366" t="n">
        <v>135</v>
      </c>
      <c r="F62" s="369" t="n"/>
      <c r="G62" s="369" t="n"/>
      <c r="H62" s="407" t="n"/>
      <c r="I62" s="370" t="n"/>
    </row>
    <row r="63">
      <c r="B63" s="371" t="inlineStr">
        <is>
          <t>투자성 자산</t>
        </is>
      </c>
      <c r="C63" s="369" t="inlineStr">
        <is>
          <t>키움똑똑한4차산업혁명ETF분할매수증권투자신탁[혼합-재간접형] Ce</t>
        </is>
      </c>
      <c r="D63" s="407" t="n"/>
      <c r="E63" s="366" t="n">
        <v>1277</v>
      </c>
      <c r="F63" s="369" t="n"/>
      <c r="G63" s="369" t="n"/>
      <c r="H63" s="407" t="n"/>
      <c r="I63" s="370" t="n"/>
    </row>
    <row r="64">
      <c r="B64" s="408" t="n"/>
      <c r="C64" s="369" t="inlineStr">
        <is>
          <t>퀄컴</t>
        </is>
      </c>
      <c r="D64" s="407" t="n"/>
      <c r="E64" s="366" t="n">
        <v>237088.128</v>
      </c>
      <c r="F64" s="369" t="n"/>
      <c r="G64" s="369" t="n"/>
      <c r="H64" s="407" t="n"/>
      <c r="I64" s="370" t="n"/>
    </row>
    <row r="65">
      <c r="B65" s="408" t="n"/>
      <c r="C65" s="369" t="inlineStr">
        <is>
          <t>케이뱅크</t>
        </is>
      </c>
      <c r="D65" s="407" t="n"/>
      <c r="E65" s="366" t="n">
        <v>5600</v>
      </c>
      <c r="F65" s="369" t="n"/>
      <c r="G65" s="369" t="n"/>
      <c r="H65" s="407" t="n"/>
      <c r="I65" s="370" t="n"/>
    </row>
    <row r="66">
      <c r="B66" s="408" t="n"/>
      <c r="C66" s="369" t="inlineStr">
        <is>
          <t>TIGER 200</t>
        </is>
      </c>
      <c r="D66" s="407" t="n"/>
      <c r="E66" s="366" t="n">
        <v>656005</v>
      </c>
      <c r="F66" s="369" t="n"/>
      <c r="G66" s="369" t="n"/>
      <c r="H66" s="407" t="n"/>
      <c r="I66" s="370" t="n"/>
    </row>
    <row r="67">
      <c r="B67" s="408" t="n"/>
      <c r="C67" s="369" t="inlineStr">
        <is>
          <t>ACE AI반도체TOP3+</t>
        </is>
      </c>
      <c r="D67" s="407" t="n"/>
      <c r="E67" s="366" t="n">
        <v>463900</v>
      </c>
      <c r="F67" s="369" t="n"/>
      <c r="G67" s="369" t="n"/>
      <c r="H67" s="407" t="n"/>
      <c r="I67" s="370" t="n"/>
    </row>
    <row r="68">
      <c r="B68" s="408" t="n"/>
      <c r="C68" s="369" t="inlineStr">
        <is>
          <t>TIGER 소프트웨어</t>
        </is>
      </c>
      <c r="D68" s="407" t="n"/>
      <c r="E68" s="366" t="n">
        <v>82650</v>
      </c>
      <c r="F68" s="369" t="n"/>
      <c r="G68" s="369" t="n"/>
      <c r="H68" s="407" t="n"/>
      <c r="I68" s="370" t="n"/>
    </row>
    <row r="69">
      <c r="B69" s="408" t="n"/>
      <c r="C69" s="369" t="inlineStr">
        <is>
          <t>비트마인 이머전 테크놀로지스</t>
        </is>
      </c>
      <c r="D69" s="407" t="n"/>
      <c r="E69" s="366" t="n">
        <v>17211902.316</v>
      </c>
      <c r="F69" s="369" t="n"/>
      <c r="G69" s="369" t="n"/>
      <c r="H69" s="407" t="n"/>
      <c r="I69" s="370" t="n"/>
    </row>
    <row r="70">
      <c r="B70" s="408" t="n"/>
      <c r="C70" s="369" t="inlineStr">
        <is>
          <t>비트마인 이머전 테크놀로지스</t>
        </is>
      </c>
      <c r="D70" s="407" t="n"/>
      <c r="E70" s="366" t="n">
        <v>10690304.856</v>
      </c>
      <c r="F70" s="369" t="n"/>
      <c r="G70" s="369" t="n"/>
      <c r="H70" s="407" t="n"/>
      <c r="I70" s="370" t="n"/>
    </row>
    <row r="71">
      <c r="B71" s="408" t="n"/>
      <c r="C71" s="369" t="inlineStr">
        <is>
          <t>스트래티지</t>
        </is>
      </c>
      <c r="D71" s="407" t="n"/>
      <c r="E71" s="366" t="n">
        <v>8398229.76</v>
      </c>
      <c r="F71" s="369" t="n"/>
      <c r="G71" s="369" t="n"/>
      <c r="H71" s="407" t="n"/>
      <c r="I71" s="370" t="n"/>
    </row>
    <row r="72">
      <c r="B72" s="408" t="n"/>
      <c r="C72" s="369" t="inlineStr">
        <is>
          <t>이더리움 2배 ETF</t>
        </is>
      </c>
      <c r="D72" s="407" t="n"/>
      <c r="E72" s="366" t="n">
        <v>6118643</v>
      </c>
      <c r="F72" s="369" t="n"/>
      <c r="G72" s="369" t="n"/>
      <c r="H72" s="407" t="n"/>
      <c r="I72" s="370" t="n"/>
    </row>
    <row r="73">
      <c r="B73" s="408" t="n"/>
      <c r="C73" s="369" t="inlineStr">
        <is>
          <t>메타 플랫폼스(페이스북)</t>
        </is>
      </c>
      <c r="D73" s="407" t="n"/>
      <c r="E73" s="366" t="n">
        <v>3455070.384</v>
      </c>
      <c r="F73" s="369" t="n"/>
      <c r="G73" s="369" t="n"/>
      <c r="H73" s="407" t="n"/>
      <c r="I73" s="370" t="n"/>
    </row>
    <row r="74">
      <c r="B74" s="408" t="n"/>
      <c r="C74" s="369" t="inlineStr">
        <is>
          <t>SK하이닉스</t>
        </is>
      </c>
      <c r="D74" s="407" t="n"/>
      <c r="E74" s="366" t="n">
        <v>2954000</v>
      </c>
      <c r="F74" s="369" t="n"/>
      <c r="G74" s="369" t="n"/>
      <c r="H74" s="407" t="n"/>
      <c r="I74" s="370" t="n"/>
    </row>
    <row r="75">
      <c r="B75" s="408" t="n"/>
      <c r="C75" s="369" t="inlineStr">
        <is>
          <t>삼성전자</t>
        </is>
      </c>
      <c r="D75" s="407" t="n"/>
      <c r="E75" s="366" t="n">
        <v>1326000</v>
      </c>
      <c r="F75" s="369" t="n"/>
      <c r="G75" s="369" t="n"/>
      <c r="H75" s="407" t="n"/>
      <c r="I75" s="370" t="n"/>
    </row>
    <row r="76">
      <c r="B76" s="408" t="n"/>
      <c r="C76" s="369" t="inlineStr">
        <is>
          <t>이더리움 2배 ETF</t>
        </is>
      </c>
      <c r="D76" s="407" t="n"/>
      <c r="E76" s="366" t="n">
        <v>478019</v>
      </c>
      <c r="F76" s="369" t="n"/>
      <c r="G76" s="369" t="n"/>
      <c r="H76" s="407" t="n"/>
      <c r="I76" s="370" t="n"/>
    </row>
    <row r="77">
      <c r="B77" s="408" t="n"/>
      <c r="C77" s="369" t="inlineStr">
        <is>
          <t>팔란티어 테크</t>
        </is>
      </c>
      <c r="D77" s="407" t="n"/>
      <c r="E77" s="366" t="n">
        <v>431.5446432</v>
      </c>
      <c r="F77" s="369" t="n"/>
      <c r="G77" s="369" t="n"/>
      <c r="H77" s="407" t="n"/>
      <c r="I77" s="370" t="n"/>
    </row>
    <row r="78">
      <c r="B78" s="408" t="n"/>
      <c r="C78" s="369" t="inlineStr">
        <is>
          <t>CMA</t>
        </is>
      </c>
      <c r="D78" s="407" t="n"/>
      <c r="E78" s="366" t="n">
        <v>0</v>
      </c>
      <c r="F78" s="369" t="n"/>
      <c r="G78" s="369" t="n"/>
      <c r="H78" s="407" t="n"/>
      <c r="I78" s="370" t="n"/>
    </row>
    <row r="79">
      <c r="B79" s="408" t="n"/>
      <c r="C79" s="369" t="inlineStr">
        <is>
          <t>CMA-MMW</t>
        </is>
      </c>
      <c r="D79" s="407" t="n"/>
      <c r="E79" s="366" t="n">
        <v>0</v>
      </c>
      <c r="F79" s="369" t="n"/>
      <c r="G79" s="369" t="n"/>
      <c r="H79" s="407" t="n"/>
      <c r="I79" s="370" t="n"/>
    </row>
    <row r="80">
      <c r="B80" s="408" t="n"/>
      <c r="C80" s="369" t="inlineStr">
        <is>
          <t>CMA-MMW</t>
        </is>
      </c>
      <c r="D80" s="407" t="n"/>
      <c r="E80" s="366" t="n">
        <v>950</v>
      </c>
      <c r="F80" s="369" t="n"/>
      <c r="G80" s="369" t="n"/>
      <c r="H80" s="407" t="n"/>
      <c r="I80" s="370" t="n"/>
    </row>
    <row r="81">
      <c r="B81" s="408" t="n"/>
      <c r="C81" s="369" t="inlineStr">
        <is>
          <t>CMA-MMW</t>
        </is>
      </c>
      <c r="D81" s="407" t="n"/>
      <c r="E81" s="366" t="n">
        <v>1</v>
      </c>
      <c r="F81" s="369" t="n"/>
      <c r="G81" s="369" t="n"/>
      <c r="H81" s="407" t="n"/>
      <c r="I81" s="370" t="n"/>
    </row>
    <row r="82">
      <c r="B82" s="408" t="n"/>
      <c r="C82" s="369" t="inlineStr">
        <is>
          <t>CMA계좌</t>
        </is>
      </c>
      <c r="D82" s="407" t="n"/>
      <c r="E82" s="366" t="n">
        <v>0</v>
      </c>
      <c r="F82" s="369" t="n"/>
      <c r="G82" s="369" t="n"/>
      <c r="H82" s="407" t="n"/>
      <c r="I82" s="370" t="n"/>
    </row>
    <row r="83">
      <c r="B83" s="408" t="n"/>
      <c r="C83" s="369" t="inlineStr">
        <is>
          <t>종합매매</t>
        </is>
      </c>
      <c r="D83" s="407" t="n"/>
      <c r="E83" s="366" t="n">
        <v>1</v>
      </c>
      <c r="F83" s="369" t="n"/>
      <c r="G83" s="369" t="n"/>
      <c r="H83" s="407" t="n"/>
      <c r="I83" s="370" t="n"/>
    </row>
    <row r="84">
      <c r="B84" s="408" t="n"/>
      <c r="C84" s="369" t="inlineStr">
        <is>
          <t>통합증거금</t>
        </is>
      </c>
      <c r="D84" s="407" t="n"/>
      <c r="E84" s="366" t="n">
        <v>7657.456</v>
      </c>
      <c r="F84" s="369" t="n"/>
      <c r="G84" s="369" t="n"/>
      <c r="H84" s="407" t="n"/>
      <c r="I84" s="370" t="n"/>
    </row>
    <row r="85">
      <c r="B85" s="408" t="n"/>
      <c r="C85" s="369" t="inlineStr">
        <is>
          <t>미니금고</t>
        </is>
      </c>
      <c r="D85" s="407" t="n"/>
      <c r="E85" s="366" t="n">
        <v>0</v>
      </c>
      <c r="F85" s="369" t="n"/>
      <c r="G85" s="369" t="n"/>
      <c r="H85" s="407" t="n"/>
      <c r="I85" s="370" t="n"/>
    </row>
    <row r="86">
      <c r="B86" s="408" t="n"/>
      <c r="C86" s="369" t="inlineStr">
        <is>
          <t>위탁계좌</t>
        </is>
      </c>
      <c r="D86" s="407" t="n"/>
      <c r="E86" s="366" t="n">
        <v>1</v>
      </c>
      <c r="F86" s="369" t="n"/>
      <c r="G86" s="369" t="n"/>
      <c r="H86" s="407" t="n"/>
      <c r="I86" s="370" t="n"/>
    </row>
    <row r="87">
      <c r="B87" s="408" t="n"/>
      <c r="C87" s="369" t="inlineStr">
        <is>
          <t>종합</t>
        </is>
      </c>
      <c r="D87" s="407" t="n"/>
      <c r="E87" s="366" t="n">
        <v>1</v>
      </c>
      <c r="F87" s="369" t="n"/>
      <c r="G87" s="369" t="n"/>
      <c r="H87" s="407" t="n"/>
      <c r="I87" s="370" t="n"/>
    </row>
    <row r="88">
      <c r="B88" s="408" t="n"/>
      <c r="C88" s="369" t="inlineStr">
        <is>
          <t>종합계좌</t>
        </is>
      </c>
      <c r="D88" s="407" t="n"/>
      <c r="E88" s="366" t="n">
        <v>0</v>
      </c>
      <c r="F88" s="369" t="n"/>
      <c r="G88" s="369" t="n"/>
      <c r="H88" s="407" t="n"/>
      <c r="I88" s="370" t="n"/>
    </row>
    <row r="89">
      <c r="B89" s="408" t="n"/>
      <c r="C89" s="369" t="inlineStr">
        <is>
          <t>종합매매</t>
        </is>
      </c>
      <c r="D89" s="407" t="n"/>
      <c r="E89" s="366" t="n">
        <v>1</v>
      </c>
      <c r="F89" s="369" t="n"/>
      <c r="G89" s="369" t="n"/>
      <c r="H89" s="407" t="n"/>
      <c r="I89" s="370" t="n"/>
    </row>
    <row r="90">
      <c r="B90" s="408" t="n"/>
      <c r="C90" s="369" t="inlineStr">
        <is>
          <t>종합위탁</t>
        </is>
      </c>
      <c r="D90" s="407" t="n"/>
      <c r="E90" s="366" t="n">
        <v>21215</v>
      </c>
      <c r="F90" s="369" t="n"/>
      <c r="G90" s="369" t="n"/>
      <c r="H90" s="407" t="n"/>
      <c r="I90" s="370" t="n"/>
    </row>
    <row r="91">
      <c r="B91" s="408" t="n"/>
      <c r="C91" s="369" t="inlineStr">
        <is>
          <t>중개형ISA</t>
        </is>
      </c>
      <c r="D91" s="407" t="n"/>
      <c r="E91" s="366" t="n">
        <v>1</v>
      </c>
      <c r="F91" s="369" t="n"/>
      <c r="G91" s="369" t="n"/>
      <c r="H91" s="407" t="n"/>
      <c r="I91" s="370" t="n"/>
    </row>
    <row r="92">
      <c r="B92" s="408" t="n"/>
      <c r="C92" s="369" t="inlineStr">
        <is>
          <t>100세연금저축펀드</t>
        </is>
      </c>
      <c r="D92" s="407" t="n"/>
      <c r="E92" s="366" t="n">
        <v>45498</v>
      </c>
      <c r="F92" s="369" t="n"/>
      <c r="G92" s="369" t="n"/>
      <c r="H92" s="407" t="n"/>
      <c r="I92" s="370" t="n"/>
    </row>
    <row r="93">
      <c r="B93" s="408" t="n"/>
      <c r="C93" s="369" t="inlineStr">
        <is>
          <t>CMA_NOTE</t>
        </is>
      </c>
      <c r="D93" s="407" t="n"/>
      <c r="E93" s="366" t="n">
        <v>0</v>
      </c>
      <c r="F93" s="369" t="n"/>
      <c r="G93" s="369" t="n"/>
      <c r="H93" s="407" t="n"/>
      <c r="I93" s="370" t="n"/>
    </row>
    <row r="94">
      <c r="B94" s="408" t="n"/>
      <c r="C94" s="369" t="inlineStr">
        <is>
          <t>기본계좌</t>
        </is>
      </c>
      <c r="D94" s="407" t="n"/>
      <c r="E94" s="366" t="n">
        <v>3000</v>
      </c>
      <c r="F94" s="369" t="n"/>
      <c r="G94" s="369" t="n"/>
      <c r="H94" s="407" t="n"/>
      <c r="I94" s="370" t="n"/>
    </row>
    <row r="95">
      <c r="B95" s="408" t="n"/>
      <c r="C95" s="369" t="inlineStr">
        <is>
          <t>위탁종합</t>
        </is>
      </c>
      <c r="D95" s="407" t="n"/>
      <c r="E95" s="366" t="n">
        <v>539046.92</v>
      </c>
      <c r="F95" s="369" t="n"/>
      <c r="G95" s="369" t="n"/>
      <c r="H95" s="407" t="n"/>
      <c r="I95" s="370" t="n"/>
    </row>
    <row r="96">
      <c r="B96" s="408" t="n"/>
      <c r="C96" s="369" t="inlineStr">
        <is>
          <t>위탁종합</t>
        </is>
      </c>
      <c r="D96" s="407" t="n"/>
      <c r="E96" s="366" t="n">
        <v>21702.996</v>
      </c>
      <c r="F96" s="369" t="n"/>
      <c r="G96" s="369" t="n"/>
      <c r="H96" s="407" t="n"/>
      <c r="I96" s="370" t="n"/>
    </row>
    <row r="97">
      <c r="B97" s="411" t="n"/>
      <c r="C97" s="369" t="inlineStr">
        <is>
          <t>통합증거금</t>
        </is>
      </c>
      <c r="D97" s="407" t="n"/>
      <c r="E97" s="366" t="n">
        <v>12</v>
      </c>
      <c r="F97" s="369" t="n"/>
      <c r="G97" s="369" t="n"/>
      <c r="H97" s="407" t="n"/>
      <c r="I97" s="370" t="n"/>
    </row>
    <row r="98" ht="15" customHeight="1" s="322">
      <c r="B98" s="371" t="inlineStr">
        <is>
          <t>부동산</t>
        </is>
      </c>
      <c r="C98" s="369" t="inlineStr">
        <is>
          <t>김포집</t>
        </is>
      </c>
      <c r="D98" s="407" t="n"/>
      <c r="E98" s="366" t="n">
        <v>770000000</v>
      </c>
      <c r="F98" s="369" t="n"/>
      <c r="G98" s="369" t="n"/>
      <c r="H98" s="407" t="n"/>
      <c r="I98" s="370" t="n"/>
    </row>
    <row r="99" ht="15" customHeight="1" s="322">
      <c r="B99" s="371" t="inlineStr">
        <is>
          <t>동산</t>
        </is>
      </c>
      <c r="C99" s="369" t="inlineStr">
        <is>
          <t>BMW 3시리즈(6세대)</t>
        </is>
      </c>
      <c r="D99" s="407" t="n"/>
      <c r="E99" s="366" t="n">
        <v>10350000</v>
      </c>
      <c r="F99" s="369" t="n"/>
      <c r="G99" s="369" t="n"/>
      <c r="H99" s="407" t="n"/>
      <c r="I99" s="370" t="n"/>
    </row>
    <row r="100" ht="15" customHeight="1" s="322">
      <c r="B100" s="371" t="inlineStr">
        <is>
          <t>기타 실물 자산</t>
        </is>
      </c>
      <c r="C100" s="369" t="n"/>
      <c r="D100" s="407" t="n"/>
      <c r="E100" s="366" t="n"/>
      <c r="F100" s="369" t="n"/>
      <c r="G100" s="369" t="n"/>
      <c r="H100" s="407" t="n"/>
      <c r="I100" s="370" t="n"/>
    </row>
    <row r="101">
      <c r="B101" s="371" t="inlineStr">
        <is>
          <t>보험 자산</t>
        </is>
      </c>
      <c r="C101" s="369" t="inlineStr">
        <is>
          <t>무배당퍼펙트스타종합보험(Hi1204)기본플랜</t>
        </is>
      </c>
      <c r="D101" s="407" t="n"/>
      <c r="E101" s="366" t="n">
        <v>0</v>
      </c>
      <c r="F101" s="369" t="n"/>
      <c r="G101" s="369" t="n"/>
      <c r="H101" s="407" t="n"/>
      <c r="I101" s="370" t="n"/>
    </row>
    <row r="102">
      <c r="B102" s="411" t="n"/>
      <c r="C102" s="369" t="inlineStr">
        <is>
          <t>캐롯자동차보험 개인용</t>
        </is>
      </c>
      <c r="D102" s="407" t="n"/>
      <c r="E102" s="366" t="n">
        <v>0</v>
      </c>
      <c r="F102" s="369" t="n"/>
      <c r="G102" s="369" t="n"/>
      <c r="H102" s="407" t="n"/>
      <c r="I102" s="370" t="n"/>
    </row>
    <row r="103" ht="15" customHeight="1" s="322">
      <c r="B103" s="371" t="inlineStr">
        <is>
          <t>연금 자산</t>
        </is>
      </c>
      <c r="C103" s="369" t="inlineStr">
        <is>
          <t>(주)엘지에너지솔루션_DC</t>
        </is>
      </c>
      <c r="D103" s="407" t="n"/>
      <c r="E103" s="366" t="n">
        <v>33759638</v>
      </c>
      <c r="F103" s="369" t="n"/>
      <c r="G103" s="369" t="n"/>
      <c r="H103" s="407" t="n"/>
      <c r="I103" s="370" t="n"/>
    </row>
    <row r="104" ht="15" customHeight="1" s="322">
      <c r="B104" s="372" t="inlineStr">
        <is>
          <t>총자산</t>
        </is>
      </c>
      <c r="C104" s="412" t="n"/>
      <c r="D104" s="407" t="n"/>
      <c r="E104" s="373">
        <f>SUM(E46:E103)</f>
        <v/>
      </c>
      <c r="F104" s="374" t="inlineStr">
        <is>
          <t>총부채</t>
        </is>
      </c>
      <c r="G104" s="412" t="n"/>
      <c r="H104" s="407" t="n"/>
      <c r="I104" s="375">
        <f>SUM(I46:I103)</f>
        <v/>
      </c>
    </row>
    <row r="105" ht="15" customHeight="1" s="322">
      <c r="B105" s="376" t="inlineStr">
        <is>
          <t>순자산</t>
        </is>
      </c>
      <c r="C105" s="412" t="n"/>
      <c r="D105" s="412" t="n"/>
      <c r="E105" s="412" t="n"/>
      <c r="F105" s="412" t="n"/>
      <c r="G105" s="412" t="n"/>
      <c r="H105" s="412" t="n"/>
      <c r="I105" s="413" t="n"/>
    </row>
    <row r="106" ht="15.75" customHeight="1" s="322" thickBot="1">
      <c r="B106" s="377">
        <f>E104-I104</f>
        <v/>
      </c>
      <c r="C106" s="414" t="n"/>
      <c r="D106" s="414" t="n"/>
      <c r="E106" s="414" t="n"/>
      <c r="F106" s="414" t="n"/>
      <c r="G106" s="414" t="n"/>
      <c r="H106" s="414" t="n"/>
      <c r="I106" s="403" t="n"/>
    </row>
    <row r="109" ht="18" customHeight="1" s="322">
      <c r="B109" s="342" t="inlineStr">
        <is>
          <t>4.보험현황</t>
        </is>
      </c>
    </row>
    <row r="110" ht="15" customHeight="1" s="322" thickBot="1">
      <c r="B110" s="343" t="inlineStr">
        <is>
          <t>사용자가 보유한 보험상품 현황을 분석합니다.</t>
        </is>
      </c>
    </row>
    <row r="111" ht="15" customHeight="1" s="322">
      <c r="B111" s="378" t="inlineStr">
        <is>
          <t>금융사</t>
        </is>
      </c>
      <c r="C111" s="380" t="inlineStr">
        <is>
          <t>보험명</t>
        </is>
      </c>
      <c r="D111" s="415" t="n"/>
      <c r="E111" s="380" t="inlineStr">
        <is>
          <t>계약상태</t>
        </is>
      </c>
      <c r="F111" s="380" t="inlineStr">
        <is>
          <t>총납입금</t>
        </is>
      </c>
      <c r="G111" s="380" t="inlineStr">
        <is>
          <t>계약일자</t>
        </is>
      </c>
      <c r="H111" s="380" t="inlineStr">
        <is>
          <t>만기일자</t>
        </is>
      </c>
    </row>
    <row r="112">
      <c r="B112" s="381" t="inlineStr">
        <is>
          <t>현대해상</t>
        </is>
      </c>
      <c r="C112" s="394" t="inlineStr">
        <is>
          <t>무배당퍼펙트스타종합보험(Hi1204)기본플랜</t>
        </is>
      </c>
      <c r="D112" s="406" t="n"/>
      <c r="E112" s="383" t="inlineStr">
        <is>
          <t>정상</t>
        </is>
      </c>
      <c r="F112" s="384" t="n">
        <v>476490000</v>
      </c>
      <c r="G112" s="416" t="n">
        <v>41284</v>
      </c>
      <c r="H112" s="416" t="n">
        <v>65755</v>
      </c>
    </row>
    <row r="113">
      <c r="B113" s="381" t="inlineStr">
        <is>
          <t>한화손보(구 캐롯손보)</t>
        </is>
      </c>
      <c r="C113" s="394" t="inlineStr">
        <is>
          <t>캐롯자동차보험 개인용</t>
        </is>
      </c>
      <c r="D113" s="406" t="n"/>
      <c r="E113" s="383" t="inlineStr">
        <is>
          <t>정상</t>
        </is>
      </c>
      <c r="F113" s="384" t="n">
        <v>851390</v>
      </c>
      <c r="G113" s="416" t="n">
        <v>45985</v>
      </c>
      <c r="H113" s="416" t="n">
        <v>46350</v>
      </c>
    </row>
    <row r="114" ht="15.75" customHeight="1" s="322" thickBot="1">
      <c r="B114" s="386" t="inlineStr">
        <is>
          <t>총계</t>
        </is>
      </c>
      <c r="C114" s="388" t="inlineStr">
        <is>
          <t>보유계약건수</t>
        </is>
      </c>
      <c r="D114" s="417" t="n"/>
      <c r="E114" s="388" t="inlineStr">
        <is>
          <t>정상 2건</t>
        </is>
      </c>
      <c r="F114" s="388" t="inlineStr">
        <is>
          <t>총 납입금</t>
        </is>
      </c>
      <c r="G114" s="388" t="n"/>
      <c r="H114" s="389" t="n"/>
    </row>
    <row r="115" ht="15.75" customHeight="1" s="322" thickBot="1">
      <c r="B115" s="418" t="n"/>
      <c r="C115" s="391" t="inlineStr">
        <is>
          <t>총 2건</t>
        </is>
      </c>
      <c r="D115" s="419" t="n"/>
      <c r="E115" s="391" t="inlineStr">
        <is>
          <t>만기/휴면 0건</t>
        </is>
      </c>
      <c r="F115" s="401">
        <f>SUM(F112:F113)</f>
        <v/>
      </c>
      <c r="G115" s="391" t="n"/>
      <c r="H115" s="393" t="n"/>
    </row>
    <row r="117" ht="18" customHeight="1" s="322">
      <c r="B117" s="342" t="inlineStr">
        <is>
          <t>5.투자현황</t>
        </is>
      </c>
    </row>
    <row r="118" ht="15" customHeight="1" s="322" thickBot="1">
      <c r="B118" s="343" t="inlineStr">
        <is>
          <t>사용자가 보유한 투자상품 현황을 분석합니다.</t>
        </is>
      </c>
    </row>
    <row r="119" ht="15" customHeight="1" s="322">
      <c r="B119" s="378" t="inlineStr">
        <is>
          <t>투자상품종류</t>
        </is>
      </c>
      <c r="C119" s="380" t="inlineStr">
        <is>
          <t>금융사</t>
        </is>
      </c>
      <c r="D119" s="380" t="inlineStr">
        <is>
          <t>상품명</t>
        </is>
      </c>
      <c r="E119" s="415" t="n"/>
      <c r="F119" s="380" t="inlineStr">
        <is>
          <t>투자원금</t>
        </is>
      </c>
      <c r="G119" s="380" t="inlineStr">
        <is>
          <t>평가금액</t>
        </is>
      </c>
      <c r="H119" s="380" t="inlineStr">
        <is>
          <t>수익률</t>
        </is>
      </c>
      <c r="I119" s="380" t="inlineStr">
        <is>
          <t>가입일자</t>
        </is>
      </c>
      <c r="J119" s="380" t="inlineStr">
        <is>
          <t>만기일자</t>
        </is>
      </c>
    </row>
    <row r="120">
      <c r="B120" s="381" t="inlineStr">
        <is>
          <t>펀드</t>
        </is>
      </c>
      <c r="C120" s="394" t="inlineStr">
        <is>
          <t>카카오페이 증권</t>
        </is>
      </c>
      <c r="D120" s="394" t="inlineStr">
        <is>
          <t>키움똑똑한4차산업혁명ETF분할매수증권투자신탁[혼합-재간접형] Ce</t>
        </is>
      </c>
      <c r="E120" s="406" t="n"/>
      <c r="F120" s="384" t="n">
        <v>1058</v>
      </c>
      <c r="G120" s="384" t="n">
        <v>1277</v>
      </c>
      <c r="H120" s="395" t="n">
        <v>20.69943289224953</v>
      </c>
      <c r="I120" s="416" t="n"/>
      <c r="J120" s="416" t="n"/>
    </row>
    <row r="121">
      <c r="B121" s="381" t="inlineStr">
        <is>
          <t>주식</t>
        </is>
      </c>
      <c r="C121" s="394" t="inlineStr">
        <is>
          <t>NH투자증권</t>
        </is>
      </c>
      <c r="D121" s="394" t="inlineStr">
        <is>
          <t>퀄컴</t>
        </is>
      </c>
      <c r="E121" s="406" t="n"/>
      <c r="F121" s="384" t="n">
        <v>294708</v>
      </c>
      <c r="G121" s="384" t="n">
        <v>237088.128</v>
      </c>
      <c r="H121" s="395" t="n">
        <v>-19.55151268374119</v>
      </c>
      <c r="I121" s="416" t="n"/>
      <c r="J121" s="416" t="n"/>
    </row>
    <row r="122">
      <c r="B122" s="381" t="inlineStr">
        <is>
          <t>주식</t>
        </is>
      </c>
      <c r="C122" s="394" t="inlineStr">
        <is>
          <t>NH투자증권</t>
        </is>
      </c>
      <c r="D122" s="394" t="inlineStr">
        <is>
          <t>케이뱅크</t>
        </is>
      </c>
      <c r="E122" s="406" t="n"/>
      <c r="F122" s="384" t="n">
        <v>5000</v>
      </c>
      <c r="G122" s="384" t="n">
        <v>5600</v>
      </c>
      <c r="H122" s="395" t="n">
        <v>12</v>
      </c>
      <c r="I122" s="416" t="n"/>
      <c r="J122" s="416" t="n"/>
    </row>
    <row r="123">
      <c r="B123" s="381" t="inlineStr">
        <is>
          <t>주식</t>
        </is>
      </c>
      <c r="C123" s="394" t="inlineStr">
        <is>
          <t>NH투자증권</t>
        </is>
      </c>
      <c r="D123" s="394" t="inlineStr">
        <is>
          <t>TIGER 200</t>
        </is>
      </c>
      <c r="E123" s="406" t="n"/>
      <c r="F123" s="384" t="n">
        <v>957499</v>
      </c>
      <c r="G123" s="384" t="n">
        <v>656005</v>
      </c>
      <c r="H123" s="395" t="n">
        <v>-31.48765690616909</v>
      </c>
      <c r="I123" s="416" t="n"/>
      <c r="J123" s="416" t="n"/>
    </row>
    <row r="124">
      <c r="B124" s="381" t="inlineStr">
        <is>
          <t>주식</t>
        </is>
      </c>
      <c r="C124" s="394" t="inlineStr">
        <is>
          <t>NH투자증권</t>
        </is>
      </c>
      <c r="D124" s="394" t="inlineStr">
        <is>
          <t>ACE AI반도체TOP3+</t>
        </is>
      </c>
      <c r="E124" s="406" t="n"/>
      <c r="F124" s="384" t="n">
        <v>489315</v>
      </c>
      <c r="G124" s="384" t="n">
        <v>463900</v>
      </c>
      <c r="H124" s="395" t="n">
        <v>-5.19399568784934</v>
      </c>
      <c r="I124" s="416" t="n"/>
      <c r="J124" s="416" t="n"/>
    </row>
    <row r="125">
      <c r="B125" s="381" t="inlineStr">
        <is>
          <t>주식</t>
        </is>
      </c>
      <c r="C125" s="394" t="inlineStr">
        <is>
          <t>NH투자증권</t>
        </is>
      </c>
      <c r="D125" s="394" t="inlineStr">
        <is>
          <t>TIGER 소프트웨어</t>
        </is>
      </c>
      <c r="E125" s="406" t="n"/>
      <c r="F125" s="384" t="n">
        <v>104335</v>
      </c>
      <c r="G125" s="384" t="n">
        <v>82650</v>
      </c>
      <c r="H125" s="395" t="n">
        <v>-20.78401303493554</v>
      </c>
      <c r="I125" s="416" t="n"/>
      <c r="J125" s="416" t="n"/>
    </row>
    <row r="126">
      <c r="B126" s="381" t="inlineStr">
        <is>
          <t>주식</t>
        </is>
      </c>
      <c r="C126" s="394" t="inlineStr">
        <is>
          <t>키움증권</t>
        </is>
      </c>
      <c r="D126" s="394" t="inlineStr">
        <is>
          <t>비트마인 이머전 테크놀로지스</t>
        </is>
      </c>
      <c r="E126" s="406" t="n"/>
      <c r="F126" s="384" t="n">
        <v>48476436</v>
      </c>
      <c r="G126" s="384" t="n">
        <v>17211902.316</v>
      </c>
      <c r="H126" s="395" t="n">
        <v>-64.49429096643986</v>
      </c>
      <c r="I126" s="416" t="n"/>
      <c r="J126" s="416" t="n"/>
    </row>
    <row r="127">
      <c r="B127" s="381" t="inlineStr">
        <is>
          <t>주식</t>
        </is>
      </c>
      <c r="C127" s="394" t="inlineStr">
        <is>
          <t>키움증권</t>
        </is>
      </c>
      <c r="D127" s="394" t="inlineStr">
        <is>
          <t>비트마인 이머전 테크놀로지스</t>
        </is>
      </c>
      <c r="E127" s="406" t="n"/>
      <c r="F127" s="384" t="n">
        <v>30287574</v>
      </c>
      <c r="G127" s="384" t="n">
        <v>10690304.856</v>
      </c>
      <c r="H127" s="395" t="n">
        <v>-64.70399096342283</v>
      </c>
      <c r="I127" s="416" t="n"/>
      <c r="J127" s="416" t="n"/>
    </row>
    <row r="128">
      <c r="B128" s="381" t="inlineStr">
        <is>
          <t>주식</t>
        </is>
      </c>
      <c r="C128" s="394" t="inlineStr">
        <is>
          <t>키움증권</t>
        </is>
      </c>
      <c r="D128" s="394" t="inlineStr">
        <is>
          <t>스트래티지</t>
        </is>
      </c>
      <c r="E128" s="406" t="n"/>
      <c r="F128" s="384" t="n">
        <v>29400354</v>
      </c>
      <c r="G128" s="384" t="n">
        <v>8398229.76</v>
      </c>
      <c r="H128" s="395" t="n">
        <v>-71.434936599743</v>
      </c>
      <c r="I128" s="416" t="n"/>
      <c r="J128" s="416" t="n"/>
    </row>
    <row r="129">
      <c r="B129" s="381" t="inlineStr">
        <is>
          <t>주식</t>
        </is>
      </c>
      <c r="C129" s="394" t="inlineStr">
        <is>
          <t>키움증권</t>
        </is>
      </c>
      <c r="D129" s="394" t="inlineStr">
        <is>
          <t>이더리움 2배 ETF</t>
        </is>
      </c>
      <c r="E129" s="406" t="n"/>
      <c r="F129" s="384" t="n">
        <v>55466138</v>
      </c>
      <c r="G129" s="384" t="n">
        <v>6118643</v>
      </c>
      <c r="H129" s="395" t="n">
        <v>-88.96868752607222</v>
      </c>
      <c r="I129" s="416" t="n"/>
      <c r="J129" s="416" t="n"/>
    </row>
    <row r="130">
      <c r="B130" s="381" t="inlineStr">
        <is>
          <t>주식</t>
        </is>
      </c>
      <c r="C130" s="394" t="inlineStr">
        <is>
          <t>키움증권</t>
        </is>
      </c>
      <c r="D130" s="394" t="inlineStr">
        <is>
          <t>메타 플랫폼스(페이스북)</t>
        </is>
      </c>
      <c r="E130" s="406" t="n"/>
      <c r="F130" s="384" t="n">
        <v>3966900</v>
      </c>
      <c r="G130" s="384" t="n">
        <v>3455070.384</v>
      </c>
      <c r="H130" s="395" t="n">
        <v>-12.9025086591545</v>
      </c>
      <c r="I130" s="416" t="n"/>
      <c r="J130" s="416" t="n"/>
    </row>
    <row r="131">
      <c r="B131" s="381" t="inlineStr">
        <is>
          <t>주식</t>
        </is>
      </c>
      <c r="C131" s="394" t="inlineStr">
        <is>
          <t>키움증권</t>
        </is>
      </c>
      <c r="D131" s="394" t="inlineStr">
        <is>
          <t>SK하이닉스</t>
        </is>
      </c>
      <c r="E131" s="406" t="n"/>
      <c r="F131" s="384" t="n">
        <v>3458000</v>
      </c>
      <c r="G131" s="384" t="n">
        <v>2954000</v>
      </c>
      <c r="H131" s="395" t="n">
        <v>-14.5748987854251</v>
      </c>
      <c r="I131" s="416" t="n"/>
      <c r="J131" s="416" t="n"/>
    </row>
    <row r="132">
      <c r="B132" s="381" t="inlineStr">
        <is>
          <t>주식</t>
        </is>
      </c>
      <c r="C132" s="394" t="inlineStr">
        <is>
          <t>키움증권</t>
        </is>
      </c>
      <c r="D132" s="394" t="inlineStr">
        <is>
          <t>삼성전자</t>
        </is>
      </c>
      <c r="E132" s="406" t="n"/>
      <c r="F132" s="384" t="n">
        <v>1370499</v>
      </c>
      <c r="G132" s="384" t="n">
        <v>1326000</v>
      </c>
      <c r="H132" s="395" t="n">
        <v>-3.246919552659287</v>
      </c>
      <c r="I132" s="416" t="n"/>
      <c r="J132" s="416" t="n"/>
    </row>
    <row r="133">
      <c r="B133" s="381" t="inlineStr">
        <is>
          <t>주식</t>
        </is>
      </c>
      <c r="C133" s="394" t="inlineStr">
        <is>
          <t>키움증권</t>
        </is>
      </c>
      <c r="D133" s="394" t="inlineStr">
        <is>
          <t>이더리움 2배 ETF</t>
        </is>
      </c>
      <c r="E133" s="406" t="n"/>
      <c r="F133" s="384" t="n">
        <v>3787471</v>
      </c>
      <c r="G133" s="384" t="n">
        <v>478019</v>
      </c>
      <c r="H133" s="395" t="n">
        <v>-87.3789396671288</v>
      </c>
      <c r="I133" s="416" t="n"/>
      <c r="J133" s="416" t="n"/>
    </row>
    <row r="134">
      <c r="B134" s="381" t="inlineStr">
        <is>
          <t>주식</t>
        </is>
      </c>
      <c r="C134" s="394" t="inlineStr">
        <is>
          <t>키움증권</t>
        </is>
      </c>
      <c r="D134" s="394" t="inlineStr">
        <is>
          <t>팔란티어 테크</t>
        </is>
      </c>
      <c r="E134" s="406" t="n"/>
      <c r="F134" s="384" t="n">
        <v>579</v>
      </c>
      <c r="G134" s="384" t="n">
        <v>431.5446432</v>
      </c>
      <c r="H134" s="395" t="n">
        <v>-25.46724642487047</v>
      </c>
      <c r="I134" s="416" t="n"/>
      <c r="J134" s="416" t="n"/>
    </row>
    <row r="135" ht="15.75" customHeight="1" s="322" thickBot="1">
      <c r="B135" s="396" t="inlineStr">
        <is>
          <t>총계</t>
        </is>
      </c>
      <c r="C135" s="388" t="n"/>
      <c r="D135" s="388" t="inlineStr">
        <is>
          <t>보유상품개수</t>
        </is>
      </c>
      <c r="E135" s="417" t="n"/>
      <c r="F135" s="388" t="inlineStr">
        <is>
          <t>총 투자 원금</t>
        </is>
      </c>
      <c r="G135" s="388" t="inlineStr">
        <is>
          <t>총 평가 금액</t>
        </is>
      </c>
      <c r="H135" s="388" t="inlineStr">
        <is>
          <t>총 수익률</t>
        </is>
      </c>
      <c r="I135" s="388" t="n"/>
      <c r="J135" s="389" t="n"/>
    </row>
    <row r="136" ht="15.75" customHeight="1" s="322" thickBot="1">
      <c r="B136" s="418" t="n"/>
      <c r="C136" s="391" t="n"/>
      <c r="D136" s="391" t="inlineStr">
        <is>
          <t>총 15개</t>
        </is>
      </c>
      <c r="E136" s="419" t="n"/>
      <c r="F136" s="401">
        <f>SUM(F120:F134)</f>
        <v/>
      </c>
      <c r="G136" s="401">
        <f>SUM(G120:G134)</f>
        <v/>
      </c>
      <c r="H136" s="420">
        <f>(SUM(G120:G134) - SUM(F120:F134)) * 100 / IF(SUM(F120:F134), SUM(F120:F134), 1)</f>
        <v/>
      </c>
      <c r="I136" s="391" t="n"/>
      <c r="J136" s="393" t="n"/>
    </row>
    <row r="138" ht="18" customHeight="1" s="322">
      <c r="B138" s="342" t="inlineStr">
        <is>
          <t>6.대출현황</t>
        </is>
      </c>
    </row>
    <row r="139" ht="15" customHeight="1" s="322" thickBot="1">
      <c r="B139" s="343" t="inlineStr">
        <is>
          <t>사용자가 보유한 대출상품 현황을 분석합니다.</t>
        </is>
      </c>
    </row>
    <row r="140" ht="15" customHeight="1" s="322">
      <c r="B140" s="398" t="inlineStr">
        <is>
          <t>대출종류</t>
        </is>
      </c>
      <c r="C140" s="400" t="inlineStr">
        <is>
          <t>금융사</t>
        </is>
      </c>
      <c r="D140" s="400" t="inlineStr">
        <is>
          <t>상품명</t>
        </is>
      </c>
      <c r="E140" s="415" t="n"/>
      <c r="F140" s="400" t="inlineStr">
        <is>
          <t>대출원금</t>
        </is>
      </c>
      <c r="G140" s="400" t="inlineStr">
        <is>
          <t>대출잔액</t>
        </is>
      </c>
      <c r="H140" s="400" t="inlineStr">
        <is>
          <t>대출금리</t>
        </is>
      </c>
      <c r="I140" s="400" t="inlineStr">
        <is>
          <t>대출신규일</t>
        </is>
      </c>
      <c r="J140" s="400" t="inlineStr">
        <is>
          <t>대출만기일</t>
        </is>
      </c>
    </row>
    <row r="141">
      <c r="B141" s="381" t="inlineStr">
        <is>
          <t>은행 대출</t>
        </is>
      </c>
      <c r="C141" s="394" t="inlineStr">
        <is>
          <t>하나은행</t>
        </is>
      </c>
      <c r="D141" s="394" t="inlineStr">
        <is>
          <t>하나은행 마이너스 통장</t>
        </is>
      </c>
      <c r="E141" s="406" t="n"/>
      <c r="F141" s="384" t="n">
        <v>130000000</v>
      </c>
      <c r="G141" s="384" t="n">
        <v>121685737</v>
      </c>
      <c r="H141" s="394" t="n">
        <v>4.64</v>
      </c>
      <c r="I141" s="416" t="n">
        <v>45817</v>
      </c>
      <c r="J141" s="416" t="n">
        <v>46547</v>
      </c>
    </row>
    <row r="142">
      <c r="B142" s="381" t="inlineStr">
        <is>
          <t>은행 대출</t>
        </is>
      </c>
      <c r="C142" s="394" t="inlineStr">
        <is>
          <t>하나은행</t>
        </is>
      </c>
      <c r="D142" s="394" t="inlineStr">
        <is>
          <t>가계일반자금대출(분할상환)-하나 아파트론(혼합금리형)</t>
        </is>
      </c>
      <c r="E142" s="406" t="n"/>
      <c r="F142" s="384" t="n">
        <v>210000000</v>
      </c>
      <c r="G142" s="384" t="n">
        <v>207103001</v>
      </c>
      <c r="H142" s="394" t="n">
        <v>4.32</v>
      </c>
      <c r="I142" s="416" t="n">
        <v>45910</v>
      </c>
      <c r="J142" s="416" t="n">
        <v>56867</v>
      </c>
    </row>
    <row r="143">
      <c r="B143" s="381" t="inlineStr">
        <is>
          <t>은행 대출</t>
        </is>
      </c>
      <c r="C143" s="394" t="inlineStr">
        <is>
          <t>하나은행</t>
        </is>
      </c>
      <c r="D143" s="394" t="inlineStr">
        <is>
          <t>하나은행 마이너스 통장</t>
        </is>
      </c>
      <c r="E143" s="406" t="n"/>
      <c r="F143" s="384" t="n">
        <v>3000000</v>
      </c>
      <c r="G143" s="384" t="n">
        <v>1726305</v>
      </c>
      <c r="H143" s="394" t="n">
        <v>4.54</v>
      </c>
      <c r="I143" s="416" t="n">
        <v>45964</v>
      </c>
      <c r="J143" s="416" t="n">
        <v>46329</v>
      </c>
    </row>
    <row r="144">
      <c r="B144" s="381" t="inlineStr">
        <is>
          <t>은행 대출</t>
        </is>
      </c>
      <c r="C144" s="394" t="inlineStr">
        <is>
          <t>한국장학재단</t>
        </is>
      </c>
      <c r="D144" s="394" t="inlineStr">
        <is>
          <t>2020년 2학기 일반상환학자금_등록금</t>
        </is>
      </c>
      <c r="E144" s="406" t="n"/>
      <c r="F144" s="384" t="n">
        <v>6563000</v>
      </c>
      <c r="G144" s="384" t="n">
        <v>5448520</v>
      </c>
      <c r="H144" s="394" t="n">
        <v>1.85</v>
      </c>
      <c r="I144" s="416" t="n">
        <v>44088</v>
      </c>
      <c r="J144" s="416" t="n">
        <v>49201</v>
      </c>
    </row>
    <row r="145">
      <c r="B145" s="381" t="inlineStr">
        <is>
          <t>은행 대출</t>
        </is>
      </c>
      <c r="C145" s="394" t="inlineStr">
        <is>
          <t>한국장학재단</t>
        </is>
      </c>
      <c r="D145" s="394" t="inlineStr">
        <is>
          <t>2021년 2학기 일반상환학자금_등록금</t>
        </is>
      </c>
      <c r="E145" s="406" t="n"/>
      <c r="F145" s="384" t="n">
        <v>6563000</v>
      </c>
      <c r="G145" s="384" t="n">
        <v>5441312</v>
      </c>
      <c r="H145" s="394" t="n">
        <v>1.7</v>
      </c>
      <c r="I145" s="416" t="n">
        <v>44454</v>
      </c>
      <c r="J145" s="416" t="n">
        <v>49202</v>
      </c>
    </row>
    <row r="146">
      <c r="B146" s="381" t="inlineStr">
        <is>
          <t>은행 대출</t>
        </is>
      </c>
      <c r="C146" s="394" t="inlineStr">
        <is>
          <t>한국장학재단</t>
        </is>
      </c>
      <c r="D146" s="394" t="inlineStr">
        <is>
          <t>2020년 1학기 일반상환학자금_등록금</t>
        </is>
      </c>
      <c r="E146" s="406" t="n"/>
      <c r="F146" s="384" t="n">
        <v>6563000</v>
      </c>
      <c r="G146" s="384" t="n">
        <v>5198750</v>
      </c>
      <c r="H146" s="394" t="n">
        <v>2</v>
      </c>
      <c r="I146" s="416" t="n">
        <v>43920</v>
      </c>
      <c r="J146" s="416" t="n">
        <v>49033</v>
      </c>
    </row>
    <row r="147">
      <c r="B147" s="381" t="inlineStr">
        <is>
          <t>은행 대출</t>
        </is>
      </c>
      <c r="C147" s="394" t="inlineStr">
        <is>
          <t>한국장학재단</t>
        </is>
      </c>
      <c r="D147" s="394" t="inlineStr">
        <is>
          <t>2021년 1학기 일반상환학자금_등록금</t>
        </is>
      </c>
      <c r="E147" s="406" t="n"/>
      <c r="F147" s="384" t="n">
        <v>6563000</v>
      </c>
      <c r="G147" s="384" t="n">
        <v>5129730</v>
      </c>
      <c r="H147" s="394" t="n">
        <v>1.7</v>
      </c>
      <c r="I147" s="416" t="n">
        <v>44270</v>
      </c>
      <c r="J147" s="416" t="n">
        <v>49018</v>
      </c>
    </row>
    <row r="148" ht="15.75" customHeight="1" s="322" thickBot="1">
      <c r="B148" s="396" t="inlineStr">
        <is>
          <t>총계</t>
        </is>
      </c>
      <c r="C148" s="388" t="n"/>
      <c r="D148" s="388" t="inlineStr">
        <is>
          <t>보유 대출 상품</t>
        </is>
      </c>
      <c r="E148" s="417" t="n"/>
      <c r="F148" s="388" t="inlineStr">
        <is>
          <t>총 대출 원금</t>
        </is>
      </c>
      <c r="G148" s="388" t="inlineStr">
        <is>
          <t>총 대출 잔액</t>
        </is>
      </c>
      <c r="H148" s="388" t="n"/>
      <c r="I148" s="388" t="n"/>
      <c r="J148" s="389" t="n"/>
    </row>
    <row r="149" ht="15.75" customHeight="1" s="322" thickBot="1">
      <c r="B149" s="418" t="n"/>
      <c r="C149" s="391" t="n"/>
      <c r="D149" s="401">
        <f>SUM(7)</f>
        <v/>
      </c>
      <c r="E149" s="419" t="n"/>
      <c r="F149" s="401">
        <f>SUM(F141:F147)</f>
        <v/>
      </c>
      <c r="G149" s="401">
        <f>SUM(G141:G147)</f>
        <v/>
      </c>
      <c r="H149" s="391" t="n"/>
      <c r="I149" s="391" t="n"/>
      <c r="J149" s="393" t="n"/>
    </row>
  </sheetData>
  <mergeCells count="167">
    <mergeCell ref="G81:H81"/>
    <mergeCell ref="C62:D62"/>
    <mergeCell ref="C98:D98"/>
    <mergeCell ref="G71:H71"/>
    <mergeCell ref="C89:D89"/>
    <mergeCell ref="D149:E149"/>
    <mergeCell ref="C64:D64"/>
    <mergeCell ref="G97:H97"/>
    <mergeCell ref="C79:D79"/>
    <mergeCell ref="B101:B102"/>
    <mergeCell ref="C73:D73"/>
    <mergeCell ref="B105:I105"/>
    <mergeCell ref="C54:D54"/>
    <mergeCell ref="C63:D63"/>
    <mergeCell ref="C93:D93"/>
    <mergeCell ref="G57:H57"/>
    <mergeCell ref="C50:D50"/>
    <mergeCell ref="G66:H66"/>
    <mergeCell ref="D141:E141"/>
    <mergeCell ref="D135:E135"/>
    <mergeCell ref="C56:D56"/>
    <mergeCell ref="D125:E125"/>
    <mergeCell ref="G68:H68"/>
    <mergeCell ref="D134:E134"/>
    <mergeCell ref="C76:D76"/>
    <mergeCell ref="G58:H58"/>
    <mergeCell ref="D127:E127"/>
    <mergeCell ref="B114:B115"/>
    <mergeCell ref="G91:H91"/>
    <mergeCell ref="G85:H85"/>
    <mergeCell ref="G100:H100"/>
    <mergeCell ref="C67:D67"/>
    <mergeCell ref="G94:H94"/>
    <mergeCell ref="C111:D111"/>
    <mergeCell ref="G84:H84"/>
    <mergeCell ref="G75:H75"/>
    <mergeCell ref="D148:E148"/>
    <mergeCell ref="C69:D69"/>
    <mergeCell ref="G102:H102"/>
    <mergeCell ref="C83:D83"/>
    <mergeCell ref="G59:H59"/>
    <mergeCell ref="C92:D92"/>
    <mergeCell ref="G77:H77"/>
    <mergeCell ref="G86:H86"/>
    <mergeCell ref="G67:H67"/>
    <mergeCell ref="B148:B149"/>
    <mergeCell ref="F6:G6"/>
    <mergeCell ref="C97:D97"/>
    <mergeCell ref="G61:H61"/>
    <mergeCell ref="D131:E131"/>
    <mergeCell ref="C45:D45"/>
    <mergeCell ref="G70:H70"/>
    <mergeCell ref="D140:E140"/>
    <mergeCell ref="G48:H48"/>
    <mergeCell ref="C47:D47"/>
    <mergeCell ref="D124:E124"/>
    <mergeCell ref="F5:G5"/>
    <mergeCell ref="F44:I44"/>
    <mergeCell ref="G62:H62"/>
    <mergeCell ref="D126:E126"/>
    <mergeCell ref="G49:H49"/>
    <mergeCell ref="C90:D90"/>
    <mergeCell ref="C60:D60"/>
    <mergeCell ref="C71:D71"/>
    <mergeCell ref="G65:H65"/>
    <mergeCell ref="G88:H88"/>
    <mergeCell ref="C91:D91"/>
    <mergeCell ref="C82:D82"/>
    <mergeCell ref="G76:H76"/>
    <mergeCell ref="D142:E142"/>
    <mergeCell ref="G90:H90"/>
    <mergeCell ref="C57:D57"/>
    <mergeCell ref="D129:E129"/>
    <mergeCell ref="G99:H99"/>
    <mergeCell ref="C66:D66"/>
    <mergeCell ref="G60:H60"/>
    <mergeCell ref="C102:D102"/>
    <mergeCell ref="C53:D53"/>
    <mergeCell ref="D144:E144"/>
    <mergeCell ref="C77:D77"/>
    <mergeCell ref="F104:H104"/>
    <mergeCell ref="C86:D86"/>
    <mergeCell ref="C68:D68"/>
    <mergeCell ref="D128:E128"/>
    <mergeCell ref="C58:D58"/>
    <mergeCell ref="C113:D113"/>
    <mergeCell ref="C85:D85"/>
    <mergeCell ref="C100:D100"/>
    <mergeCell ref="C112:D112"/>
    <mergeCell ref="G101:H101"/>
    <mergeCell ref="C94:D94"/>
    <mergeCell ref="C65:D65"/>
    <mergeCell ref="D120:E120"/>
    <mergeCell ref="G103:H103"/>
    <mergeCell ref="C84:D84"/>
    <mergeCell ref="C75:D75"/>
    <mergeCell ref="G69:H69"/>
    <mergeCell ref="C80:D80"/>
    <mergeCell ref="C114:D114"/>
    <mergeCell ref="G78:H78"/>
    <mergeCell ref="C59:D59"/>
    <mergeCell ref="G87:H87"/>
    <mergeCell ref="C46:D46"/>
    <mergeCell ref="C95:D95"/>
    <mergeCell ref="C51:D51"/>
    <mergeCell ref="G80:H80"/>
    <mergeCell ref="D146:E146"/>
    <mergeCell ref="G95:H95"/>
    <mergeCell ref="C61:D61"/>
    <mergeCell ref="G89:H89"/>
    <mergeCell ref="C70:D70"/>
    <mergeCell ref="C48:D48"/>
    <mergeCell ref="G64:H64"/>
    <mergeCell ref="G79:H79"/>
    <mergeCell ref="G73:H73"/>
    <mergeCell ref="B63:B97"/>
    <mergeCell ref="D143:E143"/>
    <mergeCell ref="G51:H51"/>
    <mergeCell ref="G54:H54"/>
    <mergeCell ref="B135:B136"/>
    <mergeCell ref="G63:H63"/>
    <mergeCell ref="B44:E44"/>
    <mergeCell ref="D133:E133"/>
    <mergeCell ref="G50:H50"/>
    <mergeCell ref="G96:H96"/>
    <mergeCell ref="G56:H56"/>
    <mergeCell ref="C49:D49"/>
    <mergeCell ref="C101:D101"/>
    <mergeCell ref="B106:I106"/>
    <mergeCell ref="G52:H52"/>
    <mergeCell ref="D119:E119"/>
    <mergeCell ref="G98:H98"/>
    <mergeCell ref="C74:D74"/>
    <mergeCell ref="C88:D88"/>
    <mergeCell ref="G82:H82"/>
    <mergeCell ref="C103:D103"/>
    <mergeCell ref="D136:E136"/>
    <mergeCell ref="C99:D99"/>
    <mergeCell ref="C55:D55"/>
    <mergeCell ref="D145:E145"/>
    <mergeCell ref="G53:H53"/>
    <mergeCell ref="G93:H93"/>
    <mergeCell ref="F46:F52"/>
    <mergeCell ref="C96:D96"/>
    <mergeCell ref="G74:H74"/>
    <mergeCell ref="B104:D104"/>
    <mergeCell ref="G83:H83"/>
    <mergeCell ref="G92:H92"/>
    <mergeCell ref="D147:E147"/>
    <mergeCell ref="C115:D115"/>
    <mergeCell ref="D122:E122"/>
    <mergeCell ref="G45:H45"/>
    <mergeCell ref="C52:D52"/>
    <mergeCell ref="G55:H55"/>
    <mergeCell ref="D121:E121"/>
    <mergeCell ref="D130:E130"/>
    <mergeCell ref="C72:D72"/>
    <mergeCell ref="G47:H47"/>
    <mergeCell ref="C81:D81"/>
    <mergeCell ref="B60:B62"/>
    <mergeCell ref="D123:E123"/>
    <mergeCell ref="B46:B56"/>
    <mergeCell ref="G46:H46"/>
    <mergeCell ref="D132:E132"/>
    <mergeCell ref="C78:D78"/>
    <mergeCell ref="C87:D87"/>
    <mergeCell ref="G72:H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46"/>
  <sheetViews>
    <sheetView workbookViewId="0">
      <selection activeCell="F11" sqref="F11"/>
    </sheetView>
  </sheetViews>
  <sheetFormatPr baseColWidth="8" defaultColWidth="12.5703125" defaultRowHeight="15.75" customHeight="1"/>
  <cols>
    <col width="4.42578125" customWidth="1" style="322" min="1" max="1"/>
    <col width="9.85546875" customWidth="1" style="322" min="2" max="2"/>
    <col width="14.85546875" customWidth="1" style="322" min="3" max="3"/>
    <col width="14.7109375" customWidth="1" style="322" min="4" max="6"/>
    <col width="9.85546875" customWidth="1" style="322" min="7" max="19"/>
  </cols>
  <sheetData>
    <row r="1" ht="22.5" customHeight="1" s="322">
      <c r="A1" s="53" t="n"/>
      <c r="B1" s="54" t="inlineStr">
        <is>
          <t>전체 투자금</t>
        </is>
      </c>
      <c r="C1" s="421" t="n">
        <v>16666666</v>
      </c>
      <c r="D1" s="422" t="n"/>
      <c r="E1" s="57" t="n"/>
      <c r="F1" s="88" t="n"/>
      <c r="G1" s="59" t="inlineStr">
        <is>
          <t>채권</t>
        </is>
      </c>
      <c r="H1" s="423">
        <f>C3/3</f>
        <v/>
      </c>
      <c r="I1" s="61" t="n"/>
      <c r="J1" s="62" t="n"/>
      <c r="K1" s="73" t="n"/>
      <c r="L1" s="64" t="n"/>
      <c r="M1" s="65" t="n"/>
      <c r="N1" s="73" t="n"/>
      <c r="O1" s="73" t="n"/>
      <c r="P1" s="66" t="n"/>
      <c r="Q1" s="66" t="n"/>
      <c r="R1" s="66" t="n"/>
      <c r="S1" s="67" t="n"/>
    </row>
    <row r="2" ht="22.5" customHeight="1" s="322">
      <c r="A2" s="53" t="n"/>
      <c r="B2" s="68" t="inlineStr">
        <is>
          <t>한국 개별주 퀀트</t>
        </is>
      </c>
      <c r="C2" s="424">
        <f>C1*60%</f>
        <v/>
      </c>
      <c r="D2" s="71" t="n"/>
      <c r="E2" s="57" t="n"/>
      <c r="F2" s="88" t="n"/>
      <c r="G2" s="59" t="inlineStr">
        <is>
          <t>변형 듀얼모멘텀</t>
        </is>
      </c>
      <c r="H2" s="423">
        <f>C3/3</f>
        <v/>
      </c>
      <c r="I2" s="73" t="n"/>
      <c r="J2" s="73" t="n"/>
      <c r="K2" s="73" t="n"/>
      <c r="L2" s="164" t="n"/>
      <c r="M2" s="75" t="n"/>
      <c r="N2" s="73" t="n"/>
      <c r="O2" s="73" t="n"/>
      <c r="P2" s="67" t="n"/>
      <c r="Q2" s="67" t="n"/>
      <c r="R2" s="67" t="n"/>
      <c r="S2" s="76" t="n"/>
    </row>
    <row r="3" ht="22.5" customHeight="1" s="322">
      <c r="A3" s="53" t="n"/>
      <c r="B3" s="59" t="inlineStr">
        <is>
          <t>동적자산배분</t>
        </is>
      </c>
      <c r="C3" s="424">
        <f>C1*40%</f>
        <v/>
      </c>
      <c r="D3" s="425" t="n"/>
      <c r="E3" s="57" t="n"/>
      <c r="F3" s="88" t="n"/>
      <c r="G3" s="59" t="inlineStr">
        <is>
          <t>BAA</t>
        </is>
      </c>
      <c r="H3" s="423">
        <f>C3/3</f>
        <v/>
      </c>
      <c r="I3" s="73" t="n"/>
      <c r="J3" s="73" t="n"/>
      <c r="K3" s="73" t="n"/>
      <c r="L3" s="83" t="n"/>
      <c r="M3" s="84" t="n"/>
      <c r="N3" s="73" t="n"/>
      <c r="O3" s="73" t="n"/>
      <c r="P3" s="67" t="n"/>
      <c r="Q3" s="67" t="n"/>
      <c r="R3" s="67" t="n"/>
      <c r="S3" s="76" t="n"/>
    </row>
    <row r="4" ht="12.75" customHeight="1" s="322">
      <c r="A4" s="86" t="n"/>
      <c r="B4" s="67" t="n"/>
      <c r="C4" s="67" t="n"/>
      <c r="D4" s="87" t="n"/>
      <c r="E4" s="88" t="n"/>
      <c r="F4" s="88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67" t="n"/>
      <c r="Q4" s="67" t="n"/>
      <c r="R4" s="67" t="n"/>
      <c r="S4" s="76" t="n"/>
    </row>
    <row r="5" ht="12.75" customHeight="1" s="322">
      <c r="A5" s="86" t="n"/>
      <c r="B5" s="108" t="inlineStr">
        <is>
          <t>ㅣBAA</t>
        </is>
      </c>
      <c r="C5" s="88" t="n"/>
      <c r="D5" s="93" t="n"/>
      <c r="E5" s="95" t="n"/>
      <c r="F5" s="88" t="n"/>
      <c r="G5" s="61" t="n"/>
      <c r="H5" s="97" t="inlineStr">
        <is>
          <t>ㅣ변형 듀얼모멘텀</t>
        </is>
      </c>
      <c r="I5" s="73" t="n"/>
      <c r="J5" s="73" t="n"/>
      <c r="L5" s="67" t="n"/>
      <c r="M5" s="73" t="n"/>
      <c r="N5" s="108" t="n"/>
      <c r="O5" s="108" t="inlineStr">
        <is>
          <t>ㅣ채권 동적자산배분</t>
        </is>
      </c>
      <c r="P5" s="67" t="n"/>
      <c r="Q5" s="67" t="n"/>
      <c r="R5" s="67" t="n"/>
      <c r="S5" s="73" t="n"/>
    </row>
    <row r="6" ht="16.5" customHeight="1" s="322">
      <c r="A6" s="86" t="n"/>
      <c r="B6" s="316" t="inlineStr">
        <is>
          <t xml:space="preserve">Q. 카나리아 자산 중 "0"이하인 모멘텀 스코어가 있나요?
</t>
        </is>
      </c>
      <c r="C6" s="426" t="n"/>
      <c r="D6" s="426" t="n"/>
      <c r="E6" s="426" t="n"/>
      <c r="F6" s="426" t="n"/>
      <c r="G6" s="75" t="n"/>
      <c r="H6" s="427" t="inlineStr">
        <is>
          <t xml:space="preserve">Step1. 공격자산 수익률이 모두 "0"이상인 경우,
수익률이 높은 자산에 100%투자합니다
</t>
        </is>
      </c>
      <c r="I6" s="426" t="n"/>
      <c r="J6" s="426" t="n"/>
      <c r="K6" s="428" t="n"/>
      <c r="L6" s="67" t="n"/>
      <c r="M6" s="107" t="n"/>
      <c r="N6" s="107" t="n"/>
      <c r="O6" s="107" t="n"/>
      <c r="P6" s="67" t="n"/>
      <c r="Q6" s="67" t="n"/>
      <c r="R6" s="67" t="n"/>
      <c r="S6" s="75" t="n"/>
    </row>
    <row r="7" ht="16.5" customHeight="1" s="322">
      <c r="A7" s="86" t="n"/>
      <c r="B7" s="108" t="inlineStr">
        <is>
          <t>ㅣBAA중도형_카나리아 자산</t>
        </is>
      </c>
      <c r="C7" s="109" t="n"/>
      <c r="D7" s="111" t="n"/>
      <c r="E7" s="67" t="n"/>
      <c r="F7" s="67" t="n"/>
      <c r="G7" s="75" t="n"/>
      <c r="H7" s="429" t="n"/>
      <c r="I7" s="430" t="n"/>
      <c r="J7" s="430" t="n"/>
      <c r="K7" s="431" t="n"/>
      <c r="L7" s="67" t="n"/>
      <c r="M7" s="67" t="n"/>
      <c r="N7" s="67" t="n"/>
      <c r="O7" s="67" t="n"/>
      <c r="P7" s="67" t="n"/>
      <c r="Q7" s="67" t="n"/>
      <c r="R7" s="67" t="n"/>
      <c r="S7" s="75" t="n"/>
    </row>
    <row r="8" ht="16.5" customHeight="1" s="322">
      <c r="A8" s="86" t="n"/>
      <c r="B8" s="116" t="n"/>
      <c r="C8" s="118">
        <f>BD!Z28</f>
        <v/>
      </c>
      <c r="D8" s="109" t="n"/>
      <c r="E8" s="67" t="n"/>
      <c r="F8" s="67" t="n"/>
      <c r="G8" s="75" t="n"/>
      <c r="H8" s="97" t="inlineStr">
        <is>
          <t>ㅣ변형 듀얼모멘텀_공격자산</t>
        </is>
      </c>
      <c r="I8" s="73" t="n"/>
      <c r="J8" s="73" t="n"/>
      <c r="K8" s="122" t="n"/>
      <c r="L8" s="67" t="n"/>
      <c r="M8" s="67" t="n"/>
      <c r="N8" s="67" t="n"/>
      <c r="O8" s="67" t="n"/>
      <c r="P8" s="67" t="n"/>
      <c r="Q8" s="67" t="n"/>
      <c r="R8" s="67" t="n"/>
      <c r="S8" s="75" t="n"/>
    </row>
    <row r="9" ht="16.5" customHeight="1" s="322">
      <c r="A9" s="86" t="n"/>
      <c r="B9" s="125" t="inlineStr">
        <is>
          <t>SPY</t>
        </is>
      </c>
      <c r="C9" s="126">
        <f>BD!Z29</f>
        <v/>
      </c>
      <c r="D9" s="122" t="n"/>
      <c r="E9" s="67" t="n"/>
      <c r="F9" s="67" t="n"/>
      <c r="G9" s="75" t="n"/>
      <c r="H9" s="128">
        <f>BD!A36</f>
        <v/>
      </c>
      <c r="I9" s="130">
        <f>BD!B36</f>
        <v/>
      </c>
      <c r="J9" s="73" t="n"/>
      <c r="K9" s="131" t="n"/>
      <c r="L9" s="67" t="n"/>
      <c r="M9" s="67" t="n"/>
      <c r="N9" s="67" t="n"/>
      <c r="O9" s="67" t="n"/>
      <c r="P9" s="67" t="n"/>
      <c r="Q9" s="67" t="n"/>
      <c r="R9" s="67" t="n"/>
      <c r="S9" s="75" t="n"/>
    </row>
    <row r="10" ht="16.5" customHeight="1" s="322">
      <c r="A10" s="86" t="n"/>
      <c r="B10" s="125" t="inlineStr">
        <is>
          <t>EFA</t>
        </is>
      </c>
      <c r="C10" s="126">
        <f>BD!Z30</f>
        <v/>
      </c>
      <c r="D10" s="131" t="n"/>
      <c r="E10" s="67" t="n"/>
      <c r="F10" s="67" t="n"/>
      <c r="G10" s="75" t="n"/>
      <c r="H10" s="132">
        <f>BD!A37</f>
        <v/>
      </c>
      <c r="I10" s="134">
        <f>BD!B37</f>
        <v/>
      </c>
      <c r="J10" s="135" t="n"/>
      <c r="K10" s="131" t="n"/>
      <c r="L10" s="67" t="n"/>
      <c r="M10" s="67" t="n"/>
      <c r="N10" s="67" t="n"/>
      <c r="O10" s="67" t="n"/>
      <c r="P10" s="67" t="n"/>
      <c r="Q10" s="67" t="n"/>
      <c r="R10" s="67" t="n"/>
      <c r="S10" s="75" t="n"/>
    </row>
    <row r="11" ht="16.5" customHeight="1" s="322">
      <c r="A11" s="86" t="n"/>
      <c r="B11" s="125" t="inlineStr">
        <is>
          <t>EEM</t>
        </is>
      </c>
      <c r="C11" s="126">
        <f>BD!Z31</f>
        <v/>
      </c>
      <c r="D11" s="131" t="n"/>
      <c r="E11" s="67" t="n"/>
      <c r="F11" s="67" t="n"/>
      <c r="G11" s="75" t="n"/>
      <c r="H11" s="138">
        <f>BD!A38</f>
        <v/>
      </c>
      <c r="I11" s="140">
        <f>BD!B38</f>
        <v/>
      </c>
      <c r="J11" s="135" t="n"/>
      <c r="K11" s="131" t="n"/>
      <c r="L11" s="67" t="n"/>
      <c r="M11" s="67" t="n"/>
      <c r="N11" s="67" t="n"/>
      <c r="O11" s="67" t="n"/>
      <c r="P11" s="67" t="n"/>
      <c r="Q11" s="67" t="n"/>
      <c r="R11" s="67" t="n"/>
      <c r="S11" s="75" t="n"/>
    </row>
    <row r="12" ht="16.5" customHeight="1" s="322">
      <c r="A12" s="86" t="n"/>
      <c r="B12" s="142" t="inlineStr">
        <is>
          <t>AGG</t>
        </is>
      </c>
      <c r="C12" s="144">
        <f>BD!Z32</f>
        <v/>
      </c>
      <c r="D12" s="131" t="n"/>
      <c r="E12" s="67" t="n"/>
      <c r="F12" s="67" t="n"/>
      <c r="G12" s="75" t="n"/>
      <c r="H12" s="146" t="n"/>
      <c r="I12" s="66" t="n"/>
      <c r="J12" s="73" t="n"/>
      <c r="K12" s="131" t="n"/>
      <c r="L12" s="67" t="n"/>
      <c r="M12" s="67" t="n"/>
      <c r="N12" s="67" t="n"/>
      <c r="O12" s="67" t="n"/>
      <c r="P12" s="67" t="n"/>
      <c r="Q12" s="67" t="n"/>
      <c r="R12" s="67" t="n"/>
      <c r="S12" s="75" t="n"/>
    </row>
    <row r="13" ht="16.5" customHeight="1" s="322">
      <c r="A13" s="108" t="n"/>
      <c r="D13" s="131" t="n"/>
      <c r="E13" s="67" t="n"/>
      <c r="F13" s="67" t="n"/>
      <c r="G13" s="75" t="n"/>
      <c r="H13" s="432" t="inlineStr">
        <is>
          <t xml:space="preserve">Step2. SPY의 수익률이 "0"이하인 경우, 
안전자산 중 수익률 높은 채권 3개를 매수합니다
But, 수익률이 "0" 이하인 자산은 현금보유
</t>
        </is>
      </c>
      <c r="I13" s="426" t="n"/>
      <c r="J13" s="426" t="n"/>
      <c r="K13" s="426" t="n"/>
      <c r="L13" s="67" t="n"/>
      <c r="M13" s="67" t="n"/>
      <c r="N13" s="67" t="n"/>
      <c r="O13" s="67" t="n"/>
      <c r="P13" s="67" t="n"/>
      <c r="Q13" s="67" t="n"/>
      <c r="R13" s="67" t="n"/>
      <c r="S13" s="75" t="n"/>
    </row>
    <row r="14" ht="16.5" customHeight="1" s="322">
      <c r="A14" s="108" t="n"/>
      <c r="B14" s="433" t="inlineStr">
        <is>
          <t xml:space="preserve">  A-1. 네, "0" 이하가 있어요
 </t>
        </is>
      </c>
      <c r="C14" s="426" t="n"/>
      <c r="D14" s="428" t="n"/>
      <c r="E14" s="83" t="n"/>
      <c r="F14" s="149" t="n"/>
      <c r="G14" s="84" t="n"/>
      <c r="H14" s="434" t="n"/>
      <c r="L14" s="67" t="n"/>
      <c r="M14" s="150" t="n"/>
      <c r="N14" s="67" t="n"/>
      <c r="O14" s="67" t="n"/>
      <c r="P14" s="67" t="n"/>
      <c r="Q14" s="67" t="n"/>
      <c r="R14" s="67" t="n"/>
      <c r="S14" s="75" t="n"/>
    </row>
    <row r="15" ht="16.5" customHeight="1" s="322">
      <c r="A15" s="151" t="n"/>
      <c r="B15" s="435" t="inlineStr">
        <is>
          <t>공격자산 투자중단! ↓아래있는 안전자산의 최근수익률이 높은 3개 자산에 투자합니다
But,(현재가격&lt;12개월 이동평균)이면 현금으로 보유</t>
        </is>
      </c>
      <c r="C15" s="436" t="n"/>
      <c r="D15" s="436" t="n"/>
      <c r="E15" s="436" t="n"/>
      <c r="F15" s="436" t="n"/>
      <c r="G15" s="437" t="n"/>
      <c r="H15" s="429" t="n"/>
      <c r="I15" s="430" t="n"/>
      <c r="J15" s="430" t="n"/>
      <c r="K15" s="430" t="n"/>
      <c r="L15" s="67" t="n"/>
      <c r="M15" s="150" t="n"/>
      <c r="N15" s="164" t="n"/>
      <c r="O15" s="67" t="n"/>
      <c r="P15" s="67" t="n"/>
      <c r="Q15" s="67" t="n"/>
      <c r="R15" s="67" t="n"/>
      <c r="S15" s="75" t="n"/>
    </row>
    <row r="16" ht="16.5" customHeight="1" s="322">
      <c r="A16" s="151" t="n"/>
      <c r="B16" s="438" t="n"/>
      <c r="C16" s="439" t="n"/>
      <c r="D16" s="439" t="n"/>
      <c r="E16" s="439" t="n"/>
      <c r="F16" s="439" t="n"/>
      <c r="G16" s="440" t="n"/>
      <c r="H16" s="152" t="inlineStr">
        <is>
          <t>종목당 투자금액</t>
        </is>
      </c>
      <c r="I16" s="441">
        <f>H2/3</f>
        <v/>
      </c>
      <c r="J16" s="155" t="n"/>
      <c r="K16" s="66" t="n"/>
      <c r="L16" s="156" t="n"/>
      <c r="M16" s="150" t="n"/>
      <c r="N16" s="164" t="n"/>
      <c r="O16" s="67" t="n"/>
      <c r="P16" s="67" t="n"/>
      <c r="Q16" s="67" t="n"/>
      <c r="R16" s="67" t="n"/>
      <c r="S16" s="75" t="n"/>
    </row>
    <row r="17" ht="16.5" customHeight="1" s="322">
      <c r="A17" s="151" t="n"/>
      <c r="B17" s="157" t="inlineStr">
        <is>
          <t>종목당 투자액</t>
        </is>
      </c>
      <c r="C17" s="442">
        <f>H3/3</f>
        <v/>
      </c>
      <c r="D17" s="443" t="n"/>
      <c r="E17" s="443" t="n"/>
      <c r="F17" s="443" t="n"/>
      <c r="G17" s="444" t="n"/>
      <c r="H17" s="161" t="inlineStr">
        <is>
          <t>ㅣ변형 듀얼모멘텀_안전자산</t>
        </is>
      </c>
      <c r="I17" s="162" t="n"/>
      <c r="J17" s="107" t="n"/>
      <c r="K17" s="67" t="n"/>
      <c r="L17" s="156" t="n"/>
      <c r="M17" s="73" t="n"/>
      <c r="N17" s="164" t="n"/>
      <c r="O17" s="67" t="n"/>
      <c r="P17" s="67" t="n"/>
      <c r="Q17" s="67" t="n"/>
      <c r="R17" s="67" t="n"/>
      <c r="S17" s="75" t="n"/>
    </row>
    <row r="18" ht="16.5" customHeight="1" s="322">
      <c r="A18" s="108" t="n"/>
      <c r="B18" s="166" t="inlineStr">
        <is>
          <t>ㅣBAA 안전자산</t>
        </is>
      </c>
      <c r="C18" s="162" t="n"/>
      <c r="D18" s="162" t="n"/>
      <c r="E18" s="167" t="n"/>
      <c r="F18" s="64" t="n"/>
      <c r="G18" s="65" t="n"/>
      <c r="H18" s="170">
        <f>BD!A41</f>
        <v/>
      </c>
      <c r="I18" s="171">
        <f>BD!T41</f>
        <v/>
      </c>
      <c r="J18" s="107" t="n"/>
      <c r="K18" s="67" t="n"/>
      <c r="L18" s="156" t="n"/>
      <c r="M18" s="107" t="n"/>
      <c r="N18" s="164" t="inlineStr">
        <is>
          <t>216 9002</t>
        </is>
      </c>
      <c r="O18" s="67" t="n"/>
      <c r="P18" s="67" t="n"/>
      <c r="Q18" s="67" t="n"/>
      <c r="R18" s="67" t="n"/>
      <c r="S18" s="75" t="n"/>
    </row>
    <row r="19" ht="16.5" customHeight="1" s="322">
      <c r="A19" s="108" t="n"/>
      <c r="B19" s="172" t="n"/>
      <c r="C19" s="173" t="inlineStr">
        <is>
          <t>현재/12개월이평</t>
        </is>
      </c>
      <c r="D19" s="219">
        <f>BD!B18</f>
        <v/>
      </c>
      <c r="E19" s="176">
        <f>BD!P18</f>
        <v/>
      </c>
      <c r="F19" s="164" t="n"/>
      <c r="G19" s="75" t="n"/>
      <c r="H19" s="177">
        <f>BD!A42</f>
        <v/>
      </c>
      <c r="I19" s="178">
        <f>BD!T42</f>
        <v/>
      </c>
      <c r="J19" s="179" t="n"/>
      <c r="K19" s="67" t="n"/>
      <c r="L19" s="156" t="n"/>
      <c r="M19" s="107" t="n"/>
      <c r="N19" s="164" t="n"/>
      <c r="O19" s="67" t="n"/>
      <c r="P19" s="67" t="n"/>
      <c r="Q19" s="67" t="n"/>
      <c r="R19" s="67" t="n"/>
      <c r="S19" s="75" t="n"/>
    </row>
    <row r="20" ht="16.5" customHeight="1" s="322">
      <c r="A20" s="108" t="n"/>
      <c r="B20" s="181">
        <f>BD!A19</f>
        <v/>
      </c>
      <c r="C20" s="182">
        <f>BD!Q19</f>
        <v/>
      </c>
      <c r="D20" s="445">
        <f>BD!B19</f>
        <v/>
      </c>
      <c r="E20" s="184">
        <f>BD!P19</f>
        <v/>
      </c>
      <c r="F20" s="164" t="n"/>
      <c r="G20" s="75" t="n"/>
      <c r="H20" s="177">
        <f>BD!A43</f>
        <v/>
      </c>
      <c r="I20" s="178">
        <f>BD!T43</f>
        <v/>
      </c>
      <c r="J20" s="185" t="n"/>
      <c r="K20" s="67" t="n"/>
      <c r="L20" s="156" t="n"/>
      <c r="M20" s="179" t="n"/>
      <c r="N20" s="164" t="n"/>
      <c r="O20" s="67" t="n"/>
      <c r="P20" s="67" t="n"/>
      <c r="Q20" s="67" t="n"/>
      <c r="R20" s="67" t="n"/>
      <c r="S20" s="75" t="n"/>
    </row>
    <row r="21" ht="16.5" customHeight="1" s="322">
      <c r="A21" s="151" t="n"/>
      <c r="B21" s="181">
        <f>BD!A20</f>
        <v/>
      </c>
      <c r="C21" s="182">
        <f>BD!Q20</f>
        <v/>
      </c>
      <c r="D21" s="445">
        <f>BD!B20</f>
        <v/>
      </c>
      <c r="E21" s="184">
        <f>BD!P20</f>
        <v/>
      </c>
      <c r="F21" s="164" t="n"/>
      <c r="G21" s="75" t="n"/>
      <c r="H21" s="177">
        <f>BD!A44</f>
        <v/>
      </c>
      <c r="I21" s="178">
        <f>BD!T44</f>
        <v/>
      </c>
      <c r="J21" s="185" t="n"/>
      <c r="K21" s="67" t="n"/>
      <c r="L21" s="156" t="n"/>
      <c r="M21" s="185" t="n"/>
      <c r="N21" s="164" t="n"/>
      <c r="O21" s="67" t="n"/>
      <c r="P21" s="67" t="n"/>
      <c r="Q21" s="67" t="n"/>
      <c r="R21" s="67" t="n"/>
      <c r="S21" s="75" t="n"/>
    </row>
    <row r="22" ht="16.5" customHeight="1" s="322">
      <c r="A22" s="151" t="n"/>
      <c r="B22" s="181">
        <f>BD!A21</f>
        <v/>
      </c>
      <c r="C22" s="182">
        <f>BD!Q21</f>
        <v/>
      </c>
      <c r="D22" s="445">
        <f>BD!B21</f>
        <v/>
      </c>
      <c r="E22" s="184">
        <f>BD!P21</f>
        <v/>
      </c>
      <c r="F22" s="164" t="n"/>
      <c r="G22" s="75" t="n"/>
      <c r="H22" s="177">
        <f>BD!A45</f>
        <v/>
      </c>
      <c r="I22" s="178">
        <f>BD!T45</f>
        <v/>
      </c>
      <c r="J22" s="185" t="n"/>
      <c r="K22" s="67" t="n"/>
      <c r="L22" s="156" t="n"/>
      <c r="M22" s="185" t="n"/>
      <c r="N22" s="164" t="n"/>
      <c r="O22" s="67" t="n"/>
      <c r="P22" s="67" t="n"/>
      <c r="Q22" s="67" t="n"/>
      <c r="R22" s="67" t="n"/>
      <c r="S22" s="75" t="n"/>
    </row>
    <row r="23" ht="16.5" customHeight="1" s="322">
      <c r="A23" s="151" t="n"/>
      <c r="B23" s="181">
        <f>BD!A22</f>
        <v/>
      </c>
      <c r="C23" s="182">
        <f>BD!Q22</f>
        <v/>
      </c>
      <c r="D23" s="445">
        <f>BD!B22</f>
        <v/>
      </c>
      <c r="E23" s="184">
        <f>BD!P22</f>
        <v/>
      </c>
      <c r="F23" s="164" t="n"/>
      <c r="G23" s="75" t="n"/>
      <c r="H23" s="177">
        <f>BD!A46</f>
        <v/>
      </c>
      <c r="I23" s="178">
        <f>BD!T46</f>
        <v/>
      </c>
      <c r="J23" s="186" t="n"/>
      <c r="K23" s="67" t="n"/>
      <c r="L23" s="156" t="n"/>
      <c r="M23" s="185" t="n"/>
      <c r="N23" s="164" t="n"/>
      <c r="O23" s="67" t="n"/>
      <c r="P23" s="67" t="n"/>
      <c r="Q23" s="67" t="n"/>
      <c r="R23" s="67" t="n"/>
      <c r="S23" s="75" t="n"/>
    </row>
    <row r="24" ht="16.5" customHeight="1" s="322">
      <c r="A24" s="108" t="n"/>
      <c r="B24" s="181">
        <f>BD!A23</f>
        <v/>
      </c>
      <c r="C24" s="182">
        <f>BD!Q23</f>
        <v/>
      </c>
      <c r="D24" s="445">
        <f>BD!B23</f>
        <v/>
      </c>
      <c r="E24" s="184">
        <f>BD!P23</f>
        <v/>
      </c>
      <c r="F24" s="164" t="n"/>
      <c r="G24" s="75" t="n"/>
      <c r="H24" s="177">
        <f>BD!A47</f>
        <v/>
      </c>
      <c r="I24" s="178">
        <f>BD!T47</f>
        <v/>
      </c>
      <c r="J24" s="186" t="n"/>
      <c r="K24" s="67" t="n"/>
      <c r="L24" s="156" t="n"/>
      <c r="M24" s="73" t="n"/>
      <c r="N24" s="164" t="n"/>
      <c r="O24" s="67" t="n"/>
      <c r="P24" s="67" t="n"/>
      <c r="Q24" s="67" t="n"/>
      <c r="R24" s="67" t="n"/>
      <c r="S24" s="75" t="n"/>
    </row>
    <row r="25" ht="16.5" customHeight="1" s="322">
      <c r="A25" s="108" t="n"/>
      <c r="B25" s="181">
        <f>BD!A24</f>
        <v/>
      </c>
      <c r="C25" s="182">
        <f>BD!Q24</f>
        <v/>
      </c>
      <c r="D25" s="446">
        <f>BD!B24</f>
        <v/>
      </c>
      <c r="E25" s="184">
        <f>BD!P24</f>
        <v/>
      </c>
      <c r="F25" s="164" t="n"/>
      <c r="G25" s="75" t="n"/>
      <c r="H25" s="177">
        <f>BD!A48</f>
        <v/>
      </c>
      <c r="I25" s="178">
        <f>BD!T48</f>
        <v/>
      </c>
      <c r="J25" s="186" t="n"/>
      <c r="K25" s="67" t="n"/>
      <c r="L25" s="156" t="n"/>
      <c r="M25" s="73" t="n"/>
      <c r="N25" s="164" t="n"/>
      <c r="O25" s="67" t="n"/>
      <c r="P25" s="67" t="n"/>
      <c r="Q25" s="67" t="n"/>
      <c r="R25" s="67" t="n"/>
      <c r="S25" s="75" t="n"/>
    </row>
    <row r="26" ht="16.5" customHeight="1" s="322">
      <c r="A26" s="108" t="n"/>
      <c r="B26" s="191">
        <f>BD!A25</f>
        <v/>
      </c>
      <c r="C26" s="192">
        <f>BD!Q25</f>
        <v/>
      </c>
      <c r="D26" s="447">
        <f>BD!B25</f>
        <v/>
      </c>
      <c r="E26" s="195">
        <f>BD!P25</f>
        <v/>
      </c>
      <c r="F26" s="164" t="n"/>
      <c r="G26" s="75" t="n"/>
      <c r="H26" s="196">
        <f>BD!A49</f>
        <v/>
      </c>
      <c r="I26" s="197">
        <f>BD!T49</f>
        <v/>
      </c>
      <c r="J26" s="67" t="n"/>
      <c r="K26" s="67" t="n"/>
      <c r="L26" s="156" t="n"/>
      <c r="M26" s="73" t="n"/>
      <c r="N26" s="164" t="n"/>
      <c r="O26" s="67" t="n"/>
      <c r="P26" s="67" t="n"/>
      <c r="Q26" s="67" t="n"/>
      <c r="R26" s="67" t="n"/>
      <c r="S26" s="75" t="n"/>
    </row>
    <row r="27" ht="16.5" customHeight="1" s="322">
      <c r="A27" s="108" t="n"/>
      <c r="B27" s="199" t="n"/>
      <c r="C27" s="201" t="n"/>
      <c r="D27" s="201" t="n"/>
      <c r="E27" s="201" t="n"/>
      <c r="F27" s="149" t="n"/>
      <c r="G27" s="84" t="n"/>
      <c r="H27" s="202" t="n"/>
      <c r="I27" s="67" t="n"/>
      <c r="J27" s="67" t="n"/>
      <c r="K27" s="73" t="n"/>
      <c r="L27" s="67" t="n"/>
      <c r="M27" s="73" t="n"/>
      <c r="N27" s="67" t="n"/>
      <c r="O27" s="67" t="n"/>
      <c r="P27" s="67" t="n"/>
      <c r="Q27" s="67" t="n"/>
      <c r="R27" s="67" t="n"/>
      <c r="S27" s="75" t="n"/>
    </row>
    <row r="28" ht="16.5" customHeight="1" s="322">
      <c r="A28" s="108" t="n"/>
      <c r="B28" s="448" t="inlineStr">
        <is>
          <t xml:space="preserve">  A-2. 모두  "0" 보다 커요(BAA중도형)
</t>
        </is>
      </c>
      <c r="C28" s="426" t="n"/>
      <c r="D28" s="428" t="n"/>
      <c r="E28" s="449" t="inlineStr">
        <is>
          <t xml:space="preserve">  A-2. 모두  "0" 보다 커요(BAA공격형)
</t>
        </is>
      </c>
      <c r="F28" s="426" t="n"/>
      <c r="G28" s="428" t="n"/>
      <c r="H28" s="202" t="n"/>
      <c r="I28" s="203" t="n"/>
      <c r="J28" s="67" t="n"/>
      <c r="K28" s="67" t="n"/>
      <c r="L28" s="67" t="n"/>
      <c r="M28" s="73" t="n"/>
      <c r="N28" s="67" t="n"/>
      <c r="O28" s="67" t="n"/>
      <c r="P28" s="67" t="n"/>
      <c r="Q28" s="67" t="n"/>
      <c r="R28" s="73" t="n"/>
      <c r="S28" s="75" t="n"/>
    </row>
    <row r="29" ht="16.5" customHeight="1" s="322">
      <c r="A29" s="151" t="n"/>
      <c r="B29" s="450" t="inlineStr">
        <is>
          <t>↓아래있는 [BAA중도형_공격자산 12종목] 또는 [BAA공격형]중 모멘텀 스코어가 높은 6개 자산에 투자합니다</t>
        </is>
      </c>
      <c r="C29" s="436" t="n"/>
      <c r="D29" s="437" t="n"/>
      <c r="E29" s="451" t="inlineStr">
        <is>
          <t>BAA 공격형 투자는 최근수익률이 높은 1개 자산에 몰빵! 합니다</t>
        </is>
      </c>
      <c r="F29" s="436" t="n"/>
      <c r="G29" s="437" t="n"/>
      <c r="H29" s="202" t="n"/>
      <c r="I29" s="203" t="n"/>
      <c r="J29" s="67" t="n"/>
      <c r="K29" s="67" t="n"/>
      <c r="L29" s="67" t="n"/>
      <c r="M29" s="73" t="n"/>
      <c r="N29" s="67" t="n"/>
      <c r="O29" s="67" t="n"/>
      <c r="P29" s="67" t="n"/>
      <c r="Q29" s="67" t="n"/>
      <c r="R29" s="73" t="n"/>
      <c r="S29" s="75" t="n"/>
    </row>
    <row r="30" ht="16.5" customHeight="1" s="322">
      <c r="A30" s="151" t="n"/>
      <c r="B30" s="438" t="n"/>
      <c r="C30" s="439" t="n"/>
      <c r="D30" s="440" t="n"/>
      <c r="E30" s="438" t="n"/>
      <c r="F30" s="439" t="n"/>
      <c r="G30" s="440" t="n"/>
      <c r="H30" s="202" t="n"/>
      <c r="I30" s="203" t="n"/>
      <c r="J30" s="67" t="n"/>
      <c r="K30" s="67" t="n"/>
      <c r="L30" s="67" t="n"/>
      <c r="M30" s="73" t="n"/>
      <c r="N30" s="67" t="n"/>
      <c r="O30" s="67" t="n"/>
      <c r="P30" s="67" t="n"/>
      <c r="Q30" s="73" t="n"/>
      <c r="R30" s="73" t="n"/>
      <c r="S30" s="75" t="n"/>
    </row>
    <row r="31" ht="16.5" customHeight="1" s="322">
      <c r="A31" s="151" t="n"/>
      <c r="B31" s="204" t="inlineStr">
        <is>
          <t>종목당 투자액</t>
        </is>
      </c>
      <c r="C31" s="452">
        <f>H3/6</f>
        <v/>
      </c>
      <c r="D31" s="206" t="n"/>
      <c r="E31" s="204" t="inlineStr">
        <is>
          <t>종목당 투자액</t>
        </is>
      </c>
      <c r="F31" s="452">
        <f>H3</f>
        <v/>
      </c>
      <c r="G31" s="207" t="n"/>
      <c r="H31" s="202" t="n"/>
      <c r="I31" s="203" t="n"/>
      <c r="J31" s="67" t="n"/>
      <c r="K31" s="67" t="n"/>
      <c r="L31" s="67" t="n"/>
      <c r="M31" s="73" t="n"/>
      <c r="N31" s="67" t="n"/>
      <c r="O31" s="67" t="n"/>
      <c r="P31" s="73" t="n"/>
      <c r="Q31" s="73" t="n"/>
      <c r="R31" s="73" t="n"/>
      <c r="S31" s="75" t="n"/>
    </row>
    <row r="32" ht="16.5" customHeight="1" s="322">
      <c r="A32" s="208" t="n"/>
      <c r="B32" s="209" t="inlineStr">
        <is>
          <t>ㅣBAA 중도형_공격자산 12종목</t>
        </is>
      </c>
      <c r="C32" s="210" t="n"/>
      <c r="D32" s="211" t="n"/>
      <c r="E32" s="166" t="inlineStr">
        <is>
          <t>ㅣBAA공격형(수익↑, MDD↑)</t>
        </is>
      </c>
      <c r="F32" s="212" t="n"/>
      <c r="G32" s="213" t="n"/>
      <c r="H32" s="202" t="n"/>
      <c r="I32" s="203" t="n"/>
      <c r="J32" s="67" t="n"/>
      <c r="K32" s="67" t="n"/>
      <c r="L32" s="67" t="n"/>
      <c r="M32" s="73" t="n"/>
      <c r="N32" s="67" t="n"/>
      <c r="O32" s="67" t="n"/>
      <c r="P32" s="73" t="n"/>
      <c r="Q32" s="73" t="n"/>
      <c r="R32" s="73" t="n"/>
      <c r="S32" s="75" t="n"/>
    </row>
    <row r="33" ht="16.5" customHeight="1" s="322">
      <c r="A33" s="214" t="n"/>
      <c r="B33" s="215" t="n"/>
      <c r="C33" s="216">
        <f>BD!Z4</f>
        <v/>
      </c>
      <c r="D33" s="217" t="inlineStr">
        <is>
          <t>현재/12개월이평</t>
        </is>
      </c>
      <c r="E33" s="218" t="n"/>
      <c r="F33" s="219" t="inlineStr">
        <is>
          <t>모멘텀 스코어</t>
        </is>
      </c>
      <c r="G33" s="220" t="inlineStr">
        <is>
          <t>현재/12개월이평</t>
        </is>
      </c>
      <c r="H33" s="202" t="n"/>
      <c r="I33" s="203" t="n"/>
      <c r="J33" s="73" t="n"/>
      <c r="K33" s="73" t="n"/>
      <c r="L33" s="73" t="n"/>
      <c r="M33" s="73" t="n"/>
      <c r="N33" s="67" t="n"/>
      <c r="O33" s="67" t="n"/>
      <c r="P33" s="67" t="n"/>
      <c r="Q33" s="67" t="n"/>
      <c r="R33" s="67" t="n"/>
      <c r="S33" s="75" t="n"/>
    </row>
    <row r="34" ht="16.5" customHeight="1" s="322">
      <c r="A34" s="214" t="n"/>
      <c r="B34" s="221">
        <f>BD!A5</f>
        <v/>
      </c>
      <c r="C34" s="222">
        <f>BD!Z5</f>
        <v/>
      </c>
      <c r="D34" s="223">
        <f>BD!Q5</f>
        <v/>
      </c>
      <c r="E34" s="224">
        <f>관심종목!D26</f>
        <v/>
      </c>
      <c r="F34" s="225">
        <f>BD!Z33</f>
        <v/>
      </c>
      <c r="G34" s="226">
        <f>BD!Q29</f>
        <v/>
      </c>
      <c r="H34" s="202" t="n"/>
      <c r="I34" s="203" t="n"/>
      <c r="J34" s="73" t="n"/>
      <c r="K34" s="73" t="n"/>
      <c r="L34" s="73" t="n"/>
      <c r="M34" s="73" t="n"/>
      <c r="N34" s="67" t="n"/>
      <c r="O34" s="67" t="n"/>
      <c r="P34" s="67" t="n"/>
      <c r="Q34" s="67" t="n"/>
      <c r="R34" s="67" t="n"/>
      <c r="S34" s="75" t="n"/>
    </row>
    <row r="35" ht="16.5" customHeight="1" s="322">
      <c r="A35" s="214" t="n"/>
      <c r="B35" s="221">
        <f>BD!A6</f>
        <v/>
      </c>
      <c r="C35" s="227">
        <f>BD!Z6</f>
        <v/>
      </c>
      <c r="D35" s="223">
        <f>BD!Q6</f>
        <v/>
      </c>
      <c r="E35" s="224">
        <f>관심종목!D23</f>
        <v/>
      </c>
      <c r="F35" s="222">
        <f>BD!Z30</f>
        <v/>
      </c>
      <c r="G35" s="226">
        <f>BD!Q30</f>
        <v/>
      </c>
      <c r="H35" s="202" t="n"/>
      <c r="I35" s="203" t="n"/>
      <c r="J35" s="73" t="n"/>
      <c r="K35" s="73" t="n"/>
      <c r="L35" s="73" t="n"/>
      <c r="M35" s="73" t="n"/>
      <c r="N35" s="67" t="n"/>
      <c r="O35" s="67" t="n"/>
      <c r="P35" s="67" t="n"/>
      <c r="Q35" s="67" t="n"/>
      <c r="R35" s="67" t="n"/>
      <c r="S35" s="75" t="n"/>
    </row>
    <row r="36" ht="16.5" customHeight="1" s="322">
      <c r="A36" s="214" t="n"/>
      <c r="B36" s="221">
        <f>BD!A7</f>
        <v/>
      </c>
      <c r="C36" s="227">
        <f>BD!Z7</f>
        <v/>
      </c>
      <c r="D36" s="223">
        <f>BD!Q7</f>
        <v/>
      </c>
      <c r="E36" s="224">
        <f>관심종목!D24</f>
        <v/>
      </c>
      <c r="F36" s="225">
        <f>BD!Z31</f>
        <v/>
      </c>
      <c r="G36" s="226">
        <f>BD!Q31</f>
        <v/>
      </c>
      <c r="H36" s="202" t="n"/>
      <c r="I36" s="203" t="n"/>
      <c r="J36" s="73" t="n"/>
      <c r="K36" s="73" t="n"/>
      <c r="L36" s="73" t="n"/>
      <c r="M36" s="73" t="n"/>
      <c r="N36" s="67" t="n"/>
      <c r="O36" s="67" t="n"/>
      <c r="P36" s="67" t="n"/>
      <c r="Q36" s="67" t="n"/>
      <c r="R36" s="67" t="n"/>
      <c r="S36" s="75" t="n"/>
    </row>
    <row r="37" ht="16.5" customHeight="1" s="322">
      <c r="A37" s="214" t="n"/>
      <c r="B37" s="221">
        <f>BD!A8</f>
        <v/>
      </c>
      <c r="C37" s="222">
        <f>BD!Z8</f>
        <v/>
      </c>
      <c r="D37" s="223">
        <f>BD!Q8</f>
        <v/>
      </c>
      <c r="E37" s="228">
        <f>관심종목!D25</f>
        <v/>
      </c>
      <c r="F37" s="229">
        <f>BD!Z32</f>
        <v/>
      </c>
      <c r="G37" s="230">
        <f>BD!Q32</f>
        <v/>
      </c>
      <c r="H37" s="202" t="n"/>
      <c r="I37" s="203" t="n"/>
      <c r="J37" s="73" t="n"/>
      <c r="K37" s="73" t="n"/>
      <c r="L37" s="73" t="n"/>
      <c r="M37" s="73" t="n"/>
      <c r="N37" s="67" t="n"/>
      <c r="O37" s="67" t="n"/>
      <c r="P37" s="67" t="n"/>
      <c r="Q37" s="67" t="n"/>
      <c r="R37" s="67" t="n"/>
      <c r="S37" s="75" t="n"/>
    </row>
    <row r="38" ht="16.5" customHeight="1" s="322">
      <c r="A38" s="231" t="n"/>
      <c r="B38" s="221">
        <f>BD!A9</f>
        <v/>
      </c>
      <c r="C38" s="222">
        <f>BD!Z9</f>
        <v/>
      </c>
      <c r="D38" s="223">
        <f>BD!Q9</f>
        <v/>
      </c>
      <c r="E38" s="232" t="n"/>
      <c r="F38" s="162" t="n"/>
      <c r="G38" s="213" t="n"/>
      <c r="H38" s="202" t="n"/>
      <c r="I38" s="203" t="n"/>
      <c r="J38" s="73" t="n"/>
      <c r="K38" s="73" t="n"/>
      <c r="L38" s="73" t="n"/>
      <c r="M38" s="73" t="n"/>
      <c r="N38" s="67" t="n"/>
      <c r="O38" s="67" t="n"/>
      <c r="P38" s="67" t="n"/>
      <c r="Q38" s="67" t="n"/>
      <c r="R38" s="67" t="n"/>
      <c r="S38" s="75" t="n"/>
    </row>
    <row r="39" ht="16.5" customHeight="1" s="322">
      <c r="A39" s="231" t="n"/>
      <c r="B39" s="221">
        <f>BD!A10</f>
        <v/>
      </c>
      <c r="C39" s="222">
        <f>BD!Z10</f>
        <v/>
      </c>
      <c r="D39" s="223">
        <f>BD!Q10</f>
        <v/>
      </c>
      <c r="E39" s="233" t="n"/>
      <c r="F39" s="73" t="n"/>
      <c r="G39" s="61" t="n"/>
      <c r="H39" s="202" t="n"/>
      <c r="I39" s="203" t="n"/>
      <c r="J39" s="73" t="n"/>
      <c r="K39" s="73" t="n"/>
      <c r="L39" s="73" t="n"/>
      <c r="M39" s="73" t="n"/>
      <c r="N39" s="67" t="n"/>
      <c r="O39" s="67" t="n"/>
      <c r="P39" s="67" t="n"/>
      <c r="Q39" s="67" t="n"/>
      <c r="R39" s="67" t="n"/>
      <c r="S39" s="75" t="n"/>
    </row>
    <row r="40" ht="16.5" customHeight="1" s="322">
      <c r="A40" s="231" t="n"/>
      <c r="B40" s="221">
        <f>BD!A11</f>
        <v/>
      </c>
      <c r="C40" s="222">
        <f>BD!Z11</f>
        <v/>
      </c>
      <c r="D40" s="223">
        <f>BD!Q11</f>
        <v/>
      </c>
      <c r="E40" s="64" t="n"/>
      <c r="F40" s="66" t="n"/>
      <c r="G40" s="75" t="n"/>
      <c r="H40" s="202" t="n"/>
      <c r="I40" s="203" t="n"/>
      <c r="J40" s="73" t="n"/>
      <c r="K40" s="73" t="n"/>
      <c r="L40" s="73" t="n"/>
      <c r="M40" s="73" t="n"/>
      <c r="N40" s="67" t="n"/>
      <c r="O40" s="67" t="n"/>
      <c r="P40" s="67" t="n"/>
      <c r="Q40" s="67" t="n"/>
      <c r="R40" s="67" t="n"/>
      <c r="S40" s="75" t="n"/>
    </row>
    <row r="41" ht="16.5" customHeight="1" s="322">
      <c r="A41" s="231" t="n"/>
      <c r="B41" s="221">
        <f>BD!A12</f>
        <v/>
      </c>
      <c r="C41" s="227">
        <f>BD!Z12</f>
        <v/>
      </c>
      <c r="D41" s="223">
        <f>BD!Q12</f>
        <v/>
      </c>
      <c r="E41" s="164" t="n"/>
      <c r="F41" s="67" t="n"/>
      <c r="G41" s="75" t="n"/>
      <c r="H41" s="202" t="n"/>
      <c r="I41" s="203" t="n"/>
      <c r="J41" s="73" t="n"/>
      <c r="K41" s="73" t="n"/>
      <c r="L41" s="73" t="n"/>
      <c r="M41" s="73" t="n"/>
      <c r="N41" s="67" t="n"/>
      <c r="O41" s="67" t="n"/>
      <c r="P41" s="67" t="n"/>
      <c r="Q41" s="67" t="n"/>
      <c r="R41" s="67" t="n"/>
      <c r="S41" s="75" t="n"/>
    </row>
    <row r="42" ht="16.5" customHeight="1" s="322">
      <c r="A42" s="231" t="n"/>
      <c r="B42" s="221">
        <f>BD!A13</f>
        <v/>
      </c>
      <c r="C42" s="227">
        <f>BD!Z13</f>
        <v/>
      </c>
      <c r="D42" s="223">
        <f>BD!Q13</f>
        <v/>
      </c>
      <c r="E42" s="164" t="n"/>
      <c r="F42" s="67" t="n"/>
      <c r="G42" s="75" t="n"/>
      <c r="H42" s="202" t="n"/>
      <c r="I42" s="203" t="n"/>
      <c r="J42" s="73" t="n"/>
      <c r="K42" s="73" t="n"/>
      <c r="L42" s="73" t="n"/>
      <c r="M42" s="73" t="n"/>
      <c r="N42" s="67" t="n"/>
      <c r="O42" s="67" t="n"/>
      <c r="P42" s="67" t="n"/>
      <c r="Q42" s="67" t="n"/>
      <c r="R42" s="67" t="n"/>
      <c r="S42" s="75" t="n"/>
    </row>
    <row r="43" ht="16.5" customHeight="1" s="322">
      <c r="A43" s="231" t="n"/>
      <c r="B43" s="221">
        <f>BD!A14</f>
        <v/>
      </c>
      <c r="C43" s="222">
        <f>BD!Z14</f>
        <v/>
      </c>
      <c r="D43" s="223">
        <f>BD!Q14</f>
        <v/>
      </c>
      <c r="E43" s="164" t="n"/>
      <c r="F43" s="67" t="n"/>
      <c r="G43" s="75" t="n"/>
      <c r="H43" s="202" t="n"/>
      <c r="I43" s="203" t="n"/>
      <c r="J43" s="73" t="n"/>
      <c r="K43" s="73" t="n"/>
      <c r="L43" s="73" t="n"/>
      <c r="M43" s="73" t="n"/>
      <c r="N43" s="67" t="n"/>
      <c r="O43" s="67" t="n"/>
      <c r="P43" s="67" t="n"/>
      <c r="Q43" s="67" t="n"/>
      <c r="R43" s="67" t="n"/>
      <c r="S43" s="75" t="n"/>
    </row>
    <row r="44" ht="16.5" customHeight="1" s="322">
      <c r="A44" s="231" t="n"/>
      <c r="B44" s="221">
        <f>BD!A15</f>
        <v/>
      </c>
      <c r="C44" s="227">
        <f>BD!Z15</f>
        <v/>
      </c>
      <c r="D44" s="223">
        <f>BD!Q15</f>
        <v/>
      </c>
      <c r="E44" s="164" t="n"/>
      <c r="F44" s="67" t="n"/>
      <c r="G44" s="75" t="n"/>
      <c r="H44" s="202" t="n"/>
      <c r="I44" s="203" t="n"/>
      <c r="J44" s="73" t="n"/>
      <c r="K44" s="73" t="n"/>
      <c r="L44" s="73" t="n"/>
      <c r="M44" s="73" t="n"/>
      <c r="N44" s="67" t="n"/>
      <c r="O44" s="67" t="n"/>
      <c r="P44" s="67" t="n"/>
      <c r="Q44" s="67" t="n"/>
      <c r="R44" s="67" t="n"/>
      <c r="S44" s="75" t="n"/>
    </row>
    <row r="45" ht="16.5" customHeight="1" s="322">
      <c r="A45" s="231" t="n"/>
      <c r="B45" s="234">
        <f>BD!A16</f>
        <v/>
      </c>
      <c r="C45" s="235">
        <f>BD!Z16</f>
        <v/>
      </c>
      <c r="D45" s="236">
        <f>BD!Q16</f>
        <v/>
      </c>
      <c r="E45" s="164" t="n"/>
      <c r="F45" s="67" t="n"/>
      <c r="G45" s="75" t="n"/>
      <c r="H45" s="202" t="n"/>
      <c r="I45" s="203" t="n"/>
      <c r="J45" s="73" t="n"/>
      <c r="K45" s="73" t="n"/>
      <c r="L45" s="73" t="n"/>
      <c r="M45" s="73" t="n"/>
      <c r="N45" s="67" t="n"/>
      <c r="O45" s="67" t="n"/>
      <c r="P45" s="67" t="n"/>
      <c r="Q45" s="67" t="n"/>
      <c r="R45" s="67" t="n"/>
      <c r="S45" s="75" t="n"/>
    </row>
    <row r="46" ht="16.5" customHeight="1" s="322">
      <c r="A46" s="237" t="n"/>
      <c r="B46" s="64" t="n"/>
      <c r="C46" s="66" t="n"/>
      <c r="D46" s="66" t="n"/>
      <c r="E46" s="66" t="n"/>
      <c r="F46" s="66" t="n"/>
      <c r="G46" s="65" t="n"/>
      <c r="H46" s="202" t="n"/>
      <c r="I46" s="238" t="n"/>
      <c r="J46" s="239" t="n"/>
      <c r="K46" s="239" t="n"/>
      <c r="L46" s="239" t="n"/>
      <c r="M46" s="239" t="n"/>
      <c r="N46" s="149" t="n"/>
      <c r="O46" s="149" t="n"/>
      <c r="P46" s="149" t="n"/>
      <c r="Q46" s="149" t="n"/>
      <c r="R46" s="149" t="n"/>
      <c r="S46" s="84" t="n"/>
    </row>
  </sheetData>
  <mergeCells count="10">
    <mergeCell ref="B28:D28"/>
    <mergeCell ref="E28:G28"/>
    <mergeCell ref="B14:D14"/>
    <mergeCell ref="B6:F6"/>
    <mergeCell ref="B29:D30"/>
    <mergeCell ref="B15:G16"/>
    <mergeCell ref="H6:K7"/>
    <mergeCell ref="H13:K15"/>
    <mergeCell ref="E29:G30"/>
    <mergeCell ref="C17:G17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276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2.5703125" defaultRowHeight="15.75" customHeight="1"/>
  <cols>
    <col width="10.42578125" customWidth="1" style="322" min="1" max="1"/>
    <col width="4.7109375" customWidth="1" style="322" min="2" max="2"/>
    <col width="8.42578125" customWidth="1" style="322" min="3" max="3"/>
    <col width="7" customWidth="1" style="322" min="4" max="4"/>
    <col width="10.28515625" customWidth="1" style="322" min="5" max="5"/>
    <col width="28.42578125" customWidth="1" style="322" min="6" max="6"/>
    <col width="11.7109375" customWidth="1" style="322" min="7" max="7"/>
    <col width="8.42578125" customWidth="1" style="322" min="8" max="8"/>
    <col width="8.85546875" customWidth="1" style="322" min="9" max="9"/>
    <col width="8.7109375" customWidth="1" style="322" min="10" max="10"/>
    <col width="4" customWidth="1" style="322" min="11" max="11"/>
    <col width="9.42578125" customWidth="1" style="322" min="12" max="12"/>
    <col width="8.42578125" customWidth="1" style="322" min="13" max="14"/>
    <col width="6.5703125" customWidth="1" style="322" min="15" max="15"/>
    <col width="28" customWidth="1" style="322" min="16" max="18"/>
    <col width="10" customWidth="1" style="322" min="19" max="19"/>
    <col width="7.85546875" customWidth="1" style="322" min="20" max="20"/>
    <col width="12.5703125" customWidth="1" style="322" min="21" max="21"/>
    <col width="31.42578125" customWidth="1" style="322" min="22" max="22"/>
    <col width="14" customWidth="1" style="322" min="24" max="24"/>
    <col width="14" customWidth="1" style="322" min="25" max="25"/>
    <col width="12" customWidth="1" style="322" min="26" max="26"/>
    <col width="12" customWidth="1" style="322" min="27" max="27"/>
    <col width="14" customWidth="1" style="322" min="28" max="28"/>
    <col width="14" customWidth="1" style="322" min="29" max="29"/>
    <col width="14" customWidth="1" style="322" min="30" max="30"/>
  </cols>
  <sheetData>
    <row r="1" ht="22.5" customHeight="1" s="322">
      <c r="A1" s="1" t="n"/>
      <c r="B1" s="1" t="n"/>
      <c r="C1" s="1" t="n"/>
      <c r="D1" s="3" t="inlineStr">
        <is>
          <t>안내
B열에 추적할 주식의 종목코드를 입력합니다.
H열에 평가금액을 추적할 주식의 수량을 입력합니다.</t>
        </is>
      </c>
      <c r="E1" s="3" t="n"/>
      <c r="F1" s="3" t="n"/>
      <c r="G1" s="3" t="n"/>
      <c r="H1" s="3" t="n"/>
      <c r="I1" s="3" t="n"/>
      <c r="J1" s="3" t="n"/>
      <c r="K1" s="3" t="n"/>
      <c r="L1" s="5" t="inlineStr">
        <is>
          <t>제공:</t>
        </is>
      </c>
      <c r="M1" s="1" t="n"/>
      <c r="N1" s="1" t="n"/>
      <c r="O1" s="6" t="n"/>
      <c r="P1" s="453" t="inlineStr">
        <is>
          <t>차트 보기 안내</t>
        </is>
      </c>
      <c r="Q1" s="7" t="n"/>
      <c r="R1" s="7" t="n"/>
      <c r="S1" s="7" t="n"/>
      <c r="T1" s="7" t="n"/>
      <c r="U1" s="7" t="n"/>
      <c r="V1" s="7" t="n"/>
      <c r="X1" s="507" t="inlineStr">
        <is>
          <t>관심종목 통합 차트</t>
        </is>
      </c>
    </row>
    <row r="2" ht="22.5" customHeight="1" s="322">
      <c r="A2" s="1" t="n"/>
      <c r="B2" s="1" t="n"/>
      <c r="C2" s="1" t="n"/>
      <c r="D2" s="3" t="n"/>
      <c r="E2" s="3" t="n"/>
      <c r="F2" s="3" t="n"/>
      <c r="G2" s="3" t="n"/>
      <c r="H2" s="3" t="n"/>
      <c r="I2" s="3" t="n"/>
      <c r="J2" s="3" t="n"/>
      <c r="K2" s="3" t="n"/>
      <c r="L2" s="9" t="inlineStr">
        <is>
          <t>Google Finance</t>
        </is>
      </c>
      <c r="M2" s="1" t="n"/>
      <c r="N2" s="1" t="n"/>
      <c r="O2" s="6" t="n"/>
      <c r="P2" s="454" t="inlineStr">
        <is>
          <t>D열 Ticker를 클릭하면 오른쪽 통합 차트 영역으로 이동합니다.</t>
        </is>
      </c>
      <c r="Q2" s="7" t="n"/>
      <c r="R2" s="7" t="n"/>
      <c r="S2" s="7" t="n"/>
      <c r="T2" s="7" t="n"/>
      <c r="U2" s="7" t="n"/>
      <c r="V2" s="7" t="n"/>
      <c r="X2" s="508" t="inlineStr">
        <is>
          <t>선택 Ticker</t>
        </is>
      </c>
      <c r="Y2" t="inlineStr">
        <is>
          <t>SPY</t>
        </is>
      </c>
      <c r="Z2" s="508" t="inlineStr">
        <is>
          <t>차트 기간</t>
        </is>
      </c>
      <c r="AA2" t="inlineStr">
        <is>
          <t>최근 1년</t>
        </is>
      </c>
    </row>
    <row r="3" ht="12.75" customHeight="1" s="32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6" t="n"/>
      <c r="P3" s="454" t="inlineStr">
        <is>
          <t>Y2에서 Ticker를 선택하면 차트가 업데이트됩니다.</t>
        </is>
      </c>
      <c r="Q3" s="7" t="n"/>
      <c r="R3" s="7" t="n"/>
      <c r="S3" s="7" t="n"/>
      <c r="T3" s="7" t="n"/>
      <c r="U3" s="7" t="n"/>
      <c r="V3" s="7" t="n"/>
      <c r="X3" s="508" t="inlineStr">
        <is>
          <t>사용법</t>
        </is>
      </c>
      <c r="Y3" s="485" t="inlineStr">
        <is>
          <t>Y2에서 Ticker를 선택하면 아래 차트가 해당 종목으로 갱신됩니다. D열 Ticker 클릭 시 이 차트 영역으로 이동합니다.</t>
        </is>
      </c>
    </row>
    <row r="4" ht="23.25" customHeight="1" s="322">
      <c r="A4" s="1" t="n"/>
      <c r="B4" s="1" t="n"/>
      <c r="C4" s="1" t="n"/>
      <c r="E4" s="1" t="n"/>
      <c r="F4" s="10" t="inlineStr">
        <is>
          <t>관심종목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6" t="n"/>
      <c r="P4" s="7" t="n"/>
      <c r="Q4" s="7" t="n"/>
      <c r="R4" s="7" t="n"/>
      <c r="S4" s="7" t="n"/>
      <c r="T4" s="7" t="n"/>
      <c r="U4" s="7" t="n"/>
      <c r="V4" s="7" t="n"/>
    </row>
    <row r="5" ht="16.5" customHeight="1" s="322">
      <c r="A5" s="1" t="n"/>
      <c r="B5" s="1" t="n"/>
      <c r="C5" s="1" t="n"/>
      <c r="D5" s="90" t="n"/>
      <c r="E5" s="1" t="n"/>
      <c r="F5" s="90" t="inlineStr">
        <is>
          <t>평가금액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6" t="n"/>
      <c r="P5" s="455" t="inlineStr">
        <is>
          <t>이벤트 관리로 이동</t>
        </is>
      </c>
      <c r="Q5" s="7" t="n"/>
      <c r="R5" s="7" t="n"/>
      <c r="S5" s="7" t="n"/>
      <c r="T5" s="7" t="n"/>
      <c r="U5" s="7" t="n"/>
      <c r="V5" s="7" t="n"/>
    </row>
    <row r="6" ht="31.5" customHeight="1" s="322">
      <c r="A6" s="12" t="n"/>
      <c r="B6" s="12" t="n"/>
      <c r="C6" s="12" t="n"/>
      <c r="D6" s="14" t="n"/>
      <c r="E6" s="14" t="n"/>
      <c r="F6" s="14">
        <f>SUM(N9:N55)</f>
        <v/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5" t="n"/>
      <c r="P6" s="16" t="n"/>
      <c r="Q6" s="16" t="n"/>
      <c r="R6" s="16" t="n"/>
      <c r="S6" s="16" t="n"/>
      <c r="T6" s="16" t="n"/>
      <c r="U6" s="16" t="n"/>
      <c r="V6" s="16" t="n"/>
    </row>
    <row r="7" ht="11.25" customHeight="1" s="322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5" t="n"/>
      <c r="P7" s="16" t="n"/>
      <c r="Q7" s="16" t="n"/>
      <c r="R7" s="16" t="n"/>
      <c r="S7" s="16" t="n"/>
      <c r="T7" s="16" t="n"/>
      <c r="U7" s="16" t="n"/>
      <c r="V7" s="16" t="n"/>
    </row>
    <row r="8" ht="31.5" customHeight="1" s="322">
      <c r="A8" s="19" t="inlineStr">
        <is>
          <t>전략 명</t>
        </is>
      </c>
      <c r="B8" s="18" t="inlineStr">
        <is>
          <t>투자비율</t>
        </is>
      </c>
      <c r="C8" s="18" t="inlineStr">
        <is>
          <t>포트폴리오 명</t>
        </is>
      </c>
      <c r="D8" s="19" t="inlineStr">
        <is>
          <t>종목코드</t>
        </is>
      </c>
      <c r="E8" s="19" t="inlineStr">
        <is>
          <t>거래소
(선택사항)</t>
        </is>
      </c>
      <c r="F8" s="19" t="inlineStr">
        <is>
          <t>종목명</t>
        </is>
      </c>
      <c r="G8" s="21" t="n"/>
      <c r="H8" s="21" t="inlineStr">
        <is>
          <t>현재가</t>
        </is>
      </c>
      <c r="I8" s="21" t="inlineStr">
        <is>
          <t>전일대비</t>
        </is>
      </c>
      <c r="J8" s="21" t="inlineStr">
        <is>
          <t>등락률(%)</t>
        </is>
      </c>
      <c r="K8" s="21" t="inlineStr">
        <is>
          <t>주식수</t>
        </is>
      </c>
      <c r="L8" s="21" t="inlineStr">
        <is>
          <t>평가금액</t>
        </is>
      </c>
      <c r="M8" s="21" t="inlineStr">
        <is>
          <t>종목 합계</t>
        </is>
      </c>
      <c r="N8" s="22" t="n"/>
      <c r="O8" s="23" t="inlineStr">
        <is>
          <t>모멘텀스코어</t>
        </is>
      </c>
      <c r="P8" s="24" t="inlineStr">
        <is>
          <t>1개월수익률</t>
        </is>
      </c>
      <c r="Q8" s="24" t="inlineStr">
        <is>
          <t>3개월수익률</t>
        </is>
      </c>
      <c r="R8" s="24" t="inlineStr">
        <is>
          <t>6개월수익률</t>
        </is>
      </c>
      <c r="S8" s="24" t="inlineStr">
        <is>
          <t>12개월수익률</t>
        </is>
      </c>
      <c r="T8" s="25" t="inlineStr">
        <is>
          <t>12개월 이동평균</t>
        </is>
      </c>
      <c r="U8" s="25" t="inlineStr">
        <is>
          <t>현재가격/
12개월이동평균</t>
        </is>
      </c>
      <c r="V8" s="24" t="n"/>
    </row>
    <row r="9" ht="17.25" customHeight="1" s="322">
      <c r="A9" s="27" t="n"/>
      <c r="B9" s="27" t="n"/>
      <c r="C9" s="27" t="n"/>
      <c r="D9" s="27" t="n"/>
      <c r="E9" s="27" t="inlineStr">
        <is>
          <t>NASDAQ</t>
        </is>
      </c>
      <c r="F9" s="27">
        <f>IFERROR(__xludf.DUMMYFUNCTION("IF(ISBLANK(D9), ""-"", GOOGLEFINANCE(IF(ISBLANK(E9), D9, E9&amp;"":""&amp;D9), ""name""))"),"-")</f>
        <v/>
      </c>
      <c r="G9" s="456" t="n"/>
      <c r="H9" s="456">
        <f>IFERROR(__xludf.DUMMYFUNCTION("IF(ISBLANK(D9), 0, GOOGLEFINANCE(IF(ISBLANK(E9), D9, E9&amp;"":""&amp;D9), ""price""))"),0)</f>
        <v/>
      </c>
      <c r="I9" s="457">
        <f>IFERROR(__xludf.DUMMYFUNCTION("IF(ISBLANK(D9), 0, GOOGLEFINANCE(IF(ISBLANK(E9), D9, E9&amp;"":""&amp;D9), ""change""))"),0)</f>
        <v/>
      </c>
      <c r="J9" s="458">
        <f>IFERROR(__xludf.DUMMYFUNCTION("IF(ISBLANK(D9), 0, GOOGLEFINANCE(IF(ISBLANK(E9), D9, E9&amp;"":""&amp;D9), ""changepct"")/100)"),0)</f>
        <v/>
      </c>
      <c r="K9" s="27" t="n">
        <v>0</v>
      </c>
      <c r="L9" s="459">
        <f>K9 * H9</f>
        <v/>
      </c>
      <c r="M9" s="34" t="n"/>
      <c r="N9" s="34" t="n"/>
      <c r="O9" s="35">
        <f>(P9*12)+(Q9*4)+(R9*2)+(S9*1)</f>
        <v/>
      </c>
      <c r="P9" s="36" t="n"/>
      <c r="Q9" s="36" t="n"/>
      <c r="R9" s="36" t="n"/>
      <c r="S9" s="36" t="n"/>
      <c r="T9" s="36" t="n"/>
      <c r="U9" s="36" t="n"/>
      <c r="V9" s="36" t="n"/>
    </row>
    <row r="10" ht="17.25" customHeight="1" s="322">
      <c r="A10" s="460" t="n"/>
      <c r="B10" s="461" t="n"/>
      <c r="C10" s="462" t="inlineStr">
        <is>
          <t>BAA
공격자산</t>
        </is>
      </c>
      <c r="D10" s="455" t="inlineStr">
        <is>
          <t>SPY</t>
        </is>
      </c>
      <c r="E10" s="39" t="n"/>
      <c r="F10" s="39">
        <f>IFERROR(__xludf.DUMMYFUNCTION("IF(ISBLANK(D10), ""-"", GOOGLEFINANCE(IF(ISBLANK(E10), D10, E10&amp;"":""&amp;D10), ""name""))"),"State Street SPDR S&amp;P 500 ETF Trust")</f>
        <v/>
      </c>
      <c r="G10" s="463" t="n"/>
      <c r="H10" s="463">
        <f>IFERROR(__xludf.DUMMYFUNCTION("IF(ISBLANK(D10), 0, GOOGLEFINANCE(IF(ISBLANK(E10), D10, E10&amp;"":""&amp;D10), ""price""))"),729.46)</f>
        <v/>
      </c>
      <c r="I10" s="464">
        <f>IFERROR(__xludf.DUMMYFUNCTION("IF(ISBLANK(D10), 0, GOOGLEFINANCE(IF(ISBLANK(E10), D10, E10&amp;"":""&amp;D10), ""change""))"),-11.4)</f>
        <v/>
      </c>
      <c r="J10" s="465">
        <f>IFERROR(__xludf.DUMMYFUNCTION("IF(ISBLANK(D10), 0, GOOGLEFINANCE(IF(ISBLANK(E10), D10, E10&amp;"":""&amp;D10), ""changepct"")/100)"),-0.0154)</f>
        <v/>
      </c>
      <c r="K10" s="39" t="n">
        <v>1</v>
      </c>
      <c r="L10" s="466">
        <f>K10 * H10</f>
        <v/>
      </c>
      <c r="M10" s="467" t="n"/>
      <c r="N10" s="467" t="n"/>
      <c r="O10" s="35">
        <f>(P10*12)+(Q10*4)+(R10*2)+(S10*1)</f>
        <v/>
      </c>
      <c r="P10" s="46">
        <f>IFERROR((INDEX(차트데이터!$A:$BZ,254,MATCH(D10,차트데이터!$1:$1,0)+1)-INDEX(차트데이터!$A:$BZ,232,MATCH(D10,차트데이터!$1:$1,0)+1))/INDEX(차트데이터!$A:$BZ,232,MATCH(D10,차트데이터!$1:$1,0)+1),"")</f>
        <v/>
      </c>
      <c r="Q10" s="46">
        <f>IFERROR((INDEX(차트데이터!$A:$BZ,254,MATCH(D10,차트데이터!$1:$1,0)+1)-INDEX(차트데이터!$A:$BZ,190,MATCH(D10,차트데이터!$1:$1,0)+1))/INDEX(차트데이터!$A:$BZ,190,MATCH(D10,차트데이터!$1:$1,0)+1),"")</f>
        <v/>
      </c>
      <c r="R10" s="46">
        <f>IFERROR((INDEX(차트데이터!$A:$BZ,254,MATCH(D10,차트데이터!$1:$1,0)+1)-INDEX(차트데이터!$A:$BZ,127,MATCH(D10,차트데이터!$1:$1,0)+1))/INDEX(차트데이터!$A:$BZ,127,MATCH(D10,차트데이터!$1:$1,0)+1),"")</f>
        <v/>
      </c>
      <c r="S10" s="46">
        <f>IFERROR((INDEX(차트데이터!$A:$BZ,254,MATCH(D10,차트데이터!$1:$1,0)+1)-INDEX(차트데이터!$A:$BZ,4,MATCH(D10,차트데이터!$1:$1,0)+1))/INDEX(차트데이터!$A:$BZ,4,MATCH(D10,차트데이터!$1:$1,0)+1),"")</f>
        <v/>
      </c>
      <c r="T10" s="46" t="n"/>
      <c r="U10" s="46" t="n"/>
      <c r="V10" s="46" t="n"/>
    </row>
    <row r="11" ht="17.25" customHeight="1" s="322">
      <c r="C11" s="468" t="n"/>
      <c r="D11" s="455" t="inlineStr">
        <is>
          <t>QQQ</t>
        </is>
      </c>
      <c r="E11" s="27" t="n"/>
      <c r="F11" s="27">
        <f>IFERROR(__xludf.DUMMYFUNCTION("IF(ISBLANK(D11), ""-"", GOOGLEFINANCE(IF(ISBLANK(E11), D11, E11&amp;"":""&amp;D11), ""name""))"),"Invesco QQQ Trust, Series 1")</f>
        <v/>
      </c>
      <c r="G11" s="456" t="n"/>
      <c r="H11" s="456">
        <f>IFERROR(__xludf.DUMMYFUNCTION("IF(ISBLANK(D11), 0, GOOGLEFINANCE(IF(ISBLANK(E11), D11, E11&amp;"":""&amp;D11), ""price""))"),661.73)</f>
        <v/>
      </c>
      <c r="I11" s="457">
        <f>IFERROR(__xludf.DUMMYFUNCTION("IF(ISBLANK(D11), 0, GOOGLEFINANCE(IF(ISBLANK(E11), D11, E11&amp;"":""&amp;D11), ""change""))"),-13.76)</f>
        <v/>
      </c>
      <c r="J11" s="458">
        <f>IFERROR(__xludf.DUMMYFUNCTION("IF(ISBLANK(D11), 0, GOOGLEFINANCE(IF(ISBLANK(E11), D11, E11&amp;"":""&amp;D11), ""changepct"")/100)"),-0.0204)</f>
        <v/>
      </c>
      <c r="K11" s="27" t="n">
        <v>1</v>
      </c>
      <c r="L11" s="469">
        <f>K11 * H11</f>
        <v/>
      </c>
      <c r="O11" s="35">
        <f>(P11*12)+(Q11*4)+(R11*2)+(S11*1)</f>
        <v/>
      </c>
      <c r="P11" s="46">
        <f>IFERROR((INDEX(차트데이터!$A:$BZ,254,MATCH(D11,차트데이터!$1:$1,0)+1)-INDEX(차트데이터!$A:$BZ,232,MATCH(D11,차트데이터!$1:$1,0)+1))/INDEX(차트데이터!$A:$BZ,232,MATCH(D11,차트데이터!$1:$1,0)+1),"")</f>
        <v/>
      </c>
      <c r="Q11" s="46">
        <f>IFERROR((INDEX(차트데이터!$A:$BZ,254,MATCH(D11,차트데이터!$1:$1,0)+1)-INDEX(차트데이터!$A:$BZ,190,MATCH(D11,차트데이터!$1:$1,0)+1))/INDEX(차트데이터!$A:$BZ,190,MATCH(D11,차트데이터!$1:$1,0)+1),"")</f>
        <v/>
      </c>
      <c r="R11" s="46">
        <f>IFERROR((INDEX(차트데이터!$A:$BZ,254,MATCH(D11,차트데이터!$1:$1,0)+1)-INDEX(차트데이터!$A:$BZ,127,MATCH(D11,차트데이터!$1:$1,0)+1))/INDEX(차트데이터!$A:$BZ,127,MATCH(D11,차트데이터!$1:$1,0)+1),"")</f>
        <v/>
      </c>
      <c r="S11" s="46">
        <f>IFERROR((INDEX(차트데이터!$A:$BZ,254,MATCH(D11,차트데이터!$1:$1,0)+1)-INDEX(차트데이터!$A:$BZ,4,MATCH(D11,차트데이터!$1:$1,0)+1))/INDEX(차트데이터!$A:$BZ,4,MATCH(D11,차트데이터!$1:$1,0)+1),"")</f>
        <v/>
      </c>
      <c r="T11" s="46" t="n"/>
      <c r="U11" s="46" t="n"/>
      <c r="V11" s="46" t="n"/>
    </row>
    <row r="12" ht="17.25" customHeight="1" s="322">
      <c r="C12" s="468" t="n"/>
      <c r="D12" s="455" t="inlineStr">
        <is>
          <t>IWM</t>
        </is>
      </c>
      <c r="E12" s="27" t="n"/>
      <c r="F12" s="27">
        <f>IFERROR(__xludf.DUMMYFUNCTION("IF(ISBLANK(D12), ""-"", GOOGLEFINANCE(IF(ISBLANK(E12), D12, E12&amp;"":""&amp;D12), ""name""))"),"iShares Russell 2000 ETF")</f>
        <v/>
      </c>
      <c r="G12" s="456" t="n"/>
      <c r="H12" s="456">
        <f>IFERROR(__xludf.DUMMYFUNCTION("IF(ISBLANK(D12), 0, GOOGLEFINANCE(IF(ISBLANK(E12), D12, E12&amp;"":""&amp;D12), ""price""))"),288.57)</f>
        <v/>
      </c>
      <c r="I12" s="457">
        <f>IFERROR(__xludf.DUMMYFUNCTION("IF(ISBLANK(D12), 0, GOOGLEFINANCE(IF(ISBLANK(E12), D12, E12&amp;"":""&amp;D12), ""change""))"),-4.8)</f>
        <v/>
      </c>
      <c r="J12" s="458">
        <f>IFERROR(__xludf.DUMMYFUNCTION("IF(ISBLANK(D12), 0, GOOGLEFINANCE(IF(ISBLANK(E12), D12, E12&amp;"":""&amp;D12), ""changepct"")/100)"),-0.0163999999999999)</f>
        <v/>
      </c>
      <c r="K12" s="27" t="n">
        <v>1</v>
      </c>
      <c r="L12" s="469">
        <f>K12 * H12</f>
        <v/>
      </c>
      <c r="O12" s="35">
        <f>(P12*12)+(Q12*4)+(R12*2)+(S12*1)</f>
        <v/>
      </c>
      <c r="P12" s="46">
        <f>IFERROR((INDEX(차트데이터!$A:$BZ,254,MATCH(D12,차트데이터!$1:$1,0)+1)-INDEX(차트데이터!$A:$BZ,232,MATCH(D12,차트데이터!$1:$1,0)+1))/INDEX(차트데이터!$A:$BZ,232,MATCH(D12,차트데이터!$1:$1,0)+1),"")</f>
        <v/>
      </c>
      <c r="Q12" s="46">
        <f>IFERROR((INDEX(차트데이터!$A:$BZ,254,MATCH(D12,차트데이터!$1:$1,0)+1)-INDEX(차트데이터!$A:$BZ,190,MATCH(D12,차트데이터!$1:$1,0)+1))/INDEX(차트데이터!$A:$BZ,190,MATCH(D12,차트데이터!$1:$1,0)+1),"")</f>
        <v/>
      </c>
      <c r="R12" s="46">
        <f>IFERROR((INDEX(차트데이터!$A:$BZ,254,MATCH(D12,차트데이터!$1:$1,0)+1)-INDEX(차트데이터!$A:$BZ,127,MATCH(D12,차트데이터!$1:$1,0)+1))/INDEX(차트데이터!$A:$BZ,127,MATCH(D12,차트데이터!$1:$1,0)+1),"")</f>
        <v/>
      </c>
      <c r="S12" s="46">
        <f>IFERROR((INDEX(차트데이터!$A:$BZ,254,MATCH(D12,차트데이터!$1:$1,0)+1)-INDEX(차트데이터!$A:$BZ,4,MATCH(D12,차트데이터!$1:$1,0)+1))/INDEX(차트데이터!$A:$BZ,4,MATCH(D12,차트데이터!$1:$1,0)+1),"")</f>
        <v/>
      </c>
      <c r="T12" s="46" t="n"/>
      <c r="U12" s="46" t="n"/>
      <c r="V12" s="46" t="n"/>
    </row>
    <row r="13" ht="17.25" customHeight="1" s="322">
      <c r="C13" s="468" t="n"/>
      <c r="D13" s="455" t="inlineStr">
        <is>
          <t>VGK</t>
        </is>
      </c>
      <c r="E13" s="27" t="n"/>
      <c r="F13" s="27">
        <f>IFERROR(__xludf.DUMMYFUNCTION("IF(ISBLANK(D13), ""-"", GOOGLEFINANCE(IF(ISBLANK(E13), D13, E13&amp;"":""&amp;D13), ""name""))"),"Vanguard European Stock Index Fund ETF")</f>
        <v/>
      </c>
      <c r="G13" s="456" t="n"/>
      <c r="H13" s="456">
        <f>IFERROR(__xludf.DUMMYFUNCTION("IF(ISBLANK(D13), 0, GOOGLEFINANCE(IF(ISBLANK(E13), D13, E13&amp;"":""&amp;D13), ""price""))"),88.86)</f>
        <v/>
      </c>
      <c r="I13" s="457">
        <f>IFERROR(__xludf.DUMMYFUNCTION("IF(ISBLANK(D13), 0, GOOGLEFINANCE(IF(ISBLANK(E13), D13, E13&amp;"":""&amp;D13), ""change""))"),-0.37)</f>
        <v/>
      </c>
      <c r="J13" s="458">
        <f>IFERROR(__xludf.DUMMYFUNCTION("IF(ISBLANK(D13), 0, GOOGLEFINANCE(IF(ISBLANK(E13), D13, E13&amp;"":""&amp;D13), ""changepct"")/100)"),-0.00409999999999999)</f>
        <v/>
      </c>
      <c r="K13" s="27" t="n">
        <v>1</v>
      </c>
      <c r="L13" s="469">
        <f>K13 * H13</f>
        <v/>
      </c>
      <c r="O13" s="35">
        <f>(P13*12)+(Q13*4)+(R13*2)+(S13*1)</f>
        <v/>
      </c>
      <c r="P13" s="46">
        <f>IFERROR((INDEX(차트데이터!$A:$BZ,254,MATCH(D13,차트데이터!$1:$1,0)+1)-INDEX(차트데이터!$A:$BZ,232,MATCH(D13,차트데이터!$1:$1,0)+1))/INDEX(차트데이터!$A:$BZ,232,MATCH(D13,차트데이터!$1:$1,0)+1),"")</f>
        <v/>
      </c>
      <c r="Q13" s="46">
        <f>IFERROR((INDEX(차트데이터!$A:$BZ,254,MATCH(D13,차트데이터!$1:$1,0)+1)-INDEX(차트데이터!$A:$BZ,190,MATCH(D13,차트데이터!$1:$1,0)+1))/INDEX(차트데이터!$A:$BZ,190,MATCH(D13,차트데이터!$1:$1,0)+1),"")</f>
        <v/>
      </c>
      <c r="R13" s="46">
        <f>IFERROR((INDEX(차트데이터!$A:$BZ,254,MATCH(D13,차트데이터!$1:$1,0)+1)-INDEX(차트데이터!$A:$BZ,127,MATCH(D13,차트데이터!$1:$1,0)+1))/INDEX(차트데이터!$A:$BZ,127,MATCH(D13,차트데이터!$1:$1,0)+1),"")</f>
        <v/>
      </c>
      <c r="S13" s="46">
        <f>IFERROR((INDEX(차트데이터!$A:$BZ,254,MATCH(D13,차트데이터!$1:$1,0)+1)-INDEX(차트데이터!$A:$BZ,4,MATCH(D13,차트데이터!$1:$1,0)+1))/INDEX(차트데이터!$A:$BZ,4,MATCH(D13,차트데이터!$1:$1,0)+1),"")</f>
        <v/>
      </c>
      <c r="T13" s="46" t="n"/>
      <c r="U13" s="46" t="n"/>
      <c r="V13" s="46" t="n"/>
    </row>
    <row r="14" ht="18.75" customHeight="1" s="322">
      <c r="B14" s="334" t="n"/>
      <c r="C14" s="468" t="n"/>
      <c r="D14" s="455" t="inlineStr">
        <is>
          <t>EWJ</t>
        </is>
      </c>
      <c r="E14" s="27" t="n"/>
      <c r="F14" s="27">
        <f>IFERROR(__xludf.DUMMYFUNCTION("IF(ISBLANK(D14), ""-"", GOOGLEFINANCE(IF(ISBLANK(E14), D14, E14&amp;"":""&amp;D14), ""name""))"),"iShares MSCI Japan ETF")</f>
        <v/>
      </c>
      <c r="G14" s="456" t="n"/>
      <c r="H14" s="456">
        <f>IFERROR(__xludf.DUMMYFUNCTION("IF(ISBLANK(D14), 0, GOOGLEFINANCE(IF(ISBLANK(E14), D14, E14&amp;"":""&amp;D14), ""price""))"),89.35)</f>
        <v/>
      </c>
      <c r="I14" s="457">
        <f>IFERROR(__xludf.DUMMYFUNCTION("IF(ISBLANK(D14), 0, GOOGLEFINANCE(IF(ISBLANK(E14), D14, E14&amp;"":""&amp;D14), ""change""))"),-0.48)</f>
        <v/>
      </c>
      <c r="J14" s="458">
        <f>IFERROR(__xludf.DUMMYFUNCTION("IF(ISBLANK(D14), 0, GOOGLEFINANCE(IF(ISBLANK(E14), D14, E14&amp;"":""&amp;D14), ""changepct"")/100)"),-0.0053)</f>
        <v/>
      </c>
      <c r="K14" s="27" t="n">
        <v>1</v>
      </c>
      <c r="L14" s="469">
        <f>K14 * H14</f>
        <v/>
      </c>
      <c r="M14" s="333" t="n"/>
      <c r="N14" s="333" t="n"/>
      <c r="O14" s="35" t="n"/>
      <c r="P14" s="46">
        <f>IFERROR((INDEX(차트데이터!$A:$BZ,254,MATCH(D14,차트데이터!$1:$1,0)+1)-INDEX(차트데이터!$A:$BZ,232,MATCH(D14,차트데이터!$1:$1,0)+1))/INDEX(차트데이터!$A:$BZ,232,MATCH(D14,차트데이터!$1:$1,0)+1),"")</f>
        <v/>
      </c>
      <c r="Q14" s="46">
        <f>IFERROR((INDEX(차트데이터!$A:$BZ,254,MATCH(D14,차트데이터!$1:$1,0)+1)-INDEX(차트데이터!$A:$BZ,190,MATCH(D14,차트데이터!$1:$1,0)+1))/INDEX(차트데이터!$A:$BZ,190,MATCH(D14,차트데이터!$1:$1,0)+1),"")</f>
        <v/>
      </c>
      <c r="R14" s="46">
        <f>IFERROR((INDEX(차트데이터!$A:$BZ,254,MATCH(D14,차트데이터!$1:$1,0)+1)-INDEX(차트데이터!$A:$BZ,127,MATCH(D14,차트데이터!$1:$1,0)+1))/INDEX(차트데이터!$A:$BZ,127,MATCH(D14,차트데이터!$1:$1,0)+1),"")</f>
        <v/>
      </c>
      <c r="S14" s="46">
        <f>IFERROR((INDEX(차트데이터!$A:$BZ,254,MATCH(D14,차트데이터!$1:$1,0)+1)-INDEX(차트데이터!$A:$BZ,4,MATCH(D14,차트데이터!$1:$1,0)+1))/INDEX(차트데이터!$A:$BZ,4,MATCH(D14,차트데이터!$1:$1,0)+1),"")</f>
        <v/>
      </c>
      <c r="T14" s="46" t="n"/>
      <c r="U14" s="46" t="n"/>
      <c r="V14" s="46" t="n"/>
    </row>
    <row r="15" ht="17.25" customHeight="1" s="322">
      <c r="B15" s="334" t="n"/>
      <c r="C15" s="468" t="n"/>
      <c r="D15" s="455" t="inlineStr">
        <is>
          <t>VWO</t>
        </is>
      </c>
      <c r="E15" s="27" t="n"/>
      <c r="F15" s="27">
        <f>IFERROR(__xludf.DUMMYFUNCTION("IF(ISBLANK(D15), ""-"", GOOGLEFINANCE(IF(ISBLANK(E15), D15, E15&amp;"":""&amp;D15), ""name""))"),"Vanguard Emerging Markets Stock Index Fund ETF")</f>
        <v/>
      </c>
      <c r="G15" s="456" t="n"/>
      <c r="H15" s="456">
        <f>IFERROR(__xludf.DUMMYFUNCTION("IF(ISBLANK(D15), 0, GOOGLEFINANCE(IF(ISBLANK(E15), D15, E15&amp;"":""&amp;D15), ""price""))"),56.92)</f>
        <v/>
      </c>
      <c r="I15" s="457">
        <f>IFERROR(__xludf.DUMMYFUNCTION("IF(ISBLANK(D15), 0, GOOGLEFINANCE(IF(ISBLANK(E15), D15, E15&amp;"":""&amp;D15), ""change""))"),-0.82)</f>
        <v/>
      </c>
      <c r="J15" s="458">
        <f>IFERROR(__xludf.DUMMYFUNCTION("IF(ISBLANK(D15), 0, GOOGLEFINANCE(IF(ISBLANK(E15), D15, E15&amp;"":""&amp;D15), ""changepct"")/100)"),-0.0141999999999999)</f>
        <v/>
      </c>
      <c r="K15" s="27" t="n">
        <v>1</v>
      </c>
      <c r="L15" s="469">
        <f>K15 * H15</f>
        <v/>
      </c>
      <c r="M15" s="333" t="n"/>
      <c r="N15" s="333" t="n"/>
      <c r="O15" s="35" t="n"/>
      <c r="P15" s="46">
        <f>IFERROR((INDEX(차트데이터!$A:$BZ,254,MATCH(D15,차트데이터!$1:$1,0)+1)-INDEX(차트데이터!$A:$BZ,232,MATCH(D15,차트데이터!$1:$1,0)+1))/INDEX(차트데이터!$A:$BZ,232,MATCH(D15,차트데이터!$1:$1,0)+1),"")</f>
        <v/>
      </c>
      <c r="Q15" s="46">
        <f>IFERROR((INDEX(차트데이터!$A:$BZ,254,MATCH(D15,차트데이터!$1:$1,0)+1)-INDEX(차트데이터!$A:$BZ,190,MATCH(D15,차트데이터!$1:$1,0)+1))/INDEX(차트데이터!$A:$BZ,190,MATCH(D15,차트데이터!$1:$1,0)+1),"")</f>
        <v/>
      </c>
      <c r="R15" s="46">
        <f>IFERROR((INDEX(차트데이터!$A:$BZ,254,MATCH(D15,차트데이터!$1:$1,0)+1)-INDEX(차트데이터!$A:$BZ,127,MATCH(D15,차트데이터!$1:$1,0)+1))/INDEX(차트데이터!$A:$BZ,127,MATCH(D15,차트데이터!$1:$1,0)+1),"")</f>
        <v/>
      </c>
      <c r="S15" s="46">
        <f>IFERROR((INDEX(차트데이터!$A:$BZ,254,MATCH(D15,차트데이터!$1:$1,0)+1)-INDEX(차트데이터!$A:$BZ,4,MATCH(D15,차트데이터!$1:$1,0)+1))/INDEX(차트데이터!$A:$BZ,4,MATCH(D15,차트데이터!$1:$1,0)+1),"")</f>
        <v/>
      </c>
      <c r="T15" s="46" t="n"/>
      <c r="U15" s="46" t="n"/>
      <c r="V15" s="46" t="n"/>
    </row>
    <row r="16" ht="17.25" customHeight="1" s="322">
      <c r="B16" s="334" t="n"/>
      <c r="C16" s="468" t="n"/>
      <c r="D16" s="455" t="inlineStr">
        <is>
          <t>VEA</t>
        </is>
      </c>
      <c r="E16" s="27" t="n"/>
      <c r="F16" s="27">
        <f>IFERROR(__xludf.DUMMYFUNCTION("IF(ISBLANK(D16), ""-"", GOOGLEFINANCE(IF(ISBLANK(E16), D16, E16&amp;"":""&amp;D16), ""name""))"),"Vanguard Tax Managed Fund FTSE Developed Markets ETF")</f>
        <v/>
      </c>
      <c r="G16" s="456" t="n"/>
      <c r="H16" s="456">
        <f>IFERROR(__xludf.DUMMYFUNCTION("IF(ISBLANK(D16), 0, GOOGLEFINANCE(IF(ISBLANK(E16), D16, E16&amp;"":""&amp;D16), ""price""))"),68.95)</f>
        <v/>
      </c>
      <c r="I16" s="457">
        <f>IFERROR(__xludf.DUMMYFUNCTION("IF(ISBLANK(D16), 0, GOOGLEFINANCE(IF(ISBLANK(E16), D16, E16&amp;"":""&amp;D16), ""change""))"),-0.65)</f>
        <v/>
      </c>
      <c r="J16" s="458">
        <f>IFERROR(__xludf.DUMMYFUNCTION("IF(ISBLANK(D16), 0, GOOGLEFINANCE(IF(ISBLANK(E16), D16, E16&amp;"":""&amp;D16), ""changepct"")/100)"),-0.0093)</f>
        <v/>
      </c>
      <c r="K16" s="27" t="n">
        <v>1</v>
      </c>
      <c r="L16" s="469">
        <f>K16 * H16</f>
        <v/>
      </c>
      <c r="M16" s="333" t="n"/>
      <c r="N16" s="333" t="n"/>
      <c r="O16" s="35" t="n"/>
      <c r="P16" s="46">
        <f>IFERROR((INDEX(차트데이터!$A:$BZ,254,MATCH(D16,차트데이터!$1:$1,0)+1)-INDEX(차트데이터!$A:$BZ,232,MATCH(D16,차트데이터!$1:$1,0)+1))/INDEX(차트데이터!$A:$BZ,232,MATCH(D16,차트데이터!$1:$1,0)+1),"")</f>
        <v/>
      </c>
      <c r="Q16" s="46">
        <f>IFERROR((INDEX(차트데이터!$A:$BZ,254,MATCH(D16,차트데이터!$1:$1,0)+1)-INDEX(차트데이터!$A:$BZ,190,MATCH(D16,차트데이터!$1:$1,0)+1))/INDEX(차트데이터!$A:$BZ,190,MATCH(D16,차트데이터!$1:$1,0)+1),"")</f>
        <v/>
      </c>
      <c r="R16" s="46">
        <f>IFERROR((INDEX(차트데이터!$A:$BZ,254,MATCH(D16,차트데이터!$1:$1,0)+1)-INDEX(차트데이터!$A:$BZ,127,MATCH(D16,차트데이터!$1:$1,0)+1))/INDEX(차트데이터!$A:$BZ,127,MATCH(D16,차트데이터!$1:$1,0)+1),"")</f>
        <v/>
      </c>
      <c r="S16" s="46">
        <f>IFERROR((INDEX(차트데이터!$A:$BZ,254,MATCH(D16,차트데이터!$1:$1,0)+1)-INDEX(차트데이터!$A:$BZ,4,MATCH(D16,차트데이터!$1:$1,0)+1))/INDEX(차트데이터!$A:$BZ,4,MATCH(D16,차트데이터!$1:$1,0)+1),"")</f>
        <v/>
      </c>
      <c r="T16" s="46" t="n"/>
      <c r="U16" s="46" t="n"/>
      <c r="V16" s="46" t="n"/>
    </row>
    <row r="17" ht="17.25" customHeight="1" s="322">
      <c r="B17" s="334" t="n"/>
      <c r="C17" s="468" t="n"/>
      <c r="D17" s="455" t="inlineStr">
        <is>
          <t>VNQ</t>
        </is>
      </c>
      <c r="E17" s="27" t="n"/>
      <c r="F17" s="27">
        <f>IFERROR(__xludf.DUMMYFUNCTION("IF(ISBLANK(D17), ""-"", GOOGLEFINANCE(IF(ISBLANK(E17), D17, E17&amp;"":""&amp;D17), ""name""))"),"Vanguard Real Estate Index Fund ETF")</f>
        <v/>
      </c>
      <c r="G17" s="456" t="n"/>
      <c r="H17" s="456">
        <f>IFERROR(__xludf.DUMMYFUNCTION("IF(ISBLANK(D17), 0, GOOGLEFINANCE(IF(ISBLANK(E17), D17, E17&amp;"":""&amp;D17), ""price""))"),100.66)</f>
        <v/>
      </c>
      <c r="I17" s="457">
        <f>IFERROR(__xludf.DUMMYFUNCTION("IF(ISBLANK(D17), 0, GOOGLEFINANCE(IF(ISBLANK(E17), D17, E17&amp;"":""&amp;D17), ""change""))"),-0.29)</f>
        <v/>
      </c>
      <c r="J17" s="458">
        <f>IFERROR(__xludf.DUMMYFUNCTION("IF(ISBLANK(D17), 0, GOOGLEFINANCE(IF(ISBLANK(E17), D17, E17&amp;"":""&amp;D17), ""changepct"")/100)"),-0.0029)</f>
        <v/>
      </c>
      <c r="K17" s="27" t="n">
        <v>1</v>
      </c>
      <c r="L17" s="469">
        <f>K17 * H17</f>
        <v/>
      </c>
      <c r="M17" s="333" t="n"/>
      <c r="N17" s="333" t="n"/>
      <c r="O17" s="35" t="n"/>
      <c r="P17" s="46">
        <f>IFERROR((INDEX(차트데이터!$A:$BZ,254,MATCH(D17,차트데이터!$1:$1,0)+1)-INDEX(차트데이터!$A:$BZ,232,MATCH(D17,차트데이터!$1:$1,0)+1))/INDEX(차트데이터!$A:$BZ,232,MATCH(D17,차트데이터!$1:$1,0)+1),"")</f>
        <v/>
      </c>
      <c r="Q17" s="46">
        <f>IFERROR((INDEX(차트데이터!$A:$BZ,254,MATCH(D17,차트데이터!$1:$1,0)+1)-INDEX(차트데이터!$A:$BZ,190,MATCH(D17,차트데이터!$1:$1,0)+1))/INDEX(차트데이터!$A:$BZ,190,MATCH(D17,차트데이터!$1:$1,0)+1),"")</f>
        <v/>
      </c>
      <c r="R17" s="46">
        <f>IFERROR((INDEX(차트데이터!$A:$BZ,254,MATCH(D17,차트데이터!$1:$1,0)+1)-INDEX(차트데이터!$A:$BZ,127,MATCH(D17,차트데이터!$1:$1,0)+1))/INDEX(차트데이터!$A:$BZ,127,MATCH(D17,차트데이터!$1:$1,0)+1),"")</f>
        <v/>
      </c>
      <c r="S17" s="46">
        <f>IFERROR((INDEX(차트데이터!$A:$BZ,254,MATCH(D17,차트데이터!$1:$1,0)+1)-INDEX(차트데이터!$A:$BZ,4,MATCH(D17,차트데이터!$1:$1,0)+1))/INDEX(차트데이터!$A:$BZ,4,MATCH(D17,차트데이터!$1:$1,0)+1),"")</f>
        <v/>
      </c>
      <c r="T17" s="46" t="n"/>
      <c r="U17" s="46" t="n"/>
      <c r="V17" s="46" t="n"/>
    </row>
    <row r="18" ht="17.25" customHeight="1" s="322">
      <c r="B18" s="334" t="n"/>
      <c r="C18" s="468" t="n"/>
      <c r="D18" s="455" t="inlineStr">
        <is>
          <t>DBC</t>
        </is>
      </c>
      <c r="E18" s="27" t="n"/>
      <c r="F18" s="27">
        <f>IFERROR(__xludf.DUMMYFUNCTION("IF(ISBLANK(D18), ""-"", GOOGLEFINANCE(IF(ISBLANK(E18), D18, E18&amp;"":""&amp;D18), ""name""))"),"Invesco DB Commodity Index Tracking Fund")</f>
        <v/>
      </c>
      <c r="G18" s="456" t="n"/>
      <c r="H18" s="456">
        <f>IFERROR(__xludf.DUMMYFUNCTION("IF(ISBLANK(D18), 0, GOOGLEFINANCE(IF(ISBLANK(E18), D18, E18&amp;"":""&amp;D18), ""price""))"),29.42)</f>
        <v/>
      </c>
      <c r="I18" s="457">
        <f>IFERROR(__xludf.DUMMYFUNCTION("IF(ISBLANK(D18), 0, GOOGLEFINANCE(IF(ISBLANK(E18), D18, E18&amp;"":""&amp;D18), ""change""))"),0.82)</f>
        <v/>
      </c>
      <c r="J18" s="458">
        <f>IFERROR(__xludf.DUMMYFUNCTION("IF(ISBLANK(D18), 0, GOOGLEFINANCE(IF(ISBLANK(E18), D18, E18&amp;"":""&amp;D18), ""changepct"")/100)"),0.0287)</f>
        <v/>
      </c>
      <c r="K18" s="27" t="n">
        <v>1</v>
      </c>
      <c r="L18" s="469">
        <f>K18 * H18</f>
        <v/>
      </c>
      <c r="M18" s="333" t="n"/>
      <c r="N18" s="333" t="n"/>
      <c r="O18" s="35" t="n"/>
      <c r="P18" s="46">
        <f>IFERROR((INDEX(차트데이터!$A:$BZ,254,MATCH(D18,차트데이터!$1:$1,0)+1)-INDEX(차트데이터!$A:$BZ,232,MATCH(D18,차트데이터!$1:$1,0)+1))/INDEX(차트데이터!$A:$BZ,232,MATCH(D18,차트데이터!$1:$1,0)+1),"")</f>
        <v/>
      </c>
      <c r="Q18" s="46">
        <f>IFERROR((INDEX(차트데이터!$A:$BZ,254,MATCH(D18,차트데이터!$1:$1,0)+1)-INDEX(차트데이터!$A:$BZ,190,MATCH(D18,차트데이터!$1:$1,0)+1))/INDEX(차트데이터!$A:$BZ,190,MATCH(D18,차트데이터!$1:$1,0)+1),"")</f>
        <v/>
      </c>
      <c r="R18" s="46">
        <f>IFERROR((INDEX(차트데이터!$A:$BZ,254,MATCH(D18,차트데이터!$1:$1,0)+1)-INDEX(차트데이터!$A:$BZ,127,MATCH(D18,차트데이터!$1:$1,0)+1))/INDEX(차트데이터!$A:$BZ,127,MATCH(D18,차트데이터!$1:$1,0)+1),"")</f>
        <v/>
      </c>
      <c r="S18" s="46">
        <f>IFERROR((INDEX(차트데이터!$A:$BZ,254,MATCH(D18,차트데이터!$1:$1,0)+1)-INDEX(차트데이터!$A:$BZ,4,MATCH(D18,차트데이터!$1:$1,0)+1))/INDEX(차트데이터!$A:$BZ,4,MATCH(D18,차트데이터!$1:$1,0)+1),"")</f>
        <v/>
      </c>
      <c r="T18" s="46" t="n"/>
      <c r="U18" s="46" t="n"/>
      <c r="V18" s="46" t="n"/>
    </row>
    <row r="19" ht="17.25" customHeight="1" s="322">
      <c r="B19" s="334" t="n"/>
      <c r="C19" s="468" t="n"/>
      <c r="D19" s="455" t="inlineStr">
        <is>
          <t>GLD</t>
        </is>
      </c>
      <c r="E19" s="27" t="n"/>
      <c r="F19" s="27">
        <f>IFERROR(__xludf.DUMMYFUNCTION("IF(ISBLANK(D19), ""-"", GOOGLEFINANCE(IF(ISBLANK(E19), D19, E19&amp;"":""&amp;D19), ""name""))"),"SPDR Gold Trust")</f>
        <v/>
      </c>
      <c r="G19" s="456" t="n"/>
      <c r="H19" s="456">
        <f>IFERROR(__xludf.DUMMYFUNCTION("IF(ISBLANK(D19), 0, GOOGLEFINANCE(IF(ISBLANK(E19), D19, E19&amp;"":""&amp;D19), ""price""))"),371.08)</f>
        <v/>
      </c>
      <c r="I19" s="457">
        <f>IFERROR(__xludf.DUMMYFUNCTION("IF(ISBLANK(D19), 0, GOOGLEFINANCE(IF(ISBLANK(E19), D19, E19&amp;"":""&amp;D19), ""change""))"),1.71)</f>
        <v/>
      </c>
      <c r="J19" s="458">
        <f>IFERROR(__xludf.DUMMYFUNCTION("IF(ISBLANK(D19), 0, GOOGLEFINANCE(IF(ISBLANK(E19), D19, E19&amp;"":""&amp;D19), ""changepct"")/100)"),0.0046)</f>
        <v/>
      </c>
      <c r="K19" s="27" t="n">
        <v>1</v>
      </c>
      <c r="L19" s="469">
        <f>K19 * H19</f>
        <v/>
      </c>
      <c r="M19" s="333" t="n"/>
      <c r="N19" s="333" t="n"/>
      <c r="O19" s="35" t="n"/>
      <c r="P19" s="46">
        <f>IFERROR((INDEX(차트데이터!$A:$BZ,254,MATCH(D19,차트데이터!$1:$1,0)+1)-INDEX(차트데이터!$A:$BZ,232,MATCH(D19,차트데이터!$1:$1,0)+1))/INDEX(차트데이터!$A:$BZ,232,MATCH(D19,차트데이터!$1:$1,0)+1),"")</f>
        <v/>
      </c>
      <c r="Q19" s="46">
        <f>IFERROR((INDEX(차트데이터!$A:$BZ,254,MATCH(D19,차트데이터!$1:$1,0)+1)-INDEX(차트데이터!$A:$BZ,190,MATCH(D19,차트데이터!$1:$1,0)+1))/INDEX(차트데이터!$A:$BZ,190,MATCH(D19,차트데이터!$1:$1,0)+1),"")</f>
        <v/>
      </c>
      <c r="R19" s="46">
        <f>IFERROR((INDEX(차트데이터!$A:$BZ,254,MATCH(D19,차트데이터!$1:$1,0)+1)-INDEX(차트데이터!$A:$BZ,127,MATCH(D19,차트데이터!$1:$1,0)+1))/INDEX(차트데이터!$A:$BZ,127,MATCH(D19,차트데이터!$1:$1,0)+1),"")</f>
        <v/>
      </c>
      <c r="S19" s="46">
        <f>IFERROR((INDEX(차트데이터!$A:$BZ,254,MATCH(D19,차트데이터!$1:$1,0)+1)-INDEX(차트데이터!$A:$BZ,4,MATCH(D19,차트데이터!$1:$1,0)+1))/INDEX(차트데이터!$A:$BZ,4,MATCH(D19,차트데이터!$1:$1,0)+1),"")</f>
        <v/>
      </c>
      <c r="T19" s="46" t="n"/>
      <c r="U19" s="46" t="n"/>
      <c r="V19" s="46" t="n"/>
    </row>
    <row r="20" ht="17.25" customHeight="1" s="322">
      <c r="B20" s="334" t="n"/>
      <c r="C20" s="468" t="n"/>
      <c r="D20" s="455" t="inlineStr">
        <is>
          <t>LQD</t>
        </is>
      </c>
      <c r="E20" s="27" t="n"/>
      <c r="F20" s="27">
        <f>IFERROR(__xludf.DUMMYFUNCTION("IF(ISBLANK(D20), ""-"", GOOGLEFINANCE(IF(ISBLANK(E20), D20, E20&amp;"":""&amp;D20), ""name""))"),"iShares iBoxx $ Inv Grade Corporate Bond ETF")</f>
        <v/>
      </c>
      <c r="G20" s="456" t="n"/>
      <c r="H20" s="456">
        <f>IFERROR(__xludf.DUMMYFUNCTION("IF(ISBLANK(D20), 0, GOOGLEFINANCE(IF(ISBLANK(E20), D20, E20&amp;"":""&amp;D20), ""price""))"),106.22)</f>
        <v/>
      </c>
      <c r="I20" s="457">
        <f>IFERROR(__xludf.DUMMYFUNCTION("IF(ISBLANK(D20), 0, GOOGLEFINANCE(IF(ISBLANK(E20), D20, E20&amp;"":""&amp;D20), ""change""))"),-0.61)</f>
        <v/>
      </c>
      <c r="J20" s="458">
        <f>IFERROR(__xludf.DUMMYFUNCTION("IF(ISBLANK(D20), 0, GOOGLEFINANCE(IF(ISBLANK(E20), D20, E20&amp;"":""&amp;D20), ""changepct"")/100)"),-0.00569999999999999)</f>
        <v/>
      </c>
      <c r="K20" s="27" t="n">
        <v>1</v>
      </c>
      <c r="L20" s="469">
        <f>K20 * H20</f>
        <v/>
      </c>
      <c r="M20" s="333" t="n"/>
      <c r="N20" s="333" t="n"/>
      <c r="O20" s="35" t="n"/>
      <c r="P20" s="46">
        <f>IFERROR((INDEX(차트데이터!$A:$BZ,254,MATCH(D20,차트데이터!$1:$1,0)+1)-INDEX(차트데이터!$A:$BZ,232,MATCH(D20,차트데이터!$1:$1,0)+1))/INDEX(차트데이터!$A:$BZ,232,MATCH(D20,차트데이터!$1:$1,0)+1),"")</f>
        <v/>
      </c>
      <c r="Q20" s="46">
        <f>IFERROR((INDEX(차트데이터!$A:$BZ,254,MATCH(D20,차트데이터!$1:$1,0)+1)-INDEX(차트데이터!$A:$BZ,190,MATCH(D20,차트데이터!$1:$1,0)+1))/INDEX(차트데이터!$A:$BZ,190,MATCH(D20,차트데이터!$1:$1,0)+1),"")</f>
        <v/>
      </c>
      <c r="R20" s="46">
        <f>IFERROR((INDEX(차트데이터!$A:$BZ,254,MATCH(D20,차트데이터!$1:$1,0)+1)-INDEX(차트데이터!$A:$BZ,127,MATCH(D20,차트데이터!$1:$1,0)+1))/INDEX(차트데이터!$A:$BZ,127,MATCH(D20,차트데이터!$1:$1,0)+1),"")</f>
        <v/>
      </c>
      <c r="S20" s="46">
        <f>IFERROR((INDEX(차트데이터!$A:$BZ,254,MATCH(D20,차트데이터!$1:$1,0)+1)-INDEX(차트데이터!$A:$BZ,4,MATCH(D20,차트데이터!$1:$1,0)+1))/INDEX(차트데이터!$A:$BZ,4,MATCH(D20,차트데이터!$1:$1,0)+1),"")</f>
        <v/>
      </c>
      <c r="T20" s="46" t="n"/>
      <c r="U20" s="46" t="n"/>
      <c r="V20" s="46" t="n"/>
    </row>
    <row r="21" ht="17.25" customHeight="1" s="322">
      <c r="B21" s="334" t="n"/>
      <c r="C21" s="470" t="n"/>
      <c r="D21" s="455" t="inlineStr">
        <is>
          <t>HYG</t>
        </is>
      </c>
      <c r="E21" s="92" t="n"/>
      <c r="F21" s="92">
        <f>IFERROR(__xludf.DUMMYFUNCTION("IF(ISBLANK(D21), ""-"", GOOGLEFINANCE(IF(ISBLANK(E21), D21, E21&amp;"":""&amp;D21), ""name""))"),"iShares iBoxx $ High Yield Corporate Bond ETF")</f>
        <v/>
      </c>
      <c r="G21" s="471" t="n"/>
      <c r="H21" s="471">
        <f>IFERROR(__xludf.DUMMYFUNCTION("IF(ISBLANK(D21), 0, GOOGLEFINANCE(IF(ISBLANK(E21), D21, E21&amp;"":""&amp;D21), ""price""))"),79.24)</f>
        <v/>
      </c>
      <c r="I21" s="472">
        <f>IFERROR(__xludf.DUMMYFUNCTION("IF(ISBLANK(D21), 0, GOOGLEFINANCE(IF(ISBLANK(E21), D21, E21&amp;"":""&amp;D21), ""change""))"),-0.18)</f>
        <v/>
      </c>
      <c r="J21" s="473">
        <f>IFERROR(__xludf.DUMMYFUNCTION("IF(ISBLANK(D21), 0, GOOGLEFINANCE(IF(ISBLANK(E21), D21, E21&amp;"":""&amp;D21), ""changepct"")/100)"),-0.0023)</f>
        <v/>
      </c>
      <c r="K21" s="92" t="n">
        <v>1</v>
      </c>
      <c r="L21" s="474">
        <f>K21 * H21</f>
        <v/>
      </c>
      <c r="M21" s="333" t="n"/>
      <c r="N21" s="333" t="n"/>
      <c r="O21" s="35" t="n"/>
      <c r="P21" s="102">
        <f>IFERROR((INDEX(차트데이터!$A:$BZ,254,MATCH(D21,차트데이터!$1:$1,0)+1)-INDEX(차트데이터!$A:$BZ,232,MATCH(D21,차트데이터!$1:$1,0)+1))/INDEX(차트데이터!$A:$BZ,232,MATCH(D21,차트데이터!$1:$1,0)+1),"")</f>
        <v/>
      </c>
      <c r="Q21" s="102">
        <f>IFERROR((INDEX(차트데이터!$A:$BZ,254,MATCH(D21,차트데이터!$1:$1,0)+1)-INDEX(차트데이터!$A:$BZ,190,MATCH(D21,차트데이터!$1:$1,0)+1))/INDEX(차트데이터!$A:$BZ,190,MATCH(D21,차트데이터!$1:$1,0)+1),"")</f>
        <v/>
      </c>
      <c r="R21" s="102">
        <f>IFERROR((INDEX(차트데이터!$A:$BZ,254,MATCH(D21,차트데이터!$1:$1,0)+1)-INDEX(차트데이터!$A:$BZ,127,MATCH(D21,차트데이터!$1:$1,0)+1))/INDEX(차트데이터!$A:$BZ,127,MATCH(D21,차트데이터!$1:$1,0)+1),"")</f>
        <v/>
      </c>
      <c r="S21" s="102">
        <f>IFERROR((INDEX(차트데이터!$A:$BZ,254,MATCH(D21,차트데이터!$1:$1,0)+1)-INDEX(차트데이터!$A:$BZ,4,MATCH(D21,차트데이터!$1:$1,0)+1))/INDEX(차트데이터!$A:$BZ,4,MATCH(D21,차트데이터!$1:$1,0)+1),"")</f>
        <v/>
      </c>
      <c r="T21" s="104" t="n"/>
      <c r="U21" s="104" t="n"/>
      <c r="V21" s="335" t="n"/>
    </row>
    <row r="22" ht="17.25" customHeight="1" s="322">
      <c r="B22" s="461" t="n"/>
      <c r="C22" s="475" t="inlineStr">
        <is>
          <t>BAA
카나리아</t>
        </is>
      </c>
      <c r="D22" s="455" t="inlineStr">
        <is>
          <t>SPY</t>
        </is>
      </c>
      <c r="E22" s="27" t="n"/>
      <c r="F22" s="27">
        <f>IFERROR(__xludf.DUMMYFUNCTION("IF(ISBLANK(D22), ""-"", GOOGLEFINANCE(IF(ISBLANK(E22), D22, E22&amp;"":""&amp;D22), ""name""))"),"State Street SPDR S&amp;P 500 ETF Trust")</f>
        <v/>
      </c>
      <c r="G22" s="456" t="inlineStr">
        <is>
          <t>미국 주식</t>
        </is>
      </c>
      <c r="H22" s="456">
        <f>IFERROR(__xludf.DUMMYFUNCTION("IF(ISBLANK(D22), 0, GOOGLEFINANCE(IF(ISBLANK(E22), D22, E22&amp;"":""&amp;D22), ""price""))"),729.46)</f>
        <v/>
      </c>
      <c r="I22" s="457">
        <f>IFERROR(__xludf.DUMMYFUNCTION("IF(ISBLANK(D22), 0, GOOGLEFINANCE(IF(ISBLANK(E22), D22, E22&amp;"":""&amp;D22), ""change""))"),-11.4)</f>
        <v/>
      </c>
      <c r="J22" s="458">
        <f>IFERROR(__xludf.DUMMYFUNCTION("IF(ISBLANK(D22), 0, GOOGLEFINANCE(IF(ISBLANK(E22), D22, E22&amp;"":""&amp;D22), ""changepct"")/100)"),-0.0154)</f>
        <v/>
      </c>
      <c r="K22" s="27" t="n">
        <v>1</v>
      </c>
      <c r="L22" s="469">
        <f>K22 * H22</f>
        <v/>
      </c>
      <c r="M22" s="333" t="n"/>
      <c r="N22" s="333" t="n"/>
      <c r="O22" s="35">
        <f>(P22*12)+(Q22*4)+(R22*2)+(S22*1)</f>
        <v/>
      </c>
      <c r="P22" s="102">
        <f>IFERROR((INDEX(차트데이터!$A:$BZ,254,MATCH(D22,차트데이터!$1:$1,0)+1)-INDEX(차트데이터!$A:$BZ,232,MATCH(D22,차트데이터!$1:$1,0)+1))/INDEX(차트데이터!$A:$BZ,232,MATCH(D22,차트데이터!$1:$1,0)+1),"")</f>
        <v/>
      </c>
      <c r="Q22" s="102">
        <f>IFERROR((INDEX(차트데이터!$A:$BZ,254,MATCH(D22,차트데이터!$1:$1,0)+1)-INDEX(차트데이터!$A:$BZ,190,MATCH(D22,차트데이터!$1:$1,0)+1))/INDEX(차트데이터!$A:$BZ,190,MATCH(D22,차트데이터!$1:$1,0)+1),"")</f>
        <v/>
      </c>
      <c r="R22" s="102">
        <f>IFERROR((INDEX(차트데이터!$A:$BZ,254,MATCH(D22,차트데이터!$1:$1,0)+1)-INDEX(차트데이터!$A:$BZ,127,MATCH(D22,차트데이터!$1:$1,0)+1))/INDEX(차트데이터!$A:$BZ,127,MATCH(D22,차트데이터!$1:$1,0)+1),"")</f>
        <v/>
      </c>
      <c r="S22" s="102">
        <f>IFERROR((INDEX(차트데이터!$A:$BZ,254,MATCH(D22,차트데이터!$1:$1,0)+1)-INDEX(차트데이터!$A:$BZ,4,MATCH(D22,차트데이터!$1:$1,0)+1))/INDEX(차트데이터!$A:$BZ,4,MATCH(D22,차트데이터!$1:$1,0)+1),"")</f>
        <v/>
      </c>
      <c r="T22" s="104" t="n"/>
      <c r="U22" s="104" t="n"/>
      <c r="V22" s="476" t="inlineStr">
        <is>
          <t xml:space="preserve">모멘텀 스코어가 0이하인 ETF가 하나라도 있으면 공격자산 투자중단-&gt;안전자산으로 이동 </t>
        </is>
      </c>
    </row>
    <row r="23" ht="17.25" customHeight="1" s="322">
      <c r="C23" s="468" t="n"/>
      <c r="D23" s="455" t="inlineStr">
        <is>
          <t>EFA</t>
        </is>
      </c>
      <c r="E23" s="27" t="n"/>
      <c r="F23" s="27">
        <f>IFERROR(__xludf.DUMMYFUNCTION("IF(ISBLANK(D23), ""-"", GOOGLEFINANCE(IF(ISBLANK(E23), D23, E23&amp;"":""&amp;D23), ""name""))"),"iShares MSCI EAFE ETF")</f>
        <v/>
      </c>
      <c r="G23" s="456" t="inlineStr">
        <is>
          <t>선진국 주식</t>
        </is>
      </c>
      <c r="H23" s="456">
        <f>IFERROR(__xludf.DUMMYFUNCTION("IF(ISBLANK(D23), 0, GOOGLEFINANCE(IF(ISBLANK(E23), D23, E23&amp;"":""&amp;D23), ""price""))"),103.37)</f>
        <v/>
      </c>
      <c r="I23" s="457">
        <f>IFERROR(__xludf.DUMMYFUNCTION("IF(ISBLANK(D23), 0, GOOGLEFINANCE(IF(ISBLANK(E23), D23, E23&amp;"":""&amp;D23), ""change""))"),-0.52)</f>
        <v/>
      </c>
      <c r="J23" s="458">
        <f>IFERROR(__xludf.DUMMYFUNCTION("IF(ISBLANK(D23), 0, GOOGLEFINANCE(IF(ISBLANK(E23), D23, E23&amp;"":""&amp;D23), ""changepct"")/100)"),-0.005)</f>
        <v/>
      </c>
      <c r="K23" s="27" t="n">
        <v>1</v>
      </c>
      <c r="L23" s="469">
        <f>K23 * H23</f>
        <v/>
      </c>
      <c r="M23" s="333" t="n"/>
      <c r="N23" s="333" t="n"/>
      <c r="O23" s="35">
        <f>(P23*12)+(Q23*4)+(R23*2)+(S23*1)</f>
        <v/>
      </c>
      <c r="P23" s="102">
        <f>IFERROR((INDEX(차트데이터!$A:$BZ,254,MATCH(D23,차트데이터!$1:$1,0)+1)-INDEX(차트데이터!$A:$BZ,232,MATCH(D23,차트데이터!$1:$1,0)+1))/INDEX(차트데이터!$A:$BZ,232,MATCH(D23,차트데이터!$1:$1,0)+1),"")</f>
        <v/>
      </c>
      <c r="Q23" s="129">
        <f>IFERROR((INDEX(차트데이터!$A:$BZ,254,MATCH(D23,차트데이터!$1:$1,0)+1)-INDEX(차트데이터!$A:$BZ,190,MATCH(D23,차트데이터!$1:$1,0)+1))/INDEX(차트데이터!$A:$BZ,190,MATCH(D23,차트데이터!$1:$1,0)+1),"")</f>
        <v/>
      </c>
      <c r="R23" s="102">
        <f>IFERROR((INDEX(차트데이터!$A:$BZ,254,MATCH(D23,차트데이터!$1:$1,0)+1)-INDEX(차트데이터!$A:$BZ,127,MATCH(D23,차트데이터!$1:$1,0)+1))/INDEX(차트데이터!$A:$BZ,127,MATCH(D23,차트데이터!$1:$1,0)+1),"")</f>
        <v/>
      </c>
      <c r="S23" s="102">
        <f>IFERROR((INDEX(차트데이터!$A:$BZ,254,MATCH(D23,차트데이터!$1:$1,0)+1)-INDEX(차트데이터!$A:$BZ,4,MATCH(D23,차트데이터!$1:$1,0)+1))/INDEX(차트데이터!$A:$BZ,4,MATCH(D23,차트데이터!$1:$1,0)+1),"")</f>
        <v/>
      </c>
      <c r="T23" s="104" t="n"/>
      <c r="U23" s="104" t="n"/>
    </row>
    <row r="24" ht="17.25" customHeight="1" s="322">
      <c r="C24" s="468" t="n"/>
      <c r="D24" s="455" t="inlineStr">
        <is>
          <t>EEM</t>
        </is>
      </c>
      <c r="E24" s="27" t="n"/>
      <c r="F24" s="27">
        <f>IFERROR(__xludf.DUMMYFUNCTION("IF(ISBLANK(D24), ""-"", GOOGLEFINANCE(IF(ISBLANK(E24), D24, E24&amp;"":""&amp;D24), ""name""))"),"iShares MSCI Emerging Markets ETF")</f>
        <v/>
      </c>
      <c r="G24" s="456" t="inlineStr">
        <is>
          <t>개발도상국</t>
        </is>
      </c>
      <c r="H24" s="456">
        <f>IFERROR(__xludf.DUMMYFUNCTION("IF(ISBLANK(D24), 0, GOOGLEFINANCE(IF(ISBLANK(E24), D24, E24&amp;"":""&amp;D24), ""price""))"),61.07)</f>
        <v/>
      </c>
      <c r="I24" s="457">
        <f>IFERROR(__xludf.DUMMYFUNCTION("IF(ISBLANK(D24), 0, GOOGLEFINANCE(IF(ISBLANK(E24), D24, E24&amp;"":""&amp;D24), ""change""))"),-1.29)</f>
        <v/>
      </c>
      <c r="J24" s="458">
        <f>IFERROR(__xludf.DUMMYFUNCTION("IF(ISBLANK(D24), 0, GOOGLEFINANCE(IF(ISBLANK(E24), D24, E24&amp;"":""&amp;D24), ""changepct"")/100)"),-0.0207)</f>
        <v/>
      </c>
      <c r="K24" s="27" t="n">
        <v>1</v>
      </c>
      <c r="L24" s="469">
        <f>K24 * H24</f>
        <v/>
      </c>
      <c r="M24" s="333" t="n"/>
      <c r="N24" s="333" t="n"/>
      <c r="O24" s="35">
        <f>(P24*12)+(Q24*4)+(R24*2)+(S24*1)</f>
        <v/>
      </c>
      <c r="P24" s="102">
        <f>IFERROR((INDEX(차트데이터!$A:$BZ,254,MATCH(D24,차트데이터!$1:$1,0)+1)-INDEX(차트데이터!$A:$BZ,232,MATCH(D24,차트데이터!$1:$1,0)+1))/INDEX(차트데이터!$A:$BZ,232,MATCH(D24,차트데이터!$1:$1,0)+1),"")</f>
        <v/>
      </c>
      <c r="Q24" s="102">
        <f>IFERROR((INDEX(차트데이터!$A:$BZ,254,MATCH(D24,차트데이터!$1:$1,0)+1)-INDEX(차트데이터!$A:$BZ,190,MATCH(D24,차트데이터!$1:$1,0)+1))/INDEX(차트데이터!$A:$BZ,190,MATCH(D24,차트데이터!$1:$1,0)+1),"")</f>
        <v/>
      </c>
      <c r="R24" s="102">
        <f>IFERROR((INDEX(차트데이터!$A:$BZ,254,MATCH(D24,차트데이터!$1:$1,0)+1)-INDEX(차트데이터!$A:$BZ,127,MATCH(D24,차트데이터!$1:$1,0)+1))/INDEX(차트데이터!$A:$BZ,127,MATCH(D24,차트데이터!$1:$1,0)+1),"")</f>
        <v/>
      </c>
      <c r="S24" s="102">
        <f>IFERROR((INDEX(차트데이터!$A:$BZ,254,MATCH(D24,차트데이터!$1:$1,0)+1)-INDEX(차트데이터!$A:$BZ,4,MATCH(D24,차트데이터!$1:$1,0)+1))/INDEX(차트데이터!$A:$BZ,4,MATCH(D24,차트데이터!$1:$1,0)+1),"")</f>
        <v/>
      </c>
      <c r="T24" s="104" t="n"/>
      <c r="U24" s="104" t="n"/>
      <c r="X24" s="509" t="inlineStr">
        <is>
          <t>Date</t>
        </is>
      </c>
      <c r="Y24" s="509" t="inlineStr">
        <is>
          <t>Close</t>
        </is>
      </c>
      <c r="Z24" s="509" t="inlineStr">
        <is>
          <t>Ticker</t>
        </is>
      </c>
    </row>
    <row r="25" ht="17.25" customHeight="1" s="322">
      <c r="C25" s="468" t="n"/>
      <c r="D25" s="455" t="inlineStr">
        <is>
          <t>AGG</t>
        </is>
      </c>
      <c r="E25" s="27" t="n"/>
      <c r="F25" s="27">
        <f>IFERROR(__xludf.DUMMYFUNCTION("IF(ISBLANK(D25), ""-"", GOOGLEFINANCE(IF(ISBLANK(E25), D25, E25&amp;"":""&amp;D25), ""name""))"),"iShares Core US Aggregate Bond ETF")</f>
        <v/>
      </c>
      <c r="G25" s="456" t="inlineStr">
        <is>
          <t>혼합채권</t>
        </is>
      </c>
      <c r="H25" s="456">
        <f>IFERROR(__xludf.DUMMYFUNCTION("IF(ISBLANK(D25), 0, GOOGLEFINANCE(IF(ISBLANK(E25), D25, E25&amp;"":""&amp;D25), ""price""))"),97.55)</f>
        <v/>
      </c>
      <c r="I25" s="457">
        <f>IFERROR(__xludf.DUMMYFUNCTION("IF(ISBLANK(D25), 0, GOOGLEFINANCE(IF(ISBLANK(E25), D25, E25&amp;"":""&amp;D25), ""change""))"),-0.37)</f>
        <v/>
      </c>
      <c r="J25" s="458">
        <f>IFERROR(__xludf.DUMMYFUNCTION("IF(ISBLANK(D25), 0, GOOGLEFINANCE(IF(ISBLANK(E25), D25, E25&amp;"":""&amp;D25), ""changepct"")/100)"),-0.0038)</f>
        <v/>
      </c>
      <c r="K25" s="27" t="n">
        <v>1</v>
      </c>
      <c r="L25" s="469">
        <f>K25 * H25</f>
        <v/>
      </c>
      <c r="M25" s="333" t="n"/>
      <c r="N25" s="333" t="n"/>
      <c r="O25" s="35">
        <f>(P25*12)+(Q25*4)+(R25*2)+(S25*1)</f>
        <v/>
      </c>
      <c r="P25" s="102">
        <f>IFERROR((INDEX(차트데이터!$A:$BZ,254,MATCH(D25,차트데이터!$1:$1,0)+1)-INDEX(차트데이터!$A:$BZ,232,MATCH(D25,차트데이터!$1:$1,0)+1))/INDEX(차트데이터!$A:$BZ,232,MATCH(D25,차트데이터!$1:$1,0)+1),"")</f>
        <v/>
      </c>
      <c r="Q25" s="102">
        <f>IFERROR((INDEX(차트데이터!$A:$BZ,254,MATCH(D25,차트데이터!$1:$1,0)+1)-INDEX(차트데이터!$A:$BZ,190,MATCH(D25,차트데이터!$1:$1,0)+1))/INDEX(차트데이터!$A:$BZ,190,MATCH(D25,차트데이터!$1:$1,0)+1),"")</f>
        <v/>
      </c>
      <c r="R25" s="102">
        <f>IFERROR((INDEX(차트데이터!$A:$BZ,254,MATCH(D25,차트데이터!$1:$1,0)+1)-INDEX(차트데이터!$A:$BZ,127,MATCH(D25,차트데이터!$1:$1,0)+1))/INDEX(차트데이터!$A:$BZ,127,MATCH(D25,차트데이터!$1:$1,0)+1),"")</f>
        <v/>
      </c>
      <c r="S25" s="102">
        <f>IFERROR((INDEX(차트데이터!$A:$BZ,254,MATCH(D25,차트데이터!$1:$1,0)+1)-INDEX(차트데이터!$A:$BZ,4,MATCH(D25,차트데이터!$1:$1,0)+1))/INDEX(차트데이터!$A:$BZ,4,MATCH(D25,차트데이터!$1:$1,0)+1),"")</f>
        <v/>
      </c>
      <c r="T25" s="104" t="n"/>
      <c r="U25" s="104" t="n"/>
      <c r="X25" s="510">
        <f>IFERROR(INDEX(차트데이터!$A:$BZ,3,MATCH($Y$2,차트데이터!$1:$1,0)),"")</f>
        <v/>
      </c>
      <c r="Y25" s="511">
        <f>IFERROR(INDEX(차트데이터!$A:$BZ,3,MATCH($Y$2,차트데이터!$1:$1,0)+1),"")</f>
        <v/>
      </c>
      <c r="Z25">
        <f>$Y$2</f>
        <v/>
      </c>
    </row>
    <row r="26" ht="17.25" customHeight="1" s="322">
      <c r="C26" s="470" t="n"/>
      <c r="D26" s="455" t="inlineStr">
        <is>
          <t>QQQ</t>
        </is>
      </c>
      <c r="E26" s="92" t="n"/>
      <c r="F26" s="92">
        <f>IFERROR(__xludf.DUMMYFUNCTION("IF(ISBLANK(D26), ""-"", GOOGLEFINANCE(IF(ISBLANK(E26), D26, E26&amp;"":""&amp;D26), ""name""))"),"Invesco QQQ Trust, Series 1")</f>
        <v/>
      </c>
      <c r="G26" s="471" t="inlineStr">
        <is>
          <t>미국 주식</t>
        </is>
      </c>
      <c r="H26" s="471">
        <f>IFERROR(__xludf.DUMMYFUNCTION("IF(ISBLANK(D26), 0, GOOGLEFINANCE(IF(ISBLANK(E26), D26, E26&amp;"":""&amp;D26), ""price""))"),661.73)</f>
        <v/>
      </c>
      <c r="I26" s="472">
        <f>IFERROR(__xludf.DUMMYFUNCTION("IF(ISBLANK(D26), 0, GOOGLEFINANCE(IF(ISBLANK(E26), D26, E26&amp;"":""&amp;D26), ""change""))"),-13.76)</f>
        <v/>
      </c>
      <c r="J26" s="473">
        <f>IFERROR(__xludf.DUMMYFUNCTION("IF(ISBLANK(D26), 0, GOOGLEFINANCE(IF(ISBLANK(E26), D26, E26&amp;"":""&amp;D26), ""changepct"")/100)"),-0.0204)</f>
        <v/>
      </c>
      <c r="K26" s="92" t="n">
        <v>1</v>
      </c>
      <c r="L26" s="474">
        <f>K26 * H26</f>
        <v/>
      </c>
      <c r="M26" s="333" t="n"/>
      <c r="N26" s="333" t="n"/>
      <c r="O26" s="35" t="n"/>
      <c r="P26" s="102">
        <f>IFERROR((INDEX(차트데이터!$A:$BZ,254,MATCH(D26,차트데이터!$1:$1,0)+1)-INDEX(차트데이터!$A:$BZ,232,MATCH(D26,차트데이터!$1:$1,0)+1))/INDEX(차트데이터!$A:$BZ,232,MATCH(D26,차트데이터!$1:$1,0)+1),"")</f>
        <v/>
      </c>
      <c r="Q26" s="102">
        <f>IFERROR((INDEX(차트데이터!$A:$BZ,254,MATCH(D26,차트데이터!$1:$1,0)+1)-INDEX(차트데이터!$A:$BZ,190,MATCH(D26,차트데이터!$1:$1,0)+1))/INDEX(차트데이터!$A:$BZ,190,MATCH(D26,차트데이터!$1:$1,0)+1),"")</f>
        <v/>
      </c>
      <c r="R26" s="102">
        <f>IFERROR((INDEX(차트데이터!$A:$BZ,254,MATCH(D26,차트데이터!$1:$1,0)+1)-INDEX(차트데이터!$A:$BZ,127,MATCH(D26,차트데이터!$1:$1,0)+1))/INDEX(차트데이터!$A:$BZ,127,MATCH(D26,차트데이터!$1:$1,0)+1),"")</f>
        <v/>
      </c>
      <c r="S26" s="102">
        <f>IFERROR((INDEX(차트데이터!$A:$BZ,254,MATCH(D26,차트데이터!$1:$1,0)+1)-INDEX(차트데이터!$A:$BZ,4,MATCH(D26,차트데이터!$1:$1,0)+1))/INDEX(차트데이터!$A:$BZ,4,MATCH(D26,차트데이터!$1:$1,0)+1),"")</f>
        <v/>
      </c>
      <c r="T26" s="104" t="n"/>
      <c r="U26" s="104" t="n"/>
      <c r="V26" s="335" t="n"/>
      <c r="X26" s="510">
        <f>IFERROR(INDEX(차트데이터!$A:$BZ,4,MATCH($Y$2,차트데이터!$1:$1,0)),"")</f>
        <v/>
      </c>
      <c r="Y26" s="511">
        <f>IFERROR(INDEX(차트데이터!$A:$BZ,4,MATCH($Y$2,차트데이터!$1:$1,0)+1),"")</f>
        <v/>
      </c>
      <c r="Z26">
        <f>$Y$2</f>
        <v/>
      </c>
    </row>
    <row r="27" ht="17.25" customHeight="1" s="322">
      <c r="C27" s="477" t="inlineStr">
        <is>
          <t>BAA
안전자산</t>
        </is>
      </c>
      <c r="D27" s="455" t="inlineStr">
        <is>
          <t>LQD</t>
        </is>
      </c>
      <c r="E27" s="39" t="n"/>
      <c r="F27" s="39">
        <f>IFERROR(__xludf.DUMMYFUNCTION("IF(ISBLANK(D27), ""-"", GOOGLEFINANCE(IF(ISBLANK(E27), D27, E27&amp;"":""&amp;D27), ""name""))"),"iShares iBoxx $ Inv Grade Corporate Bond ETF")</f>
        <v/>
      </c>
      <c r="G27" s="463" t="inlineStr">
        <is>
          <t>미국회사채</t>
        </is>
      </c>
      <c r="H27" s="463">
        <f>IFERROR(__xludf.DUMMYFUNCTION("IF(ISBLANK(D27), 0, GOOGLEFINANCE(IF(ISBLANK(E27), D27, E27&amp;"":""&amp;D27), ""price""))"),106.22)</f>
        <v/>
      </c>
      <c r="I27" s="464">
        <f>IFERROR(__xludf.DUMMYFUNCTION("IF(ISBLANK(D27), 0, GOOGLEFINANCE(IF(ISBLANK(E27), D27, E27&amp;"":""&amp;D27), ""change""))"),-0.61)</f>
        <v/>
      </c>
      <c r="J27" s="465">
        <f>IFERROR(__xludf.DUMMYFUNCTION("IF(ISBLANK(D27), 0, GOOGLEFINANCE(IF(ISBLANK(E27), D27, E27&amp;"":""&amp;D27), ""changepct"")/100)"),-0.00569999999999999)</f>
        <v/>
      </c>
      <c r="K27" s="39" t="n">
        <v>1</v>
      </c>
      <c r="L27" s="466">
        <f>K27 * H27</f>
        <v/>
      </c>
      <c r="M27" s="467" t="n"/>
      <c r="N27" s="333" t="n"/>
      <c r="O27" s="35">
        <f>(P27*12)+(Q27*4)+(R27*2)+(S27*1)</f>
        <v/>
      </c>
      <c r="P27" s="153">
        <f>IFERROR((INDEX(차트데이터!$A:$BZ,254,MATCH(D27,차트데이터!$1:$1,0)+1)-INDEX(차트데이터!$A:$BZ,232,MATCH(D27,차트데이터!$1:$1,0)+1))/INDEX(차트데이터!$A:$BZ,232,MATCH(D27,차트데이터!$1:$1,0)+1),"")</f>
        <v/>
      </c>
      <c r="Q27" s="46">
        <f>IFERROR((INDEX(차트데이터!$A:$BZ,254,MATCH(D27,차트데이터!$1:$1,0)+1)-INDEX(차트데이터!$A:$BZ,190,MATCH(D27,차트데이터!$1:$1,0)+1))/INDEX(차트데이터!$A:$BZ,190,MATCH(D27,차트데이터!$1:$1,0)+1),"")</f>
        <v/>
      </c>
      <c r="R27" s="46">
        <f>IFERROR((INDEX(차트데이터!$A:$BZ,254,MATCH(D27,차트데이터!$1:$1,0)+1)-INDEX(차트데이터!$A:$BZ,127,MATCH(D27,차트데이터!$1:$1,0)+1))/INDEX(차트데이터!$A:$BZ,127,MATCH(D27,차트데이터!$1:$1,0)+1),"")</f>
        <v/>
      </c>
      <c r="S27" s="46">
        <f>IFERROR((INDEX(차트데이터!$A:$BZ,254,MATCH(D27,차트데이터!$1:$1,0)+1)-INDEX(차트데이터!$A:$BZ,4,MATCH(D27,차트데이터!$1:$1,0)+1))/INDEX(차트데이터!$A:$BZ,4,MATCH(D27,차트데이터!$1:$1,0)+1),"")</f>
        <v/>
      </c>
      <c r="T27" s="169" t="n"/>
      <c r="U27" s="478" t="n"/>
      <c r="V27" s="479" t="inlineStr">
        <is>
          <t>현재가격/12개월 이동평균이 높은 3개에 투자
But,현재가격이 이동평균보다 낮으면 현금으로 보유</t>
        </is>
      </c>
      <c r="X27" s="510">
        <f>IFERROR(INDEX(차트데이터!$A:$BZ,5,MATCH($Y$2,차트데이터!$1:$1,0)),"")</f>
        <v/>
      </c>
      <c r="Y27" s="511">
        <f>IFERROR(INDEX(차트데이터!$A:$BZ,5,MATCH($Y$2,차트데이터!$1:$1,0)+1),"")</f>
        <v/>
      </c>
      <c r="Z27">
        <f>$Y$2</f>
        <v/>
      </c>
    </row>
    <row r="28" ht="17.25" customHeight="1" s="322">
      <c r="C28" s="468" t="n"/>
      <c r="D28" s="455" t="inlineStr">
        <is>
          <t>IEF</t>
        </is>
      </c>
      <c r="E28" s="27" t="n"/>
      <c r="F28" s="27">
        <f>IFERROR(__xludf.DUMMYFUNCTION("IF(ISBLANK(D28), ""-"", GOOGLEFINANCE(IF(ISBLANK(E28), D28, E28&amp;"":""&amp;D28), ""name""))"),"iShares 7-10 Year Treasury Bond ETF")</f>
        <v/>
      </c>
      <c r="G28" s="456" t="inlineStr">
        <is>
          <t>미국중기국채</t>
        </is>
      </c>
      <c r="H28" s="456">
        <f>IFERROR(__xludf.DUMMYFUNCTION("IF(ISBLANK(D28), 0, GOOGLEFINANCE(IF(ISBLANK(E28), D28, E28&amp;"":""&amp;D28), ""price""))"),93.17)</f>
        <v/>
      </c>
      <c r="I28" s="457">
        <f>IFERROR(__xludf.DUMMYFUNCTION("IF(ISBLANK(D28), 0, GOOGLEFINANCE(IF(ISBLANK(E28), D28, E28&amp;"":""&amp;D28), ""change""))"),-0.39)</f>
        <v/>
      </c>
      <c r="J28" s="458">
        <f>IFERROR(__xludf.DUMMYFUNCTION("IF(ISBLANK(D28), 0, GOOGLEFINANCE(IF(ISBLANK(E28), D28, E28&amp;"":""&amp;D28), ""changepct"")/100)"),-0.0042)</f>
        <v/>
      </c>
      <c r="K28" s="27" t="n">
        <v>1</v>
      </c>
      <c r="L28" s="469">
        <f>K28 * H28</f>
        <v/>
      </c>
      <c r="N28" s="333" t="n"/>
      <c r="O28" s="35">
        <f>(P28*12)+(Q28*4)+(R28*2)+(S28*1)</f>
        <v/>
      </c>
      <c r="P28" s="46">
        <f>IFERROR((INDEX(차트데이터!$A:$BZ,254,MATCH(D28,차트데이터!$1:$1,0)+1)-INDEX(차트데이터!$A:$BZ,232,MATCH(D28,차트데이터!$1:$1,0)+1))/INDEX(차트데이터!$A:$BZ,232,MATCH(D28,차트데이터!$1:$1,0)+1),"")</f>
        <v/>
      </c>
      <c r="Q28" s="46">
        <f>IFERROR((INDEX(차트데이터!$A:$BZ,254,MATCH(D28,차트데이터!$1:$1,0)+1)-INDEX(차트데이터!$A:$BZ,190,MATCH(D28,차트데이터!$1:$1,0)+1))/INDEX(차트데이터!$A:$BZ,190,MATCH(D28,차트데이터!$1:$1,0)+1),"")</f>
        <v/>
      </c>
      <c r="R28" s="46">
        <f>IFERROR((INDEX(차트데이터!$A:$BZ,254,MATCH(D28,차트데이터!$1:$1,0)+1)-INDEX(차트데이터!$A:$BZ,127,MATCH(D28,차트데이터!$1:$1,0)+1))/INDEX(차트데이터!$A:$BZ,127,MATCH(D28,차트데이터!$1:$1,0)+1),"")</f>
        <v/>
      </c>
      <c r="S28" s="46">
        <f>IFERROR((INDEX(차트데이터!$A:$BZ,254,MATCH(D28,차트데이터!$1:$1,0)+1)-INDEX(차트데이터!$A:$BZ,4,MATCH(D28,차트데이터!$1:$1,0)+1))/INDEX(차트데이터!$A:$BZ,4,MATCH(D28,차트데이터!$1:$1,0)+1),"")</f>
        <v/>
      </c>
      <c r="T28" s="169" t="n"/>
      <c r="U28" s="478" t="n"/>
      <c r="X28" s="510">
        <f>IFERROR(INDEX(차트데이터!$A:$BZ,6,MATCH($Y$2,차트데이터!$1:$1,0)),"")</f>
        <v/>
      </c>
      <c r="Y28" s="511">
        <f>IFERROR(INDEX(차트데이터!$A:$BZ,6,MATCH($Y$2,차트데이터!$1:$1,0)+1),"")</f>
        <v/>
      </c>
      <c r="Z28">
        <f>$Y$2</f>
        <v/>
      </c>
    </row>
    <row r="29" ht="17.25" customHeight="1" s="322">
      <c r="C29" s="468" t="n"/>
      <c r="D29" s="455" t="inlineStr">
        <is>
          <t>BIL</t>
        </is>
      </c>
      <c r="E29" s="27" t="n"/>
      <c r="F29" s="27">
        <f>IFERROR(__xludf.DUMMYFUNCTION("IF(ISBLANK(D29), ""-"", GOOGLEFINANCE(IF(ISBLANK(E29), D29, E29&amp;"":""&amp;D29), ""name""))"),"State Street SPDR Bloomberg 1-3 Month T-Bill ETF")</f>
        <v/>
      </c>
      <c r="G29" s="456" t="inlineStr">
        <is>
          <t>미국초단기채권</t>
        </is>
      </c>
      <c r="H29" s="456">
        <f>IFERROR(__xludf.DUMMYFUNCTION("IF(ISBLANK(D29), 0, GOOGLEFINANCE(IF(ISBLANK(E29), D29, E29&amp;"":""&amp;D29), ""price""))"),91.64)</f>
        <v/>
      </c>
      <c r="I29" s="457">
        <f>IFERROR(__xludf.DUMMYFUNCTION("IF(ISBLANK(D29), 0, GOOGLEFINANCE(IF(ISBLANK(E29), D29, E29&amp;"":""&amp;D29), ""change""))"),0.01)</f>
        <v/>
      </c>
      <c r="J29" s="458">
        <f>IFERROR(__xludf.DUMMYFUNCTION("IF(ISBLANK(D29), 0, GOOGLEFINANCE(IF(ISBLANK(E29), D29, E29&amp;"":""&amp;D29), ""changepct"")/100)"),0.0001)</f>
        <v/>
      </c>
      <c r="K29" s="27" t="n">
        <v>1</v>
      </c>
      <c r="L29" s="469">
        <f>K29 * H29</f>
        <v/>
      </c>
      <c r="O29" s="35">
        <f>(P29*12)+(Q29*4)+(R29*2)+(S29*1)</f>
        <v/>
      </c>
      <c r="P29" s="46">
        <f>IFERROR((INDEX(차트데이터!$A:$BZ,254,MATCH(D29,차트데이터!$1:$1,0)+1)-INDEX(차트데이터!$A:$BZ,232,MATCH(D29,차트데이터!$1:$1,0)+1))/INDEX(차트데이터!$A:$BZ,232,MATCH(D29,차트데이터!$1:$1,0)+1),"")</f>
        <v/>
      </c>
      <c r="Q29" s="46">
        <f>IFERROR((INDEX(차트데이터!$A:$BZ,254,MATCH(D29,차트데이터!$1:$1,0)+1)-INDEX(차트데이터!$A:$BZ,190,MATCH(D29,차트데이터!$1:$1,0)+1))/INDEX(차트데이터!$A:$BZ,190,MATCH(D29,차트데이터!$1:$1,0)+1),"")</f>
        <v/>
      </c>
      <c r="R29" s="46">
        <f>IFERROR((INDEX(차트데이터!$A:$BZ,254,MATCH(D29,차트데이터!$1:$1,0)+1)-INDEX(차트데이터!$A:$BZ,127,MATCH(D29,차트데이터!$1:$1,0)+1))/INDEX(차트데이터!$A:$BZ,127,MATCH(D29,차트데이터!$1:$1,0)+1),"")</f>
        <v/>
      </c>
      <c r="S29" s="46">
        <f>IFERROR((INDEX(차트데이터!$A:$BZ,254,MATCH(D29,차트데이터!$1:$1,0)+1)-INDEX(차트데이터!$A:$BZ,4,MATCH(D29,차트데이터!$1:$1,0)+1))/INDEX(차트데이터!$A:$BZ,4,MATCH(D29,차트데이터!$1:$1,0)+1),"")</f>
        <v/>
      </c>
      <c r="T29" s="169" t="n"/>
      <c r="U29" s="478" t="n"/>
      <c r="X29" s="510">
        <f>IFERROR(INDEX(차트데이터!$A:$BZ,7,MATCH($Y$2,차트데이터!$1:$1,0)),"")</f>
        <v/>
      </c>
      <c r="Y29" s="511">
        <f>IFERROR(INDEX(차트데이터!$A:$BZ,7,MATCH($Y$2,차트데이터!$1:$1,0)+1),"")</f>
        <v/>
      </c>
      <c r="Z29">
        <f>$Y$2</f>
        <v/>
      </c>
    </row>
    <row r="30" ht="17.25" customHeight="1" s="322">
      <c r="C30" s="468" t="n"/>
      <c r="D30" s="455" t="inlineStr">
        <is>
          <t>TLT</t>
        </is>
      </c>
      <c r="E30" s="27" t="n"/>
      <c r="F30" s="27">
        <f>IFERROR(__xludf.DUMMYFUNCTION("IF(ISBLANK(D30), ""-"", GOOGLEFINANCE(IF(ISBLANK(E30), D30, E30&amp;"":""&amp;D30), ""name""))"),"iShares 20+ Year Treasury Bond ETF")</f>
        <v/>
      </c>
      <c r="G30" s="456" t="inlineStr">
        <is>
          <t>미국장기국채</t>
        </is>
      </c>
      <c r="H30" s="456">
        <f>IFERROR(__xludf.DUMMYFUNCTION("IF(ISBLANK(D30), 0, GOOGLEFINANCE(IF(ISBLANK(E30), D30, E30&amp;"":""&amp;D30), ""price""))"),82.85)</f>
        <v/>
      </c>
      <c r="I30" s="457">
        <f>IFERROR(__xludf.DUMMYFUNCTION("IF(ISBLANK(D30), 0, GOOGLEFINANCE(IF(ISBLANK(E30), D30, E30&amp;"":""&amp;D30), ""change""))"),-1.39)</f>
        <v/>
      </c>
      <c r="J30" s="458">
        <f>IFERROR(__xludf.DUMMYFUNCTION("IF(ISBLANK(D30), 0, GOOGLEFINANCE(IF(ISBLANK(E30), D30, E30&amp;"":""&amp;D30), ""changepct"")/100)"),-0.0165)</f>
        <v/>
      </c>
      <c r="K30" s="27" t="n">
        <v>1</v>
      </c>
      <c r="L30" s="469">
        <f>K30 * H30</f>
        <v/>
      </c>
      <c r="O30" s="35">
        <f>(P30*12)+(Q30*4)+(R30*2)+(S30*1)</f>
        <v/>
      </c>
      <c r="P30" s="46">
        <f>IFERROR((INDEX(차트데이터!$A:$BZ,254,MATCH(D30,차트데이터!$1:$1,0)+1)-INDEX(차트데이터!$A:$BZ,232,MATCH(D30,차트데이터!$1:$1,0)+1))/INDEX(차트데이터!$A:$BZ,232,MATCH(D30,차트데이터!$1:$1,0)+1),"")</f>
        <v/>
      </c>
      <c r="Q30" s="46">
        <f>IFERROR((INDEX(차트데이터!$A:$BZ,254,MATCH(D30,차트데이터!$1:$1,0)+1)-INDEX(차트데이터!$A:$BZ,190,MATCH(D30,차트데이터!$1:$1,0)+1))/INDEX(차트데이터!$A:$BZ,190,MATCH(D30,차트데이터!$1:$1,0)+1),"")</f>
        <v/>
      </c>
      <c r="R30" s="46">
        <f>IFERROR((INDEX(차트데이터!$A:$BZ,254,MATCH(D30,차트데이터!$1:$1,0)+1)-INDEX(차트데이터!$A:$BZ,127,MATCH(D30,차트데이터!$1:$1,0)+1))/INDEX(차트데이터!$A:$BZ,127,MATCH(D30,차트데이터!$1:$1,0)+1),"")</f>
        <v/>
      </c>
      <c r="S30" s="46">
        <f>IFERROR((INDEX(차트데이터!$A:$BZ,254,MATCH(D30,차트데이터!$1:$1,0)+1)-INDEX(차트데이터!$A:$BZ,4,MATCH(D30,차트데이터!$1:$1,0)+1))/INDEX(차트데이터!$A:$BZ,4,MATCH(D30,차트데이터!$1:$1,0)+1),"")</f>
        <v/>
      </c>
      <c r="T30" s="169" t="n"/>
      <c r="U30" s="478" t="n"/>
      <c r="X30" s="510">
        <f>IFERROR(INDEX(차트데이터!$A:$BZ,8,MATCH($Y$2,차트데이터!$1:$1,0)),"")</f>
        <v/>
      </c>
      <c r="Y30" s="511">
        <f>IFERROR(INDEX(차트데이터!$A:$BZ,8,MATCH($Y$2,차트데이터!$1:$1,0)+1),"")</f>
        <v/>
      </c>
      <c r="Z30">
        <f>$Y$2</f>
        <v/>
      </c>
    </row>
    <row r="31" ht="17.25" customHeight="1" s="322">
      <c r="B31" s="27" t="n"/>
      <c r="C31" s="468" t="n"/>
      <c r="D31" s="455" t="inlineStr">
        <is>
          <t>TIP</t>
        </is>
      </c>
      <c r="E31" s="27" t="n"/>
      <c r="F31" s="27">
        <f>IFERROR(__xludf.DUMMYFUNCTION("IF(ISBLANK(D31), ""-"", GOOGLEFINANCE(IF(ISBLANK(E31), D31, E31&amp;"":""&amp;D31), ""name""))"),"iShares TIPS Bond ETF")</f>
        <v/>
      </c>
      <c r="G31" s="456" t="inlineStr">
        <is>
          <t>미국물가연동채</t>
        </is>
      </c>
      <c r="H31" s="456">
        <f>IFERROR(__xludf.DUMMYFUNCTION("IF(ISBLANK(D31), 0, GOOGLEFINANCE(IF(ISBLANK(E31), D31, E31&amp;"":""&amp;D31), ""price""))"),107.77)</f>
        <v/>
      </c>
      <c r="I31" s="457">
        <f>IFERROR(__xludf.DUMMYFUNCTION("IF(ISBLANK(D31), 0, GOOGLEFINANCE(IF(ISBLANK(E31), D31, E31&amp;"":""&amp;D31), ""change""))"),0.11)</f>
        <v/>
      </c>
      <c r="J31" s="458">
        <f>IFERROR(__xludf.DUMMYFUNCTION("IF(ISBLANK(D31), 0, GOOGLEFINANCE(IF(ISBLANK(E31), D31, E31&amp;"":""&amp;D31), ""changepct"")/100)"),0.001)</f>
        <v/>
      </c>
      <c r="K31" s="27" t="n">
        <v>1</v>
      </c>
      <c r="L31" s="469">
        <f>K31 * H31</f>
        <v/>
      </c>
      <c r="M31" s="34" t="n"/>
      <c r="N31" s="34" t="n"/>
      <c r="O31" s="35">
        <f>(P31*12)+(Q31*4)+(R31*2)+(S31*1)</f>
        <v/>
      </c>
      <c r="P31" s="46">
        <f>IFERROR((INDEX(차트데이터!$A:$BZ,254,MATCH(D31,차트데이터!$1:$1,0)+1)-INDEX(차트데이터!$A:$BZ,232,MATCH(D31,차트데이터!$1:$1,0)+1))/INDEX(차트데이터!$A:$BZ,232,MATCH(D31,차트데이터!$1:$1,0)+1),"")</f>
        <v/>
      </c>
      <c r="Q31" s="46">
        <f>IFERROR((INDEX(차트데이터!$A:$BZ,254,MATCH(D31,차트데이터!$1:$1,0)+1)-INDEX(차트데이터!$A:$BZ,190,MATCH(D31,차트데이터!$1:$1,0)+1))/INDEX(차트데이터!$A:$BZ,190,MATCH(D31,차트데이터!$1:$1,0)+1),"")</f>
        <v/>
      </c>
      <c r="R31" s="46">
        <f>IFERROR((INDEX(차트데이터!$A:$BZ,254,MATCH(D31,차트데이터!$1:$1,0)+1)-INDEX(차트데이터!$A:$BZ,127,MATCH(D31,차트데이터!$1:$1,0)+1))/INDEX(차트데이터!$A:$BZ,127,MATCH(D31,차트데이터!$1:$1,0)+1),"")</f>
        <v/>
      </c>
      <c r="S31" s="46">
        <f>IFERROR((INDEX(차트데이터!$A:$BZ,254,MATCH(D31,차트데이터!$1:$1,0)+1)-INDEX(차트데이터!$A:$BZ,4,MATCH(D31,차트데이터!$1:$1,0)+1))/INDEX(차트데이터!$A:$BZ,4,MATCH(D31,차트데이터!$1:$1,0)+1),"")</f>
        <v/>
      </c>
      <c r="T31" s="169" t="n"/>
      <c r="U31" s="478" t="n"/>
      <c r="X31" s="510">
        <f>IFERROR(INDEX(차트데이터!$A:$BZ,9,MATCH($Y$2,차트데이터!$1:$1,0)),"")</f>
        <v/>
      </c>
      <c r="Y31" s="511">
        <f>IFERROR(INDEX(차트데이터!$A:$BZ,9,MATCH($Y$2,차트데이터!$1:$1,0)+1),"")</f>
        <v/>
      </c>
      <c r="Z31">
        <f>$Y$2</f>
        <v/>
      </c>
    </row>
    <row r="32" ht="17.25" customHeight="1" s="322">
      <c r="B32" s="27" t="n"/>
      <c r="C32" s="468" t="n"/>
      <c r="D32" s="455" t="inlineStr">
        <is>
          <t>BND</t>
        </is>
      </c>
      <c r="E32" s="27" t="n"/>
      <c r="F32" s="27">
        <f>IFERROR(__xludf.DUMMYFUNCTION("IF(ISBLANK(D32), ""-"", GOOGLEFINANCE(IF(ISBLANK(E32), D32, E32&amp;"":""&amp;D32), ""name""))"),"Vanguard Total Bond Market Index Fund ETF")</f>
        <v/>
      </c>
      <c r="G32" s="456" t="inlineStr">
        <is>
          <t>미국잡채권</t>
        </is>
      </c>
      <c r="H32" s="456">
        <f>IFERROR(__xludf.DUMMYFUNCTION("IF(ISBLANK(D32), 0, GOOGLEFINANCE(IF(ISBLANK(E32), D32, E32&amp;"":""&amp;D32), ""price""))"),72.38)</f>
        <v/>
      </c>
      <c r="I32" s="457">
        <f>IFERROR(__xludf.DUMMYFUNCTION("IF(ISBLANK(D32), 0, GOOGLEFINANCE(IF(ISBLANK(E32), D32, E32&amp;"":""&amp;D32), ""change""))"),-0.26)</f>
        <v/>
      </c>
      <c r="J32" s="458">
        <f>IFERROR(__xludf.DUMMYFUNCTION("IF(ISBLANK(D32), 0, GOOGLEFINANCE(IF(ISBLANK(E32), D32, E32&amp;"":""&amp;D32), ""changepct"")/100)"),-0.0036)</f>
        <v/>
      </c>
      <c r="K32" s="27" t="n">
        <v>1</v>
      </c>
      <c r="L32" s="469">
        <f>K32 * H32</f>
        <v/>
      </c>
      <c r="M32" s="34" t="n"/>
      <c r="N32" s="34" t="n"/>
      <c r="O32" s="35">
        <f>(P32*12)+(Q32*4)+(R32*2)+(S32*1)</f>
        <v/>
      </c>
      <c r="P32" s="46">
        <f>IFERROR((INDEX(차트데이터!$A:$BZ,254,MATCH(D32,차트데이터!$1:$1,0)+1)-INDEX(차트데이터!$A:$BZ,232,MATCH(D32,차트데이터!$1:$1,0)+1))/INDEX(차트데이터!$A:$BZ,232,MATCH(D32,차트데이터!$1:$1,0)+1),"")</f>
        <v/>
      </c>
      <c r="Q32" s="46">
        <f>IFERROR((INDEX(차트데이터!$A:$BZ,254,MATCH(D32,차트데이터!$1:$1,0)+1)-INDEX(차트데이터!$A:$BZ,190,MATCH(D32,차트데이터!$1:$1,0)+1))/INDEX(차트데이터!$A:$BZ,190,MATCH(D32,차트데이터!$1:$1,0)+1),"")</f>
        <v/>
      </c>
      <c r="R32" s="46">
        <f>IFERROR((INDEX(차트데이터!$A:$BZ,254,MATCH(D32,차트데이터!$1:$1,0)+1)-INDEX(차트데이터!$A:$BZ,127,MATCH(D32,차트데이터!$1:$1,0)+1))/INDEX(차트데이터!$A:$BZ,127,MATCH(D32,차트데이터!$1:$1,0)+1),"")</f>
        <v/>
      </c>
      <c r="S32" s="46">
        <f>IFERROR((INDEX(차트데이터!$A:$BZ,254,MATCH(D32,차트데이터!$1:$1,0)+1)-INDEX(차트데이터!$A:$BZ,4,MATCH(D32,차트데이터!$1:$1,0)+1))/INDEX(차트데이터!$A:$BZ,4,MATCH(D32,차트데이터!$1:$1,0)+1),"")</f>
        <v/>
      </c>
      <c r="T32" s="169" t="n"/>
      <c r="U32" s="478" t="n"/>
      <c r="X32" s="510">
        <f>IFERROR(INDEX(차트데이터!$A:$BZ,10,MATCH($Y$2,차트데이터!$1:$1,0)),"")</f>
        <v/>
      </c>
      <c r="Y32" s="511">
        <f>IFERROR(INDEX(차트데이터!$A:$BZ,10,MATCH($Y$2,차트데이터!$1:$1,0)+1),"")</f>
        <v/>
      </c>
      <c r="Z32">
        <f>$Y$2</f>
        <v/>
      </c>
    </row>
    <row r="33" ht="17.25" customHeight="1" s="322">
      <c r="B33" s="27" t="n"/>
      <c r="C33" s="470" t="n"/>
      <c r="D33" s="455" t="inlineStr">
        <is>
          <t>DBC</t>
        </is>
      </c>
      <c r="E33" s="92" t="n"/>
      <c r="F33" s="92">
        <f>IFERROR(__xludf.DUMMYFUNCTION("IF(ISBLANK(D33), ""-"", GOOGLEFINANCE(IF(ISBLANK(E33), D33, E33&amp;"":""&amp;D33), ""name""))"),"Invesco DB Commodity Index Tracking Fund")</f>
        <v/>
      </c>
      <c r="G33" s="471" t="inlineStr">
        <is>
          <t>원자재</t>
        </is>
      </c>
      <c r="H33" s="471">
        <f>IFERROR(__xludf.DUMMYFUNCTION("IF(ISBLANK(D33), 0, GOOGLEFINANCE(IF(ISBLANK(E33), D33, E33&amp;"":""&amp;D33), ""price""))"),29.42)</f>
        <v/>
      </c>
      <c r="I33" s="472">
        <f>IFERROR(__xludf.DUMMYFUNCTION("IF(ISBLANK(D33), 0, GOOGLEFINANCE(IF(ISBLANK(E33), D33, E33&amp;"":""&amp;D33), ""change""))"),0.82)</f>
        <v/>
      </c>
      <c r="J33" s="473">
        <f>IFERROR(__xludf.DUMMYFUNCTION("IF(ISBLANK(D33), 0, GOOGLEFINANCE(IF(ISBLANK(E33), D33, E33&amp;"":""&amp;D33), ""changepct"")/100)"),0.0287)</f>
        <v/>
      </c>
      <c r="K33" s="92" t="n">
        <v>1</v>
      </c>
      <c r="L33" s="474">
        <f>K33 * H33</f>
        <v/>
      </c>
      <c r="M33" s="34" t="n"/>
      <c r="N33" s="34" t="n"/>
      <c r="O33" s="35">
        <f>(P33*12)+(Q33*4)+(R33*2)+(S33*1)</f>
        <v/>
      </c>
      <c r="P33" s="46">
        <f>IFERROR((INDEX(차트데이터!$A:$BZ,254,MATCH(D33,차트데이터!$1:$1,0)+1)-INDEX(차트데이터!$A:$BZ,232,MATCH(D33,차트데이터!$1:$1,0)+1))/INDEX(차트데이터!$A:$BZ,232,MATCH(D33,차트데이터!$1:$1,0)+1),"")</f>
        <v/>
      </c>
      <c r="Q33" s="46">
        <f>IFERROR((INDEX(차트데이터!$A:$BZ,254,MATCH(D33,차트데이터!$1:$1,0)+1)-INDEX(차트데이터!$A:$BZ,190,MATCH(D33,차트데이터!$1:$1,0)+1))/INDEX(차트데이터!$A:$BZ,190,MATCH(D33,차트데이터!$1:$1,0)+1),"")</f>
        <v/>
      </c>
      <c r="R33" s="46">
        <f>IFERROR((INDEX(차트데이터!$A:$BZ,254,MATCH(D33,차트데이터!$1:$1,0)+1)-INDEX(차트데이터!$A:$BZ,127,MATCH(D33,차트데이터!$1:$1,0)+1))/INDEX(차트데이터!$A:$BZ,127,MATCH(D33,차트데이터!$1:$1,0)+1),"")</f>
        <v/>
      </c>
      <c r="S33" s="46">
        <f>IFERROR((INDEX(차트데이터!$A:$BZ,254,MATCH(D33,차트데이터!$1:$1,0)+1)-INDEX(차트데이터!$A:$BZ,4,MATCH(D33,차트데이터!$1:$1,0)+1))/INDEX(차트데이터!$A:$BZ,4,MATCH(D33,차트데이터!$1:$1,0)+1),"")</f>
        <v/>
      </c>
      <c r="T33" s="169" t="n"/>
      <c r="U33" s="478" t="n"/>
      <c r="X33" s="510">
        <f>IFERROR(INDEX(차트데이터!$A:$BZ,11,MATCH($Y$2,차트데이터!$1:$1,0)),"")</f>
        <v/>
      </c>
      <c r="Y33" s="511">
        <f>IFERROR(INDEX(차트데이터!$A:$BZ,11,MATCH($Y$2,차트데이터!$1:$1,0)+1),"")</f>
        <v/>
      </c>
      <c r="Z33">
        <f>$Y$2</f>
        <v/>
      </c>
    </row>
    <row r="34" ht="17.25" customHeight="1" s="322">
      <c r="B34" s="27" t="n"/>
      <c r="D34" s="27" t="n"/>
      <c r="E34" s="27" t="n"/>
      <c r="F34" s="27" t="n"/>
      <c r="G34" s="456" t="n"/>
      <c r="H34" s="456" t="n"/>
      <c r="I34" s="457" t="n"/>
      <c r="J34" s="458" t="n"/>
      <c r="K34" s="27" t="n"/>
      <c r="L34" s="459" t="n"/>
      <c r="M34" s="34" t="n"/>
      <c r="N34" s="34" t="n"/>
      <c r="O34" s="35" t="n"/>
      <c r="P34" s="46" t="n"/>
      <c r="Q34" s="46" t="n"/>
      <c r="R34" s="187" t="n"/>
      <c r="S34" s="46" t="n"/>
      <c r="T34" s="188" t="n"/>
      <c r="X34" s="510">
        <f>IFERROR(INDEX(차트데이터!$A:$BZ,12,MATCH($Y$2,차트데이터!$1:$1,0)),"")</f>
        <v/>
      </c>
      <c r="Y34" s="511">
        <f>IFERROR(INDEX(차트데이터!$A:$BZ,12,MATCH($Y$2,차트데이터!$1:$1,0)+1),"")</f>
        <v/>
      </c>
      <c r="Z34">
        <f>$Y$2</f>
        <v/>
      </c>
    </row>
    <row r="35" ht="17.25" customHeight="1" s="322">
      <c r="B35" s="27" t="n"/>
      <c r="D35" s="27" t="n"/>
      <c r="E35" s="27" t="n"/>
      <c r="F35" s="27" t="n"/>
      <c r="G35" s="456" t="n"/>
      <c r="H35" s="456" t="n"/>
      <c r="I35" s="457" t="n"/>
      <c r="J35" s="458" t="n"/>
      <c r="K35" s="27" t="n"/>
      <c r="L35" s="459" t="n"/>
      <c r="M35" s="34" t="n"/>
      <c r="N35" s="34" t="n"/>
      <c r="O35" s="35" t="n"/>
      <c r="P35" s="46" t="n"/>
      <c r="Q35" s="46" t="n"/>
      <c r="R35" s="187" t="n"/>
      <c r="S35" s="46" t="n"/>
      <c r="X35" s="510">
        <f>IFERROR(INDEX(차트데이터!$A:$BZ,13,MATCH($Y$2,차트데이터!$1:$1,0)),"")</f>
        <v/>
      </c>
      <c r="Y35" s="511">
        <f>IFERROR(INDEX(차트데이터!$A:$BZ,13,MATCH($Y$2,차트데이터!$1:$1,0)+1),"")</f>
        <v/>
      </c>
      <c r="Z35">
        <f>$Y$2</f>
        <v/>
      </c>
    </row>
    <row r="36" ht="17.25" customHeight="1" s="322">
      <c r="A36" s="467" t="inlineStr">
        <is>
          <t>변형듀얼모멘텀</t>
        </is>
      </c>
      <c r="B36" s="461" t="n"/>
      <c r="C36" s="333" t="inlineStr">
        <is>
          <t>공격자산</t>
        </is>
      </c>
      <c r="D36" s="455" t="inlineStr">
        <is>
          <t>SPY</t>
        </is>
      </c>
      <c r="E36" s="27" t="n"/>
      <c r="F36" s="27">
        <f>IFERROR(__xludf.DUMMYFUNCTION("IF(ISBLANK(D36), ""-"", GOOGLEFINANCE(IF(ISBLANK(E36), D36, E36&amp;"":""&amp;D36), ""name""))"),"State Street SPDR S&amp;P 500 ETF Trust")</f>
        <v/>
      </c>
      <c r="G36" s="456" t="inlineStr">
        <is>
          <t>미국 주식</t>
        </is>
      </c>
      <c r="H36" s="456">
        <f>IFERROR(__xludf.DUMMYFUNCTION("IF(ISBLANK(D36), 0, GOOGLEFINANCE(IF(ISBLANK(E36), D36, E36&amp;"":""&amp;D36), ""price""))"),729.46)</f>
        <v/>
      </c>
      <c r="I36" s="457">
        <f>IFERROR(__xludf.DUMMYFUNCTION("IF(ISBLANK(D36), 0, GOOGLEFINANCE(IF(ISBLANK(E36), D36, E36&amp;"":""&amp;D36), ""change""))"),-11.4)</f>
        <v/>
      </c>
      <c r="J36" s="458">
        <f>IFERROR(__xludf.DUMMYFUNCTION("IF(ISBLANK(D36), 0, GOOGLEFINANCE(IF(ISBLANK(E36), D36, E36&amp;"":""&amp;D36), ""changepct"")/100)"),-0.0154)</f>
        <v/>
      </c>
      <c r="K36" s="27" t="n">
        <v>1</v>
      </c>
      <c r="L36" s="459">
        <f>K36 * H36</f>
        <v/>
      </c>
      <c r="M36" s="333" t="n"/>
      <c r="N36" s="333" t="n"/>
      <c r="O36" s="35">
        <f>(P36*12)+(Q36*4)+(R36*2)+(S36*1)</f>
        <v/>
      </c>
      <c r="P36" s="104">
        <f>IFERROR((INDEX(차트데이터!$A:$BZ,254,MATCH(D36,차트데이터!$1:$1,0)+1)-INDEX(차트데이터!$A:$BZ,232,MATCH(D36,차트데이터!$1:$1,0)+1))/INDEX(차트데이터!$A:$BZ,232,MATCH(D36,차트데이터!$1:$1,0)+1),"")</f>
        <v/>
      </c>
      <c r="Q36" s="104">
        <f>IFERROR((INDEX(차트데이터!$A:$BZ,254,MATCH(D36,차트데이터!$1:$1,0)+1)-INDEX(차트데이터!$A:$BZ,190,MATCH(D36,차트데이터!$1:$1,0)+1))/INDEX(차트데이터!$A:$BZ,190,MATCH(D36,차트데이터!$1:$1,0)+1),"")</f>
        <v/>
      </c>
      <c r="R36" s="104">
        <f>IFERROR((INDEX(차트데이터!$A:$BZ,254,MATCH(D36,차트데이터!$1:$1,0)+1)-INDEX(차트데이터!$A:$BZ,127,MATCH(D36,차트데이터!$1:$1,0)+1))/INDEX(차트데이터!$A:$BZ,127,MATCH(D36,차트데이터!$1:$1,0)+1),"")</f>
        <v/>
      </c>
      <c r="S36" s="194">
        <f>IFERROR((INDEX(차트데이터!$A:$BZ,254,MATCH(D36,차트데이터!$1:$1,0)+1)-INDEX(차트데이터!$A:$BZ,4,MATCH(D36,차트데이터!$1:$1,0)+1))/INDEX(차트데이터!$A:$BZ,4,MATCH(D36,차트데이터!$1:$1,0)+1),"")</f>
        <v/>
      </c>
      <c r="T36" s="335" t="n"/>
      <c r="U36" s="335" t="n"/>
      <c r="V36" s="476" t="inlineStr">
        <is>
          <t xml:space="preserve">둘중 높은자산에 투자
But, 1년 수익이 0 이하면 </t>
        </is>
      </c>
      <c r="X36" s="510">
        <f>IFERROR(INDEX(차트데이터!$A:$BZ,14,MATCH($Y$2,차트데이터!$1:$1,0)),"")</f>
        <v/>
      </c>
      <c r="Y36" s="511">
        <f>IFERROR(INDEX(차트데이터!$A:$BZ,14,MATCH($Y$2,차트데이터!$1:$1,0)+1),"")</f>
        <v/>
      </c>
      <c r="Z36">
        <f>$Y$2</f>
        <v/>
      </c>
    </row>
    <row r="37" ht="17.25" customHeight="1" s="322">
      <c r="C37" s="333" t="n"/>
      <c r="D37" s="455" t="inlineStr">
        <is>
          <t>EFA</t>
        </is>
      </c>
      <c r="E37" s="27" t="n"/>
      <c r="F37" s="27">
        <f>IFERROR(__xludf.DUMMYFUNCTION("IF(ISBLANK(D37), ""-"", GOOGLEFINANCE(IF(ISBLANK(E37), D37, E37&amp;"":""&amp;D37), ""name""))"),"iShares MSCI EAFE ETF")</f>
        <v/>
      </c>
      <c r="G37" s="456" t="n"/>
      <c r="H37" s="456">
        <f>IFERROR(__xludf.DUMMYFUNCTION("IF(ISBLANK(D37), 0, GOOGLEFINANCE(IF(ISBLANK(E37), D37, E37&amp;"":""&amp;D37), ""price""))"),103.37)</f>
        <v/>
      </c>
      <c r="I37" s="457">
        <f>IFERROR(__xludf.DUMMYFUNCTION("IF(ISBLANK(D37), 0, GOOGLEFINANCE(IF(ISBLANK(E37), D37, E37&amp;"":""&amp;D37), ""change""))"),-0.52)</f>
        <v/>
      </c>
      <c r="J37" s="458">
        <f>IFERROR(__xludf.DUMMYFUNCTION("IF(ISBLANK(D37), 0, GOOGLEFINANCE(IF(ISBLANK(E37), D37, E37&amp;"":""&amp;D37), ""changepct"")/100)"),-0.005)</f>
        <v/>
      </c>
      <c r="K37" s="27" t="n">
        <v>1</v>
      </c>
      <c r="L37" s="459">
        <f>K37 * H37</f>
        <v/>
      </c>
      <c r="M37" s="34" t="n"/>
      <c r="N37" s="34" t="n"/>
      <c r="O37" s="35">
        <f>(P37*12)+(Q37*4)+(R37*2)+(S37*1)</f>
        <v/>
      </c>
      <c r="P37" s="104">
        <f>IFERROR((INDEX(차트데이터!$A:$BZ,254,MATCH(D37,차트데이터!$1:$1,0)+1)-INDEX(차트데이터!$A:$BZ,232,MATCH(D37,차트데이터!$1:$1,0)+1))/INDEX(차트데이터!$A:$BZ,232,MATCH(D37,차트데이터!$1:$1,0)+1),"")</f>
        <v/>
      </c>
      <c r="Q37" s="198">
        <f>IFERROR((INDEX(차트데이터!$A:$BZ,254,MATCH(D37,차트데이터!$1:$1,0)+1)-INDEX(차트데이터!$A:$BZ,190,MATCH(D37,차트데이터!$1:$1,0)+1))/INDEX(차트데이터!$A:$BZ,190,MATCH(D37,차트데이터!$1:$1,0)+1),"")</f>
        <v/>
      </c>
      <c r="R37" s="104">
        <f>IFERROR((INDEX(차트데이터!$A:$BZ,254,MATCH(D37,차트데이터!$1:$1,0)+1)-INDEX(차트데이터!$A:$BZ,127,MATCH(D37,차트데이터!$1:$1,0)+1))/INDEX(차트데이터!$A:$BZ,127,MATCH(D37,차트데이터!$1:$1,0)+1),"")</f>
        <v/>
      </c>
      <c r="S37" s="194">
        <f>IFERROR((INDEX(차트데이터!$A:$BZ,254,MATCH(D37,차트데이터!$1:$1,0)+1)-INDEX(차트데이터!$A:$BZ,4,MATCH(D37,차트데이터!$1:$1,0)+1))/INDEX(차트데이터!$A:$BZ,4,MATCH(D37,차트데이터!$1:$1,0)+1),"")</f>
        <v/>
      </c>
      <c r="T37" s="335" t="n"/>
      <c r="U37" s="335" t="n"/>
      <c r="X37" s="510">
        <f>IFERROR(INDEX(차트데이터!$A:$BZ,15,MATCH($Y$2,차트데이터!$1:$1,0)),"")</f>
        <v/>
      </c>
      <c r="Y37" s="511">
        <f>IFERROR(INDEX(차트데이터!$A:$BZ,15,MATCH($Y$2,차트데이터!$1:$1,0)+1),"")</f>
        <v/>
      </c>
      <c r="Z37">
        <f>$Y$2</f>
        <v/>
      </c>
    </row>
    <row r="38" ht="17.25" customHeight="1" s="322">
      <c r="B38" s="27" t="n"/>
      <c r="C38" s="200" t="n"/>
      <c r="D38" s="27" t="n"/>
      <c r="E38" s="27" t="n"/>
      <c r="F38" s="27">
        <f>IFERROR(__xludf.DUMMYFUNCTION("IF(ISBLANK(D38), ""-"", GOOGLEFINANCE(IF(ISBLANK(E38), D38, E38&amp;"":""&amp;D38), ""name""))"),"-")</f>
        <v/>
      </c>
      <c r="G38" s="456" t="n"/>
      <c r="H38" s="456">
        <f>IFERROR(__xludf.DUMMYFUNCTION("IF(ISBLANK(D38), 0, GOOGLEFINANCE(IF(ISBLANK(E38), D38, E38&amp;"":""&amp;D38), ""price""))"),0)</f>
        <v/>
      </c>
      <c r="I38" s="457">
        <f>IFERROR(__xludf.DUMMYFUNCTION("IF(ISBLANK(D38), 0, GOOGLEFINANCE(IF(ISBLANK(E38), D38, E38&amp;"":""&amp;D38), ""change""))"),0)</f>
        <v/>
      </c>
      <c r="J38" s="458">
        <f>IFERROR(__xludf.DUMMYFUNCTION("IF(ISBLANK(D38), 0, GOOGLEFINANCE(IF(ISBLANK(E38), D38, E38&amp;"":""&amp;D38), ""changepct"")/100)"),0)</f>
        <v/>
      </c>
      <c r="K38" s="27" t="n"/>
      <c r="L38" s="459">
        <f>K38 * H38</f>
        <v/>
      </c>
      <c r="M38" s="34" t="n"/>
      <c r="N38" s="34" t="n"/>
      <c r="O38" s="35">
        <f>(P38*12)+(Q38*4)+(R38*2)+(S38*1)</f>
        <v/>
      </c>
      <c r="P38" s="46">
        <f>IFERROR((INDEX(차트데이터!$A:$BZ,254,MATCH(D38,차트데이터!$1:$1,0)+1)-INDEX(차트데이터!$A:$BZ,232,MATCH(D38,차트데이터!$1:$1,0)+1))/INDEX(차트데이터!$A:$BZ,232,MATCH(D38,차트데이터!$1:$1,0)+1),"")</f>
        <v/>
      </c>
      <c r="Q38" s="46">
        <f>IFERROR((INDEX(차트데이터!$A:$BZ,254,MATCH(D38,차트데이터!$1:$1,0)+1)-INDEX(차트데이터!$A:$BZ,190,MATCH(D38,차트데이터!$1:$1,0)+1))/INDEX(차트데이터!$A:$BZ,190,MATCH(D38,차트데이터!$1:$1,0)+1),"")</f>
        <v/>
      </c>
      <c r="R38" s="46">
        <f>IFERROR((INDEX(차트데이터!$A:$BZ,254,MATCH(D38,차트데이터!$1:$1,0)+1)-INDEX(차트데이터!$A:$BZ,127,MATCH(D38,차트데이터!$1:$1,0)+1))/INDEX(차트데이터!$A:$BZ,127,MATCH(D38,차트데이터!$1:$1,0)+1),"")</f>
        <v/>
      </c>
      <c r="S38" s="46">
        <f>IFERROR((INDEX(차트데이터!$A:$BZ,254,MATCH(D38,차트데이터!$1:$1,0)+1)-INDEX(차트데이터!$A:$BZ,4,MATCH(D38,차트데이터!$1:$1,0)+1))/INDEX(차트데이터!$A:$BZ,4,MATCH(D38,차트데이터!$1:$1,0)+1),"")</f>
        <v/>
      </c>
      <c r="T38" s="187" t="n"/>
      <c r="U38" s="187" t="n"/>
      <c r="V38" s="187" t="n"/>
      <c r="X38" s="510">
        <f>IFERROR(INDEX(차트데이터!$A:$BZ,16,MATCH($Y$2,차트데이터!$1:$1,0)),"")</f>
        <v/>
      </c>
      <c r="Y38" s="511">
        <f>IFERROR(INDEX(차트데이터!$A:$BZ,16,MATCH($Y$2,차트데이터!$1:$1,0)+1),"")</f>
        <v/>
      </c>
      <c r="Z38">
        <f>$Y$2</f>
        <v/>
      </c>
    </row>
    <row r="39" ht="17.25" customHeight="1" s="322">
      <c r="B39" s="27" t="n"/>
      <c r="C39" s="467" t="inlineStr">
        <is>
          <t>안전자산
8개 채권</t>
        </is>
      </c>
      <c r="D39" s="455" t="inlineStr">
        <is>
          <t>SHY</t>
        </is>
      </c>
      <c r="E39" s="27" t="n"/>
      <c r="F39" s="27">
        <f>IFERROR(__xludf.DUMMYFUNCTION("IF(ISBLANK(D39), ""-"", GOOGLEFINANCE(IF(ISBLANK(E39), D39, E39&amp;"":""&amp;D39), ""name""))"),"iShares 1-3 Year Treasury Bond ETF")</f>
        <v/>
      </c>
      <c r="G39" s="456" t="inlineStr">
        <is>
          <t>미국단기국채</t>
        </is>
      </c>
      <c r="H39" s="456">
        <f>IFERROR(__xludf.DUMMYFUNCTION("IF(ISBLANK(D39), 0, GOOGLEFINANCE(IF(ISBLANK(E39), D39, E39&amp;"":""&amp;D39), ""price""))"),81.99)</f>
        <v/>
      </c>
      <c r="I39" s="457">
        <f>IFERROR(__xludf.DUMMYFUNCTION("IF(ISBLANK(D39), 0, GOOGLEFINANCE(IF(ISBLANK(E39), D39, E39&amp;"":""&amp;D39), ""change""))"),0.05)</f>
        <v/>
      </c>
      <c r="J39" s="458">
        <f>IFERROR(__xludf.DUMMYFUNCTION("IF(ISBLANK(D39), 0, GOOGLEFINANCE(IF(ISBLANK(E39), D39, E39&amp;"":""&amp;D39), ""changepct"")/100)"),0.0006)</f>
        <v/>
      </c>
      <c r="K39" s="27" t="n">
        <v>1</v>
      </c>
      <c r="L39" s="459">
        <f>K39 * H39</f>
        <v/>
      </c>
      <c r="M39" s="34" t="n"/>
      <c r="N39" s="34" t="n"/>
      <c r="O39" s="35">
        <f>(P39*12)+(Q39*4)+(R39*2)+(S39*1)</f>
        <v/>
      </c>
      <c r="P39" s="46">
        <f>IFERROR((INDEX(차트데이터!$A:$BZ,254,MATCH(D39,차트데이터!$1:$1,0)+1)-INDEX(차트데이터!$A:$BZ,232,MATCH(D39,차트데이터!$1:$1,0)+1))/INDEX(차트데이터!$A:$BZ,232,MATCH(D39,차트데이터!$1:$1,0)+1),"")</f>
        <v/>
      </c>
      <c r="Q39" s="46">
        <f>IFERROR((INDEX(차트데이터!$A:$BZ,254,MATCH(D39,차트데이터!$1:$1,0)+1)-INDEX(차트데이터!$A:$BZ,190,MATCH(D39,차트데이터!$1:$1,0)+1))/INDEX(차트데이터!$A:$BZ,190,MATCH(D39,차트데이터!$1:$1,0)+1),"")</f>
        <v/>
      </c>
      <c r="R39" s="187">
        <f>IFERROR((INDEX(차트데이터!$A:$BZ,254,MATCH(D39,차트데이터!$1:$1,0)+1)-INDEX(차트데이터!$A:$BZ,127,MATCH(D39,차트데이터!$1:$1,0)+1))/INDEX(차트데이터!$A:$BZ,127,MATCH(D39,차트데이터!$1:$1,0)+1),"")</f>
        <v/>
      </c>
      <c r="S39" s="46">
        <f>IFERROR((INDEX(차트데이터!$A:$BZ,254,MATCH(D39,차트데이터!$1:$1,0)+1)-INDEX(차트데이터!$A:$BZ,4,MATCH(D39,차트데이터!$1:$1,0)+1))/INDEX(차트데이터!$A:$BZ,4,MATCH(D39,차트데이터!$1:$1,0)+1),"")</f>
        <v/>
      </c>
      <c r="T39" s="336" t="n"/>
      <c r="U39" s="336" t="n"/>
      <c r="V39" s="479" t="inlineStr">
        <is>
          <t>6개월 최고수익 3개 채권매수
But, 3개 채권중 0이하인 자산은 현금으로 보유</t>
        </is>
      </c>
      <c r="X39" s="510">
        <f>IFERROR(INDEX(차트데이터!$A:$BZ,17,MATCH($Y$2,차트데이터!$1:$1,0)),"")</f>
        <v/>
      </c>
      <c r="Y39" s="511">
        <f>IFERROR(INDEX(차트데이터!$A:$BZ,17,MATCH($Y$2,차트데이터!$1:$1,0)+1),"")</f>
        <v/>
      </c>
      <c r="Z39">
        <f>$Y$2</f>
        <v/>
      </c>
    </row>
    <row r="40" ht="17.25" customHeight="1" s="322">
      <c r="B40" s="27" t="n"/>
      <c r="D40" s="455" t="inlineStr">
        <is>
          <t>IEF</t>
        </is>
      </c>
      <c r="E40" s="27" t="n"/>
      <c r="F40" s="27">
        <f>IFERROR(__xludf.DUMMYFUNCTION("IF(ISBLANK(D40), ""-"", GOOGLEFINANCE(IF(ISBLANK(E40), D40, E40&amp;"":""&amp;D40), ""name""))"),"iShares 7-10 Year Treasury Bond ETF")</f>
        <v/>
      </c>
      <c r="G40" s="456" t="inlineStr">
        <is>
          <t>미국중기국채</t>
        </is>
      </c>
      <c r="H40" s="456">
        <f>IFERROR(__xludf.DUMMYFUNCTION("IF(ISBLANK(D40), 0, GOOGLEFINANCE(IF(ISBLANK(E40), D40, E40&amp;"":""&amp;D40), ""price""))"),93.17)</f>
        <v/>
      </c>
      <c r="I40" s="457">
        <f>IFERROR(__xludf.DUMMYFUNCTION("IF(ISBLANK(D40), 0, GOOGLEFINANCE(IF(ISBLANK(E40), D40, E40&amp;"":""&amp;D40), ""change""))"),-0.39)</f>
        <v/>
      </c>
      <c r="J40" s="458">
        <f>IFERROR(__xludf.DUMMYFUNCTION("IF(ISBLANK(D40), 0, GOOGLEFINANCE(IF(ISBLANK(E40), D40, E40&amp;"":""&amp;D40), ""changepct"")/100)"),-0.0042)</f>
        <v/>
      </c>
      <c r="K40" s="27" t="n">
        <v>1</v>
      </c>
      <c r="L40" s="459">
        <f>K40 * H40</f>
        <v/>
      </c>
      <c r="M40" s="34" t="n"/>
      <c r="N40" s="34" t="n"/>
      <c r="O40" s="35">
        <f>(P40*12)+(Q40*4)+(R40*2)+(S40*1)</f>
        <v/>
      </c>
      <c r="P40" s="46">
        <f>IFERROR((INDEX(차트데이터!$A:$BZ,254,MATCH(D40,차트데이터!$1:$1,0)+1)-INDEX(차트데이터!$A:$BZ,232,MATCH(D40,차트데이터!$1:$1,0)+1))/INDEX(차트데이터!$A:$BZ,232,MATCH(D40,차트데이터!$1:$1,0)+1),"")</f>
        <v/>
      </c>
      <c r="Q40" s="46">
        <f>IFERROR((INDEX(차트데이터!$A:$BZ,254,MATCH(D40,차트데이터!$1:$1,0)+1)-INDEX(차트데이터!$A:$BZ,190,MATCH(D40,차트데이터!$1:$1,0)+1))/INDEX(차트데이터!$A:$BZ,190,MATCH(D40,차트데이터!$1:$1,0)+1),"")</f>
        <v/>
      </c>
      <c r="R40" s="187">
        <f>IFERROR((INDEX(차트데이터!$A:$BZ,254,MATCH(D40,차트데이터!$1:$1,0)+1)-INDEX(차트데이터!$A:$BZ,127,MATCH(D40,차트데이터!$1:$1,0)+1))/INDEX(차트데이터!$A:$BZ,127,MATCH(D40,차트데이터!$1:$1,0)+1),"")</f>
        <v/>
      </c>
      <c r="S40" s="46">
        <f>IFERROR((INDEX(차트데이터!$A:$BZ,254,MATCH(D40,차트데이터!$1:$1,0)+1)-INDEX(차트데이터!$A:$BZ,4,MATCH(D40,차트데이터!$1:$1,0)+1))/INDEX(차트데이터!$A:$BZ,4,MATCH(D40,차트데이터!$1:$1,0)+1),"")</f>
        <v/>
      </c>
      <c r="T40" s="336" t="n"/>
      <c r="U40" s="336" t="n"/>
      <c r="X40" s="510">
        <f>IFERROR(INDEX(차트데이터!$A:$BZ,18,MATCH($Y$2,차트데이터!$1:$1,0)),"")</f>
        <v/>
      </c>
      <c r="Y40" s="511">
        <f>IFERROR(INDEX(차트데이터!$A:$BZ,18,MATCH($Y$2,차트데이터!$1:$1,0)+1),"")</f>
        <v/>
      </c>
      <c r="Z40">
        <f>$Y$2</f>
        <v/>
      </c>
    </row>
    <row r="41" ht="17.25" customHeight="1" s="322">
      <c r="B41" s="27" t="n"/>
      <c r="D41" s="455" t="inlineStr">
        <is>
          <t>TLT</t>
        </is>
      </c>
      <c r="E41" s="27" t="n"/>
      <c r="F41" s="27">
        <f>IFERROR(__xludf.DUMMYFUNCTION("IF(ISBLANK(D41), ""-"", GOOGLEFINANCE(IF(ISBLANK(E41), D41, E41&amp;"":""&amp;D41), ""name""))"),"iShares 20+ Year Treasury Bond ETF")</f>
        <v/>
      </c>
      <c r="G41" s="456" t="inlineStr">
        <is>
          <t>미국장기국채</t>
        </is>
      </c>
      <c r="H41" s="456">
        <f>IFERROR(__xludf.DUMMYFUNCTION("IF(ISBLANK(D41), 0, GOOGLEFINANCE(IF(ISBLANK(E41), D41, E41&amp;"":""&amp;D41), ""price""))"),82.85)</f>
        <v/>
      </c>
      <c r="I41" s="457">
        <f>IFERROR(__xludf.DUMMYFUNCTION("IF(ISBLANK(D41), 0, GOOGLEFINANCE(IF(ISBLANK(E41), D41, E41&amp;"":""&amp;D41), ""change""))"),-1.39)</f>
        <v/>
      </c>
      <c r="J41" s="458">
        <f>IFERROR(__xludf.DUMMYFUNCTION("IF(ISBLANK(D41), 0, GOOGLEFINANCE(IF(ISBLANK(E41), D41, E41&amp;"":""&amp;D41), ""changepct"")/100)"),-0.0165)</f>
        <v/>
      </c>
      <c r="K41" s="27" t="n">
        <v>1</v>
      </c>
      <c r="L41" s="459">
        <f>K41 * H41</f>
        <v/>
      </c>
      <c r="M41" s="34" t="n"/>
      <c r="N41" s="34" t="n"/>
      <c r="O41" s="35">
        <f>(P41*12)+(Q41*4)+(R41*2)+(S41*1)</f>
        <v/>
      </c>
      <c r="P41" s="46">
        <f>IFERROR((INDEX(차트데이터!$A:$BZ,254,MATCH(D41,차트데이터!$1:$1,0)+1)-INDEX(차트데이터!$A:$BZ,232,MATCH(D41,차트데이터!$1:$1,0)+1))/INDEX(차트데이터!$A:$BZ,232,MATCH(D41,차트데이터!$1:$1,0)+1),"")</f>
        <v/>
      </c>
      <c r="Q41" s="46">
        <f>IFERROR((INDEX(차트데이터!$A:$BZ,254,MATCH(D41,차트데이터!$1:$1,0)+1)-INDEX(차트데이터!$A:$BZ,190,MATCH(D41,차트데이터!$1:$1,0)+1))/INDEX(차트데이터!$A:$BZ,190,MATCH(D41,차트데이터!$1:$1,0)+1),"")</f>
        <v/>
      </c>
      <c r="R41" s="187">
        <f>IFERROR((INDEX(차트데이터!$A:$BZ,254,MATCH(D41,차트데이터!$1:$1,0)+1)-INDEX(차트데이터!$A:$BZ,127,MATCH(D41,차트데이터!$1:$1,0)+1))/INDEX(차트데이터!$A:$BZ,127,MATCH(D41,차트데이터!$1:$1,0)+1),"")</f>
        <v/>
      </c>
      <c r="S41" s="46">
        <f>IFERROR((INDEX(차트데이터!$A:$BZ,254,MATCH(D41,차트데이터!$1:$1,0)+1)-INDEX(차트데이터!$A:$BZ,4,MATCH(D41,차트데이터!$1:$1,0)+1))/INDEX(차트데이터!$A:$BZ,4,MATCH(D41,차트데이터!$1:$1,0)+1),"")</f>
        <v/>
      </c>
      <c r="T41" s="336" t="n"/>
      <c r="U41" s="336" t="n"/>
      <c r="X41" s="510">
        <f>IFERROR(INDEX(차트데이터!$A:$BZ,19,MATCH($Y$2,차트데이터!$1:$1,0)),"")</f>
        <v/>
      </c>
      <c r="Y41" s="511">
        <f>IFERROR(INDEX(차트데이터!$A:$BZ,19,MATCH($Y$2,차트데이터!$1:$1,0)+1),"")</f>
        <v/>
      </c>
      <c r="Z41">
        <f>$Y$2</f>
        <v/>
      </c>
    </row>
    <row r="42" ht="17.25" customHeight="1" s="322">
      <c r="B42" s="27" t="n"/>
      <c r="D42" s="455" t="inlineStr">
        <is>
          <t>TIP</t>
        </is>
      </c>
      <c r="E42" s="27" t="n"/>
      <c r="F42" s="27">
        <f>IFERROR(__xludf.DUMMYFUNCTION("IF(ISBLANK(D42), ""-"", GOOGLEFINANCE(IF(ISBLANK(E42), D42, E42&amp;"":""&amp;D42), ""name""))"),"iShares TIPS Bond ETF")</f>
        <v/>
      </c>
      <c r="G42" s="456" t="inlineStr">
        <is>
          <t>미국물가연동채</t>
        </is>
      </c>
      <c r="H42" s="456">
        <f>IFERROR(__xludf.DUMMYFUNCTION("IF(ISBLANK(D42), 0, GOOGLEFINANCE(IF(ISBLANK(E42), D42, E42&amp;"":""&amp;D42), ""price""))"),107.77)</f>
        <v/>
      </c>
      <c r="I42" s="457">
        <f>IFERROR(__xludf.DUMMYFUNCTION("IF(ISBLANK(D42), 0, GOOGLEFINANCE(IF(ISBLANK(E42), D42, E42&amp;"":""&amp;D42), ""change""))"),0.11)</f>
        <v/>
      </c>
      <c r="J42" s="458">
        <f>IFERROR(__xludf.DUMMYFUNCTION("IF(ISBLANK(D42), 0, GOOGLEFINANCE(IF(ISBLANK(E42), D42, E42&amp;"":""&amp;D42), ""changepct"")/100)"),0.001)</f>
        <v/>
      </c>
      <c r="K42" s="27" t="n">
        <v>1</v>
      </c>
      <c r="L42" s="459">
        <f>K42 * H42</f>
        <v/>
      </c>
      <c r="M42" s="34" t="n"/>
      <c r="N42" s="34" t="n"/>
      <c r="O42" s="35">
        <f>(P42*12)+(Q42*4)+(R42*2)+(S42*1)</f>
        <v/>
      </c>
      <c r="P42" s="46">
        <f>IFERROR((INDEX(차트데이터!$A:$BZ,254,MATCH(D42,차트데이터!$1:$1,0)+1)-INDEX(차트데이터!$A:$BZ,232,MATCH(D42,차트데이터!$1:$1,0)+1))/INDEX(차트데이터!$A:$BZ,232,MATCH(D42,차트데이터!$1:$1,0)+1),"")</f>
        <v/>
      </c>
      <c r="Q42" s="46">
        <f>IFERROR((INDEX(차트데이터!$A:$BZ,254,MATCH(D42,차트데이터!$1:$1,0)+1)-INDEX(차트데이터!$A:$BZ,190,MATCH(D42,차트데이터!$1:$1,0)+1))/INDEX(차트데이터!$A:$BZ,190,MATCH(D42,차트데이터!$1:$1,0)+1),"")</f>
        <v/>
      </c>
      <c r="R42" s="187">
        <f>IFERROR((INDEX(차트데이터!$A:$BZ,254,MATCH(D42,차트데이터!$1:$1,0)+1)-INDEX(차트데이터!$A:$BZ,127,MATCH(D42,차트데이터!$1:$1,0)+1))/INDEX(차트데이터!$A:$BZ,127,MATCH(D42,차트데이터!$1:$1,0)+1),"")</f>
        <v/>
      </c>
      <c r="S42" s="46">
        <f>IFERROR((INDEX(차트데이터!$A:$BZ,254,MATCH(D42,차트데이터!$1:$1,0)+1)-INDEX(차트데이터!$A:$BZ,4,MATCH(D42,차트데이터!$1:$1,0)+1))/INDEX(차트데이터!$A:$BZ,4,MATCH(D42,차트데이터!$1:$1,0)+1),"")</f>
        <v/>
      </c>
      <c r="T42" s="336" t="n"/>
      <c r="U42" s="336" t="n"/>
      <c r="X42" s="510">
        <f>IFERROR(INDEX(차트데이터!$A:$BZ,20,MATCH($Y$2,차트데이터!$1:$1,0)),"")</f>
        <v/>
      </c>
      <c r="Y42" s="511">
        <f>IFERROR(INDEX(차트데이터!$A:$BZ,20,MATCH($Y$2,차트데이터!$1:$1,0)+1),"")</f>
        <v/>
      </c>
      <c r="Z42">
        <f>$Y$2</f>
        <v/>
      </c>
    </row>
    <row r="43" ht="17.25" customHeight="1" s="322">
      <c r="B43" s="27" t="n"/>
      <c r="D43" s="455" t="inlineStr">
        <is>
          <t>LQD</t>
        </is>
      </c>
      <c r="E43" s="27" t="n"/>
      <c r="F43" s="27">
        <f>IFERROR(__xludf.DUMMYFUNCTION("IF(ISBLANK(D43), ""-"", GOOGLEFINANCE(IF(ISBLANK(E43), D43, E43&amp;"":""&amp;D43), ""name""))"),"iShares iBoxx $ Inv Grade Corporate Bond ETF")</f>
        <v/>
      </c>
      <c r="G43" s="456" t="inlineStr">
        <is>
          <t>미국회사채</t>
        </is>
      </c>
      <c r="H43" s="456">
        <f>IFERROR(__xludf.DUMMYFUNCTION("IF(ISBLANK(D43), 0, GOOGLEFINANCE(IF(ISBLANK(E43), D43, E43&amp;"":""&amp;D43), ""price""))"),106.22)</f>
        <v/>
      </c>
      <c r="I43" s="457">
        <f>IFERROR(__xludf.DUMMYFUNCTION("IF(ISBLANK(D43), 0, GOOGLEFINANCE(IF(ISBLANK(E43), D43, E43&amp;"":""&amp;D43), ""change""))"),-0.61)</f>
        <v/>
      </c>
      <c r="J43" s="458">
        <f>IFERROR(__xludf.DUMMYFUNCTION("IF(ISBLANK(D43), 0, GOOGLEFINANCE(IF(ISBLANK(E43), D43, E43&amp;"":""&amp;D43), ""changepct"")/100)"),-0.00569999999999999)</f>
        <v/>
      </c>
      <c r="K43" s="27" t="n">
        <v>1</v>
      </c>
      <c r="L43" s="459">
        <f>K43 * H43</f>
        <v/>
      </c>
      <c r="M43" s="34" t="n"/>
      <c r="N43" s="34" t="n"/>
      <c r="O43" s="35">
        <f>(P43*12)+(Q43*4)+(R43*2)+(S43*1)</f>
        <v/>
      </c>
      <c r="P43" s="153">
        <f>IFERROR((INDEX(차트데이터!$A:$BZ,254,MATCH(D43,차트데이터!$1:$1,0)+1)-INDEX(차트데이터!$A:$BZ,232,MATCH(D43,차트데이터!$1:$1,0)+1))/INDEX(차트데이터!$A:$BZ,232,MATCH(D43,차트데이터!$1:$1,0)+1),"")</f>
        <v/>
      </c>
      <c r="Q43" s="46">
        <f>IFERROR((INDEX(차트데이터!$A:$BZ,254,MATCH(D43,차트데이터!$1:$1,0)+1)-INDEX(차트데이터!$A:$BZ,190,MATCH(D43,차트데이터!$1:$1,0)+1))/INDEX(차트데이터!$A:$BZ,190,MATCH(D43,차트데이터!$1:$1,0)+1),"")</f>
        <v/>
      </c>
      <c r="R43" s="187">
        <f>IFERROR((INDEX(차트데이터!$A:$BZ,254,MATCH(D43,차트데이터!$1:$1,0)+1)-INDEX(차트데이터!$A:$BZ,127,MATCH(D43,차트데이터!$1:$1,0)+1))/INDEX(차트데이터!$A:$BZ,127,MATCH(D43,차트데이터!$1:$1,0)+1),"")</f>
        <v/>
      </c>
      <c r="S43" s="46">
        <f>IFERROR((INDEX(차트데이터!$A:$BZ,254,MATCH(D43,차트데이터!$1:$1,0)+1)-INDEX(차트데이터!$A:$BZ,4,MATCH(D43,차트데이터!$1:$1,0)+1))/INDEX(차트데이터!$A:$BZ,4,MATCH(D43,차트데이터!$1:$1,0)+1),"")</f>
        <v/>
      </c>
      <c r="T43" s="336" t="n"/>
      <c r="U43" s="336" t="n"/>
      <c r="X43" s="510">
        <f>IFERROR(INDEX(차트데이터!$A:$BZ,21,MATCH($Y$2,차트데이터!$1:$1,0)),"")</f>
        <v/>
      </c>
      <c r="Y43" s="511">
        <f>IFERROR(INDEX(차트데이터!$A:$BZ,21,MATCH($Y$2,차트데이터!$1:$1,0)+1),"")</f>
        <v/>
      </c>
      <c r="Z43">
        <f>$Y$2</f>
        <v/>
      </c>
    </row>
    <row r="44" ht="17.25" customHeight="1" s="322">
      <c r="B44" s="27" t="n"/>
      <c r="D44" s="455" t="inlineStr">
        <is>
          <t>HYG</t>
        </is>
      </c>
      <c r="E44" s="27" t="n"/>
      <c r="F44" s="27">
        <f>IFERROR(__xludf.DUMMYFUNCTION("IF(ISBLANK(D44), ""-"", GOOGLEFINANCE(IF(ISBLANK(E44), D44, E44&amp;"":""&amp;D44), ""name""))"),"iShares iBoxx $ High Yield Corporate Bond ETF")</f>
        <v/>
      </c>
      <c r="G44" s="456" t="inlineStr">
        <is>
          <t>미국하이일드</t>
        </is>
      </c>
      <c r="H44" s="456">
        <f>IFERROR(__xludf.DUMMYFUNCTION("IF(ISBLANK(D44), 0, GOOGLEFINANCE(IF(ISBLANK(E44), D44, E44&amp;"":""&amp;D44), ""price""))"),79.24)</f>
        <v/>
      </c>
      <c r="I44" s="457">
        <f>IFERROR(__xludf.DUMMYFUNCTION("IF(ISBLANK(D44), 0, GOOGLEFINANCE(IF(ISBLANK(E44), D44, E44&amp;"":""&amp;D44), ""change""))"),-0.18)</f>
        <v/>
      </c>
      <c r="J44" s="458">
        <f>IFERROR(__xludf.DUMMYFUNCTION("IF(ISBLANK(D44), 0, GOOGLEFINANCE(IF(ISBLANK(E44), D44, E44&amp;"":""&amp;D44), ""changepct"")/100)"),-0.0023)</f>
        <v/>
      </c>
      <c r="K44" s="27" t="n">
        <v>1</v>
      </c>
      <c r="L44" s="459">
        <f>K44 * H44</f>
        <v/>
      </c>
      <c r="M44" s="34" t="n"/>
      <c r="N44" s="34" t="n"/>
      <c r="O44" s="35">
        <f>(P44*12)+(Q44*4)+(R44*2)+(S44*1)</f>
        <v/>
      </c>
      <c r="P44" s="46">
        <f>IFERROR((INDEX(차트데이터!$A:$BZ,254,MATCH(D44,차트데이터!$1:$1,0)+1)-INDEX(차트데이터!$A:$BZ,232,MATCH(D44,차트데이터!$1:$1,0)+1))/INDEX(차트데이터!$A:$BZ,232,MATCH(D44,차트데이터!$1:$1,0)+1),"")</f>
        <v/>
      </c>
      <c r="Q44" s="46">
        <f>IFERROR((INDEX(차트데이터!$A:$BZ,254,MATCH(D44,차트데이터!$1:$1,0)+1)-INDEX(차트데이터!$A:$BZ,190,MATCH(D44,차트데이터!$1:$1,0)+1))/INDEX(차트데이터!$A:$BZ,190,MATCH(D44,차트데이터!$1:$1,0)+1),"")</f>
        <v/>
      </c>
      <c r="R44" s="187">
        <f>IFERROR((INDEX(차트데이터!$A:$BZ,254,MATCH(D44,차트데이터!$1:$1,0)+1)-INDEX(차트데이터!$A:$BZ,127,MATCH(D44,차트데이터!$1:$1,0)+1))/INDEX(차트데이터!$A:$BZ,127,MATCH(D44,차트데이터!$1:$1,0)+1),"")</f>
        <v/>
      </c>
      <c r="S44" s="46">
        <f>IFERROR((INDEX(차트데이터!$A:$BZ,254,MATCH(D44,차트데이터!$1:$1,0)+1)-INDEX(차트데이터!$A:$BZ,4,MATCH(D44,차트데이터!$1:$1,0)+1))/INDEX(차트데이터!$A:$BZ,4,MATCH(D44,차트데이터!$1:$1,0)+1),"")</f>
        <v/>
      </c>
      <c r="T44" s="336" t="n"/>
      <c r="U44" s="336" t="n"/>
      <c r="X44" s="510">
        <f>IFERROR(INDEX(차트데이터!$A:$BZ,22,MATCH($Y$2,차트데이터!$1:$1,0)),"")</f>
        <v/>
      </c>
      <c r="Y44" s="511">
        <f>IFERROR(INDEX(차트데이터!$A:$BZ,22,MATCH($Y$2,차트데이터!$1:$1,0)+1),"")</f>
        <v/>
      </c>
      <c r="Z44">
        <f>$Y$2</f>
        <v/>
      </c>
    </row>
    <row r="45" ht="17.25" customHeight="1" s="322">
      <c r="B45" s="27" t="n"/>
      <c r="D45" s="455" t="inlineStr">
        <is>
          <t>BWX</t>
        </is>
      </c>
      <c r="E45" s="27" t="n"/>
      <c r="F45" s="27">
        <f>IFERROR(__xludf.DUMMYFUNCTION("IF(ISBLANK(D45), ""-"", GOOGLEFINANCE(IF(ISBLANK(E45), D45, E45&amp;"":""&amp;D45), ""name""))"),"State Street SPDR Bloomberg Intl TB ETF")</f>
        <v/>
      </c>
      <c r="G45" s="456" t="inlineStr">
        <is>
          <t>국제채권</t>
        </is>
      </c>
      <c r="H45" s="456">
        <f>IFERROR(__xludf.DUMMYFUNCTION("IF(ISBLANK(D45), 0, GOOGLEFINANCE(IF(ISBLANK(E45), D45, E45&amp;"":""&amp;D45), ""price""))"),21.5)</f>
        <v/>
      </c>
      <c r="I45" s="457">
        <f>IFERROR(__xludf.DUMMYFUNCTION("IF(ISBLANK(D45), 0, GOOGLEFINANCE(IF(ISBLANK(E45), D45, E45&amp;"":""&amp;D45), ""change""))"),0.03)</f>
        <v/>
      </c>
      <c r="J45" s="458">
        <f>IFERROR(__xludf.DUMMYFUNCTION("IF(ISBLANK(D45), 0, GOOGLEFINANCE(IF(ISBLANK(E45), D45, E45&amp;"":""&amp;D45), ""changepct"")/100)"),0.0014)</f>
        <v/>
      </c>
      <c r="K45" s="27" t="n">
        <v>1</v>
      </c>
      <c r="L45" s="459">
        <f>K45 * H45</f>
        <v/>
      </c>
      <c r="M45" s="34" t="n"/>
      <c r="N45" s="34" t="n"/>
      <c r="O45" s="35">
        <f>(P45*12)+(Q45*4)+(R45*2)+(S45*1)</f>
        <v/>
      </c>
      <c r="P45" s="46">
        <f>IFERROR((INDEX(차트데이터!$A:$BZ,254,MATCH(D45,차트데이터!$1:$1,0)+1)-INDEX(차트데이터!$A:$BZ,232,MATCH(D45,차트데이터!$1:$1,0)+1))/INDEX(차트데이터!$A:$BZ,232,MATCH(D45,차트데이터!$1:$1,0)+1),"")</f>
        <v/>
      </c>
      <c r="Q45" s="46">
        <f>IFERROR((INDEX(차트데이터!$A:$BZ,254,MATCH(D45,차트데이터!$1:$1,0)+1)-INDEX(차트데이터!$A:$BZ,190,MATCH(D45,차트데이터!$1:$1,0)+1))/INDEX(차트데이터!$A:$BZ,190,MATCH(D45,차트데이터!$1:$1,0)+1),"")</f>
        <v/>
      </c>
      <c r="R45" s="187">
        <f>IFERROR((INDEX(차트데이터!$A:$BZ,254,MATCH(D45,차트데이터!$1:$1,0)+1)-INDEX(차트데이터!$A:$BZ,127,MATCH(D45,차트데이터!$1:$1,0)+1))/INDEX(차트데이터!$A:$BZ,127,MATCH(D45,차트데이터!$1:$1,0)+1),"")</f>
        <v/>
      </c>
      <c r="S45" s="46">
        <f>IFERROR((INDEX(차트데이터!$A:$BZ,254,MATCH(D45,차트데이터!$1:$1,0)+1)-INDEX(차트데이터!$A:$BZ,4,MATCH(D45,차트데이터!$1:$1,0)+1))/INDEX(차트데이터!$A:$BZ,4,MATCH(D45,차트데이터!$1:$1,0)+1),"")</f>
        <v/>
      </c>
      <c r="T45" s="336" t="n"/>
      <c r="U45" s="336" t="n"/>
      <c r="X45" s="510">
        <f>IFERROR(INDEX(차트데이터!$A:$BZ,23,MATCH($Y$2,차트데이터!$1:$1,0)),"")</f>
        <v/>
      </c>
      <c r="Y45" s="511">
        <f>IFERROR(INDEX(차트데이터!$A:$BZ,23,MATCH($Y$2,차트데이터!$1:$1,0)+1),"")</f>
        <v/>
      </c>
      <c r="Z45">
        <f>$Y$2</f>
        <v/>
      </c>
    </row>
    <row r="46" ht="17.25" customHeight="1" s="322">
      <c r="B46" s="27" t="n"/>
      <c r="D46" s="455" t="inlineStr">
        <is>
          <t>EMB</t>
        </is>
      </c>
      <c r="E46" s="27" t="n"/>
      <c r="F46" s="27">
        <f>IFERROR(__xludf.DUMMYFUNCTION("IF(ISBLANK(D46), ""-"", GOOGLEFINANCE(IF(ISBLANK(E46), D46, E46&amp;"":""&amp;D46), ""name""))"),"iShares JPMorgan USD Emerging Markets Bond ETF")</f>
        <v/>
      </c>
      <c r="G46" s="456" t="inlineStr">
        <is>
          <t>개도국채권</t>
        </is>
      </c>
      <c r="H46" s="456">
        <f>IFERROR(__xludf.DUMMYFUNCTION("IF(ISBLANK(D46), 0, GOOGLEFINANCE(IF(ISBLANK(E46), D46, E46&amp;"":""&amp;D46), ""price""))"),94.56)</f>
        <v/>
      </c>
      <c r="I46" s="457">
        <f>IFERROR(__xludf.DUMMYFUNCTION("IF(ISBLANK(D46), 0, GOOGLEFINANCE(IF(ISBLANK(E46), D46, E46&amp;"":""&amp;D46), ""change""))"),-0.63)</f>
        <v/>
      </c>
      <c r="J46" s="458">
        <f>IFERROR(__xludf.DUMMYFUNCTION("IF(ISBLANK(D46), 0, GOOGLEFINANCE(IF(ISBLANK(E46), D46, E46&amp;"":""&amp;D46), ""changepct"")/100)"),-0.0066)</f>
        <v/>
      </c>
      <c r="K46" s="27" t="n">
        <v>1</v>
      </c>
      <c r="L46" s="459">
        <f>K46 * H46</f>
        <v/>
      </c>
      <c r="M46" s="34" t="n"/>
      <c r="N46" s="34" t="n"/>
      <c r="O46" s="35">
        <f>(P46*12)+(Q46*4)+(R46*2)+(S46*1)</f>
        <v/>
      </c>
      <c r="P46" s="46">
        <f>IFERROR((INDEX(차트데이터!$A:$BZ,254,MATCH(D46,차트데이터!$1:$1,0)+1)-INDEX(차트데이터!$A:$BZ,232,MATCH(D46,차트데이터!$1:$1,0)+1))/INDEX(차트데이터!$A:$BZ,232,MATCH(D46,차트데이터!$1:$1,0)+1),"")</f>
        <v/>
      </c>
      <c r="Q46" s="46">
        <f>IFERROR((INDEX(차트데이터!$A:$BZ,254,MATCH(D46,차트데이터!$1:$1,0)+1)-INDEX(차트데이터!$A:$BZ,190,MATCH(D46,차트데이터!$1:$1,0)+1))/INDEX(차트데이터!$A:$BZ,190,MATCH(D46,차트데이터!$1:$1,0)+1),"")</f>
        <v/>
      </c>
      <c r="R46" s="187">
        <f>IFERROR((INDEX(차트데이터!$A:$BZ,254,MATCH(D46,차트데이터!$1:$1,0)+1)-INDEX(차트데이터!$A:$BZ,127,MATCH(D46,차트데이터!$1:$1,0)+1))/INDEX(차트데이터!$A:$BZ,127,MATCH(D46,차트데이터!$1:$1,0)+1),"")</f>
        <v/>
      </c>
      <c r="S46" s="46">
        <f>IFERROR((INDEX(차트데이터!$A:$BZ,254,MATCH(D46,차트데이터!$1:$1,0)+1)-INDEX(차트데이터!$A:$BZ,4,MATCH(D46,차트데이터!$1:$1,0)+1))/INDEX(차트데이터!$A:$BZ,4,MATCH(D46,차트데이터!$1:$1,0)+1),"")</f>
        <v/>
      </c>
      <c r="T46" s="336" t="n"/>
      <c r="U46" s="336" t="n"/>
      <c r="X46" s="510">
        <f>IFERROR(INDEX(차트데이터!$A:$BZ,24,MATCH($Y$2,차트데이터!$1:$1,0)),"")</f>
        <v/>
      </c>
      <c r="Y46" s="511">
        <f>IFERROR(INDEX(차트데이터!$A:$BZ,24,MATCH($Y$2,차트데이터!$1:$1,0)+1),"")</f>
        <v/>
      </c>
      <c r="Z46">
        <f>$Y$2</f>
        <v/>
      </c>
    </row>
    <row r="47" ht="17.25" customHeight="1" s="322">
      <c r="A47" s="333" t="n"/>
      <c r="B47" s="27" t="n"/>
      <c r="C47" s="200" t="n"/>
      <c r="D47" s="27" t="n"/>
      <c r="E47" s="27" t="n"/>
      <c r="F47" s="27" t="n"/>
      <c r="G47" s="456" t="n"/>
      <c r="H47" s="456" t="n"/>
      <c r="I47" s="457" t="n"/>
      <c r="J47" s="458" t="n"/>
      <c r="K47" s="27" t="n"/>
      <c r="L47" s="459" t="n"/>
      <c r="M47" s="34" t="n"/>
      <c r="N47" s="34" t="n"/>
      <c r="O47" s="35" t="n"/>
      <c r="P47" s="104" t="n"/>
      <c r="Q47" s="104" t="n"/>
      <c r="R47" s="104" t="n"/>
      <c r="S47" s="194" t="n"/>
      <c r="T47" s="194" t="n"/>
      <c r="U47" s="194" t="n"/>
      <c r="V47" s="194" t="n"/>
      <c r="X47" s="510">
        <f>IFERROR(INDEX(차트데이터!$A:$BZ,25,MATCH($Y$2,차트데이터!$1:$1,0)),"")</f>
        <v/>
      </c>
      <c r="Y47" s="511">
        <f>IFERROR(INDEX(차트데이터!$A:$BZ,25,MATCH($Y$2,차트데이터!$1:$1,0)+1),"")</f>
        <v/>
      </c>
      <c r="Z47">
        <f>$Y$2</f>
        <v/>
      </c>
    </row>
    <row r="48" ht="17.25" customHeight="1" s="322">
      <c r="A48" s="27" t="n"/>
      <c r="B48" s="27" t="n"/>
      <c r="C48" s="27" t="n"/>
      <c r="D48" s="455" t="inlineStr">
        <is>
          <t>SPY</t>
        </is>
      </c>
      <c r="E48" s="27" t="n"/>
      <c r="F48" s="27">
        <f>IFERROR(__xludf.DUMMYFUNCTION("IF(ISBLANK(D48), ""-"", GOOGLEFINANCE(IF(ISBLANK(E48), D48, E48&amp;"":""&amp;D48), ""name""))"),"State Street SPDR S&amp;P 500 ETF Trust")</f>
        <v/>
      </c>
      <c r="G48" s="456" t="n"/>
      <c r="H48" s="456">
        <f>IFERROR(__xludf.DUMMYFUNCTION("IF(ISBLANK(D48), 0, GOOGLEFINANCE(IF(ISBLANK(E48), D48, E48&amp;"":""&amp;D48), ""price""))"),729.46)</f>
        <v/>
      </c>
      <c r="I48" s="457">
        <f>IFERROR(__xludf.DUMMYFUNCTION("IF(ISBLANK(D48), 0, GOOGLEFINANCE(IF(ISBLANK(E48), D48, E48&amp;"":""&amp;D48), ""change""))"),-11.4)</f>
        <v/>
      </c>
      <c r="J48" s="458">
        <f>IFERROR(__xludf.DUMMYFUNCTION("IF(ISBLANK(D48), 0, GOOGLEFINANCE(IF(ISBLANK(E48), D48, E48&amp;"":""&amp;D48), ""changepct"")/100)"),-0.0154)</f>
        <v/>
      </c>
      <c r="K48" s="27" t="n"/>
      <c r="L48" s="459">
        <f>K48 * H48</f>
        <v/>
      </c>
      <c r="M48" s="34" t="n"/>
      <c r="N48" s="34" t="n"/>
      <c r="O48" s="35" t="n"/>
      <c r="P48" s="36">
        <f>IFERROR((INDEX(차트데이터!$A:$BZ,254,MATCH(D48,차트데이터!$1:$1,0)+1)-INDEX(차트데이터!$A:$BZ,232,MATCH(D48,차트데이터!$1:$1,0)+1))/INDEX(차트데이터!$A:$BZ,232,MATCH(D48,차트데이터!$1:$1,0)+1),"")</f>
        <v/>
      </c>
      <c r="Q48" s="36">
        <f>IFERROR((INDEX(차트데이터!$A:$BZ,254,MATCH(D48,차트데이터!$1:$1,0)+1)-INDEX(차트데이터!$A:$BZ,190,MATCH(D48,차트데이터!$1:$1,0)+1))/INDEX(차트데이터!$A:$BZ,190,MATCH(D48,차트데이터!$1:$1,0)+1),"")</f>
        <v/>
      </c>
      <c r="R48" s="36">
        <f>IFERROR((INDEX(차트데이터!$A:$BZ,254,MATCH(D48,차트데이터!$1:$1,0)+1)-INDEX(차트데이터!$A:$BZ,127,MATCH(D48,차트데이터!$1:$1,0)+1))/INDEX(차트데이터!$A:$BZ,127,MATCH(D48,차트데이터!$1:$1,0)+1),"")</f>
        <v/>
      </c>
      <c r="S48" s="36">
        <f>IFERROR((INDEX(차트데이터!$A:$BZ,254,MATCH(D48,차트데이터!$1:$1,0)+1)-INDEX(차트데이터!$A:$BZ,4,MATCH(D48,차트데이터!$1:$1,0)+1))/INDEX(차트데이터!$A:$BZ,4,MATCH(D48,차트데이터!$1:$1,0)+1),"")</f>
        <v/>
      </c>
      <c r="T48" s="36" t="n"/>
      <c r="U48" s="36" t="n"/>
      <c r="V48" s="36" t="n"/>
      <c r="X48" s="510">
        <f>IFERROR(INDEX(차트데이터!$A:$BZ,26,MATCH($Y$2,차트데이터!$1:$1,0)),"")</f>
        <v/>
      </c>
      <c r="Y48" s="511">
        <f>IFERROR(INDEX(차트데이터!$A:$BZ,26,MATCH($Y$2,차트데이터!$1:$1,0)+1),"")</f>
        <v/>
      </c>
      <c r="Z48">
        <f>$Y$2</f>
        <v/>
      </c>
    </row>
    <row r="49" ht="17.25" customHeight="1" s="322">
      <c r="A49" s="27" t="n"/>
      <c r="B49" s="27" t="n"/>
      <c r="C49" s="27" t="n"/>
      <c r="D49" s="455" t="inlineStr">
        <is>
          <t>VWO</t>
        </is>
      </c>
      <c r="E49" s="27" t="n"/>
      <c r="F49" s="27">
        <f>IFERROR(__xludf.DUMMYFUNCTION("IF(ISBLANK(D49), ""-"", GOOGLEFINANCE(IF(ISBLANK(E49), D49, E49&amp;"":""&amp;D49), ""name""))"),"Vanguard Emerging Markets Stock Index Fund ETF")</f>
        <v/>
      </c>
      <c r="G49" s="456" t="n"/>
      <c r="H49" s="456">
        <f>IFERROR(__xludf.DUMMYFUNCTION("IF(ISBLANK(D49), 0, GOOGLEFINANCE(IF(ISBLANK(E49), D49, E49&amp;"":""&amp;D49), ""price""))"),56.92)</f>
        <v/>
      </c>
      <c r="I49" s="457">
        <f>IFERROR(__xludf.DUMMYFUNCTION("IF(ISBLANK(D49), 0, GOOGLEFINANCE(IF(ISBLANK(E49), D49, E49&amp;"":""&amp;D49), ""change""))"),-0.82)</f>
        <v/>
      </c>
      <c r="J49" s="458">
        <f>IFERROR(__xludf.DUMMYFUNCTION("IF(ISBLANK(D49), 0, GOOGLEFINANCE(IF(ISBLANK(E49), D49, E49&amp;"":""&amp;D49), ""changepct"")/100)"),-0.0141999999999999)</f>
        <v/>
      </c>
      <c r="K49" s="27" t="n"/>
      <c r="L49" s="459">
        <f>K49 * H49</f>
        <v/>
      </c>
      <c r="M49" s="34" t="n"/>
      <c r="N49" s="34" t="n"/>
      <c r="O49" s="35" t="n"/>
      <c r="P49" s="36">
        <f>IFERROR((INDEX(차트데이터!$A:$BZ,254,MATCH(D49,차트데이터!$1:$1,0)+1)-INDEX(차트데이터!$A:$BZ,232,MATCH(D49,차트데이터!$1:$1,0)+1))/INDEX(차트데이터!$A:$BZ,232,MATCH(D49,차트데이터!$1:$1,0)+1),"")</f>
        <v/>
      </c>
      <c r="Q49" s="36">
        <f>IFERROR((INDEX(차트데이터!$A:$BZ,254,MATCH(D49,차트데이터!$1:$1,0)+1)-INDEX(차트데이터!$A:$BZ,190,MATCH(D49,차트데이터!$1:$1,0)+1))/INDEX(차트데이터!$A:$BZ,190,MATCH(D49,차트데이터!$1:$1,0)+1),"")</f>
        <v/>
      </c>
      <c r="R49" s="36">
        <f>IFERROR((INDEX(차트데이터!$A:$BZ,254,MATCH(D49,차트데이터!$1:$1,0)+1)-INDEX(차트데이터!$A:$BZ,127,MATCH(D49,차트데이터!$1:$1,0)+1))/INDEX(차트데이터!$A:$BZ,127,MATCH(D49,차트데이터!$1:$1,0)+1),"")</f>
        <v/>
      </c>
      <c r="S49" s="36">
        <f>IFERROR((INDEX(차트데이터!$A:$BZ,254,MATCH(D49,차트데이터!$1:$1,0)+1)-INDEX(차트데이터!$A:$BZ,4,MATCH(D49,차트데이터!$1:$1,0)+1))/INDEX(차트데이터!$A:$BZ,4,MATCH(D49,차트데이터!$1:$1,0)+1),"")</f>
        <v/>
      </c>
      <c r="T49" s="36" t="n"/>
      <c r="U49" s="36" t="n"/>
      <c r="V49" s="36" t="n"/>
      <c r="X49" s="510">
        <f>IFERROR(INDEX(차트데이터!$A:$BZ,27,MATCH($Y$2,차트데이터!$1:$1,0)),"")</f>
        <v/>
      </c>
      <c r="Y49" s="511">
        <f>IFERROR(INDEX(차트데이터!$A:$BZ,27,MATCH($Y$2,차트데이터!$1:$1,0)+1),"")</f>
        <v/>
      </c>
      <c r="Z49">
        <f>$Y$2</f>
        <v/>
      </c>
    </row>
    <row r="50" ht="17.25" customHeight="1" s="322">
      <c r="A50" s="27" t="n"/>
      <c r="B50" s="27" t="n"/>
      <c r="C50" s="27" t="n"/>
      <c r="D50" s="27" t="n"/>
      <c r="E50" s="27" t="n"/>
      <c r="F50" s="27">
        <f>IFERROR(__xludf.DUMMYFUNCTION("IF(ISBLANK(D50), ""-"", GOOGLEFINANCE(IF(ISBLANK(E50), D50, E50&amp;"":""&amp;D50), ""name""))"),"-")</f>
        <v/>
      </c>
      <c r="G50" s="456" t="n"/>
      <c r="H50" s="456">
        <f>IFERROR(__xludf.DUMMYFUNCTION("IF(ISBLANK(D50), 0, GOOGLEFINANCE(IF(ISBLANK(E50), D50, E50&amp;"":""&amp;D50), ""price""))"),0)</f>
        <v/>
      </c>
      <c r="I50" s="457">
        <f>IFERROR(__xludf.DUMMYFUNCTION("IF(ISBLANK(D50), 0, GOOGLEFINANCE(IF(ISBLANK(E50), D50, E50&amp;"":""&amp;D50), ""change""))"),0)</f>
        <v/>
      </c>
      <c r="J50" s="458">
        <f>IFERROR(__xludf.DUMMYFUNCTION("IF(ISBLANK(D50), 0, GOOGLEFINANCE(IF(ISBLANK(E50), D50, E50&amp;"":""&amp;D50), ""changepct"")/100)"),0)</f>
        <v/>
      </c>
      <c r="K50" s="27" t="n"/>
      <c r="L50" s="459">
        <f>K50 * H50</f>
        <v/>
      </c>
      <c r="M50" s="34" t="n"/>
      <c r="N50" s="34" t="n"/>
      <c r="O50" s="35" t="n"/>
      <c r="P50" s="36" t="n"/>
      <c r="Q50" s="36" t="n"/>
      <c r="R50" s="36" t="n"/>
      <c r="S50" s="36" t="n"/>
      <c r="T50" s="36" t="n"/>
      <c r="U50" s="36" t="n"/>
      <c r="V50" s="36" t="n"/>
      <c r="X50" s="510">
        <f>IFERROR(INDEX(차트데이터!$A:$BZ,28,MATCH($Y$2,차트데이터!$1:$1,0)),"")</f>
        <v/>
      </c>
      <c r="Y50" s="511">
        <f>IFERROR(INDEX(차트데이터!$A:$BZ,28,MATCH($Y$2,차트데이터!$1:$1,0)+1),"")</f>
        <v/>
      </c>
      <c r="Z50">
        <f>$Y$2</f>
        <v/>
      </c>
    </row>
    <row r="51" ht="17.25" customHeight="1" s="322">
      <c r="A51" s="27" t="n"/>
      <c r="B51" s="27" t="n"/>
      <c r="C51" s="27" t="n"/>
      <c r="D51" s="27" t="n"/>
      <c r="E51" s="27" t="n"/>
      <c r="F51" s="27">
        <f>IFERROR(__xludf.DUMMYFUNCTION("IF(ISBLANK(D51), ""-"", GOOGLEFINANCE(IF(ISBLANK(E51), D51, E51&amp;"":""&amp;D51), ""name""))"),"-")</f>
        <v/>
      </c>
      <c r="G51" s="456" t="n"/>
      <c r="H51" s="456">
        <f>IFERROR(__xludf.DUMMYFUNCTION("IF(ISBLANK(D51), 0, GOOGLEFINANCE(IF(ISBLANK(E51), D51, E51&amp;"":""&amp;D51), ""price""))"),0)</f>
        <v/>
      </c>
      <c r="I51" s="457">
        <f>IFERROR(__xludf.DUMMYFUNCTION("IF(ISBLANK(D51), 0, GOOGLEFINANCE(IF(ISBLANK(E51), D51, E51&amp;"":""&amp;D51), ""change""))"),0)</f>
        <v/>
      </c>
      <c r="J51" s="458">
        <f>IFERROR(__xludf.DUMMYFUNCTION("IF(ISBLANK(D51), 0, GOOGLEFINANCE(IF(ISBLANK(E51), D51, E51&amp;"":""&amp;D51), ""changepct"")/100)"),0)</f>
        <v/>
      </c>
      <c r="K51" s="27" t="n"/>
      <c r="L51" s="459">
        <f>K51 * H51</f>
        <v/>
      </c>
      <c r="M51" s="34" t="n"/>
      <c r="N51" s="34" t="n"/>
      <c r="O51" s="35" t="n"/>
      <c r="P51" s="36" t="n"/>
      <c r="Q51" s="36" t="n"/>
      <c r="R51" s="36" t="n"/>
      <c r="S51" s="36" t="n"/>
      <c r="T51" s="36" t="n"/>
      <c r="U51" s="36" t="n"/>
      <c r="V51" s="36" t="n"/>
      <c r="X51" s="510">
        <f>IFERROR(INDEX(차트데이터!$A:$BZ,29,MATCH($Y$2,차트데이터!$1:$1,0)),"")</f>
        <v/>
      </c>
      <c r="Y51" s="511">
        <f>IFERROR(INDEX(차트데이터!$A:$BZ,29,MATCH($Y$2,차트데이터!$1:$1,0)+1),"")</f>
        <v/>
      </c>
      <c r="Z51">
        <f>$Y$2</f>
        <v/>
      </c>
    </row>
    <row r="52" ht="17.25" customHeight="1" s="322">
      <c r="A52" s="27" t="n"/>
      <c r="B52" s="27" t="n"/>
      <c r="C52" s="27" t="n"/>
      <c r="D52" s="27" t="n"/>
      <c r="E52" s="27" t="n"/>
      <c r="F52" s="27">
        <f>IFERROR(__xludf.DUMMYFUNCTION("IF(ISBLANK(D52), ""-"", GOOGLEFINANCE(IF(ISBLANK(E52), D52, E52&amp;"":""&amp;D52), ""name""))"),"-")</f>
        <v/>
      </c>
      <c r="G52" s="456" t="n"/>
      <c r="H52" s="456">
        <f>IFERROR(__xludf.DUMMYFUNCTION("IF(ISBLANK(D52), 0, GOOGLEFINANCE(IF(ISBLANK(E52), D52, E52&amp;"":""&amp;D52), ""price""))"),0)</f>
        <v/>
      </c>
      <c r="I52" s="457">
        <f>IFERROR(__xludf.DUMMYFUNCTION("IF(ISBLANK(D52), 0, GOOGLEFINANCE(IF(ISBLANK(E52), D52, E52&amp;"":""&amp;D52), ""change""))"),0)</f>
        <v/>
      </c>
      <c r="J52" s="458">
        <f>IFERROR(__xludf.DUMMYFUNCTION("IF(ISBLANK(D52), 0, GOOGLEFINANCE(IF(ISBLANK(E52), D52, E52&amp;"":""&amp;D52), ""changepct"")/100)"),0)</f>
        <v/>
      </c>
      <c r="K52" s="27" t="n"/>
      <c r="L52" s="459">
        <f>K52 * H52</f>
        <v/>
      </c>
      <c r="M52" s="34" t="n"/>
      <c r="N52" s="34" t="n"/>
      <c r="O52" s="35" t="n"/>
      <c r="P52" s="36" t="n"/>
      <c r="Q52" s="36" t="n"/>
      <c r="R52" s="36" t="n"/>
      <c r="S52" s="36" t="n"/>
      <c r="T52" s="36" t="n"/>
      <c r="U52" s="36" t="n"/>
      <c r="V52" s="36" t="n"/>
      <c r="X52" s="510">
        <f>IFERROR(INDEX(차트데이터!$A:$BZ,30,MATCH($Y$2,차트데이터!$1:$1,0)),"")</f>
        <v/>
      </c>
      <c r="Y52" s="511">
        <f>IFERROR(INDEX(차트데이터!$A:$BZ,30,MATCH($Y$2,차트데이터!$1:$1,0)+1),"")</f>
        <v/>
      </c>
      <c r="Z52">
        <f>$Y$2</f>
        <v/>
      </c>
    </row>
    <row r="53" ht="17.25" customHeight="1" s="322">
      <c r="A53" s="27" t="n"/>
      <c r="B53" s="27" t="n"/>
      <c r="C53" s="27" t="n"/>
      <c r="D53" s="27" t="n"/>
      <c r="E53" s="27" t="n"/>
      <c r="F53" s="27">
        <f>IFERROR(__xludf.DUMMYFUNCTION("IF(ISBLANK(D53), ""-"", GOOGLEFINANCE(IF(ISBLANK(E53), D53, E53&amp;"":""&amp;D53), ""name""))"),"-")</f>
        <v/>
      </c>
      <c r="G53" s="456" t="n"/>
      <c r="H53" s="456">
        <f>IFERROR(__xludf.DUMMYFUNCTION("IF(ISBLANK(D53), 0, GOOGLEFINANCE(IF(ISBLANK(E53), D53, E53&amp;"":""&amp;D53), ""price""))"),0)</f>
        <v/>
      </c>
      <c r="I53" s="457">
        <f>IFERROR(__xludf.DUMMYFUNCTION("IF(ISBLANK(D53), 0, GOOGLEFINANCE(IF(ISBLANK(E53), D53, E53&amp;"":""&amp;D53), ""change""))"),0)</f>
        <v/>
      </c>
      <c r="J53" s="458">
        <f>IFERROR(__xludf.DUMMYFUNCTION("IF(ISBLANK(D53), 0, GOOGLEFINANCE(IF(ISBLANK(E53), D53, E53&amp;"":""&amp;D53), ""changepct"")/100)"),0)</f>
        <v/>
      </c>
      <c r="K53" s="27" t="n"/>
      <c r="L53" s="459">
        <f>K53 * H53</f>
        <v/>
      </c>
      <c r="M53" s="34" t="n"/>
      <c r="N53" s="34" t="n"/>
      <c r="O53" s="35" t="n"/>
      <c r="P53" s="36" t="n"/>
      <c r="Q53" s="36" t="n"/>
      <c r="R53" s="36" t="n"/>
      <c r="S53" s="36" t="n"/>
      <c r="T53" s="36" t="n"/>
      <c r="U53" s="36" t="n"/>
      <c r="V53" s="36" t="n"/>
      <c r="X53" s="510">
        <f>IFERROR(INDEX(차트데이터!$A:$BZ,31,MATCH($Y$2,차트데이터!$1:$1,0)),"")</f>
        <v/>
      </c>
      <c r="Y53" s="511">
        <f>IFERROR(INDEX(차트데이터!$A:$BZ,31,MATCH($Y$2,차트데이터!$1:$1,0)+1),"")</f>
        <v/>
      </c>
      <c r="Z53">
        <f>$Y$2</f>
        <v/>
      </c>
    </row>
    <row r="54" ht="17.25" customHeight="1" s="322">
      <c r="A54" s="27" t="n"/>
      <c r="B54" s="27" t="n"/>
      <c r="C54" s="27" t="n"/>
      <c r="D54" s="27" t="n"/>
      <c r="E54" s="27" t="n"/>
      <c r="F54" s="27">
        <f>IFERROR(__xludf.DUMMYFUNCTION("IF(ISBLANK(D54), ""-"", GOOGLEFINANCE(IF(ISBLANK(E54), D54, E54&amp;"":""&amp;D54), ""name""))"),"-")</f>
        <v/>
      </c>
      <c r="G54" s="456" t="n"/>
      <c r="H54" s="456">
        <f>IFERROR(__xludf.DUMMYFUNCTION("IF(ISBLANK(D54), 0, GOOGLEFINANCE(IF(ISBLANK(E54), D54, E54&amp;"":""&amp;D54), ""price""))"),0)</f>
        <v/>
      </c>
      <c r="I54" s="457">
        <f>IFERROR(__xludf.DUMMYFUNCTION("IF(ISBLANK(D54), 0, GOOGLEFINANCE(IF(ISBLANK(E54), D54, E54&amp;"":""&amp;D54), ""change""))"),0)</f>
        <v/>
      </c>
      <c r="J54" s="458">
        <f>IFERROR(__xludf.DUMMYFUNCTION("IF(ISBLANK(D54), 0, GOOGLEFINANCE(IF(ISBLANK(E54), D54, E54&amp;"":""&amp;D54), ""changepct"")/100)"),0)</f>
        <v/>
      </c>
      <c r="K54" s="27" t="n"/>
      <c r="L54" s="459">
        <f>K54 * H54</f>
        <v/>
      </c>
      <c r="M54" s="34" t="n"/>
      <c r="N54" s="34" t="n"/>
      <c r="O54" s="35" t="n"/>
      <c r="P54" s="36" t="n"/>
      <c r="Q54" s="36" t="n"/>
      <c r="R54" s="36" t="n"/>
      <c r="S54" s="36" t="n"/>
      <c r="T54" s="36" t="n"/>
      <c r="U54" s="36" t="n"/>
      <c r="V54" s="36" t="n"/>
      <c r="X54" s="510">
        <f>IFERROR(INDEX(차트데이터!$A:$BZ,32,MATCH($Y$2,차트데이터!$1:$1,0)),"")</f>
        <v/>
      </c>
      <c r="Y54" s="511">
        <f>IFERROR(INDEX(차트데이터!$A:$BZ,32,MATCH($Y$2,차트데이터!$1:$1,0)+1),"")</f>
        <v/>
      </c>
      <c r="Z54">
        <f>$Y$2</f>
        <v/>
      </c>
    </row>
    <row r="55" ht="17.25" customHeight="1" s="322">
      <c r="A55" s="27" t="n"/>
      <c r="B55" s="27" t="n"/>
      <c r="C55" s="27" t="n"/>
      <c r="D55" s="27" t="n"/>
      <c r="E55" s="27" t="n"/>
      <c r="F55" s="27">
        <f>IFERROR(__xludf.DUMMYFUNCTION("IF(ISBLANK(D55), ""-"", GOOGLEFINANCE(IF(ISBLANK(E55), D55, E55&amp;"":""&amp;D55), ""name""))"),"-")</f>
        <v/>
      </c>
      <c r="G55" s="456" t="n"/>
      <c r="H55" s="456">
        <f>IFERROR(__xludf.DUMMYFUNCTION("IF(ISBLANK(D55), 0, GOOGLEFINANCE(IF(ISBLANK(E55), D55, E55&amp;"":""&amp;D55), ""price""))"),0)</f>
        <v/>
      </c>
      <c r="I55" s="457">
        <f>IFERROR(__xludf.DUMMYFUNCTION("IF(ISBLANK(D55), 0, GOOGLEFINANCE(IF(ISBLANK(E55), D55, E55&amp;"":""&amp;D55), ""change""))"),0)</f>
        <v/>
      </c>
      <c r="J55" s="458">
        <f>IFERROR(__xludf.DUMMYFUNCTION("IF(ISBLANK(D55), 0, GOOGLEFINANCE(IF(ISBLANK(E55), D55, E55&amp;"":""&amp;D55), ""changepct"")/100)"),0)</f>
        <v/>
      </c>
      <c r="K55" s="27" t="n"/>
      <c r="L55" s="459">
        <f>K55 * H55</f>
        <v/>
      </c>
      <c r="M55" s="34" t="n"/>
      <c r="N55" s="34" t="n"/>
      <c r="O55" s="35" t="n"/>
      <c r="P55" s="36" t="n"/>
      <c r="Q55" s="36" t="n"/>
      <c r="R55" s="36" t="n"/>
      <c r="S55" s="36" t="n"/>
      <c r="T55" s="36" t="n"/>
      <c r="U55" s="36" t="n"/>
      <c r="V55" s="36" t="n"/>
      <c r="X55" s="510">
        <f>IFERROR(INDEX(차트데이터!$A:$BZ,33,MATCH($Y$2,차트데이터!$1:$1,0)),"")</f>
        <v/>
      </c>
      <c r="Y55" s="511">
        <f>IFERROR(INDEX(차트데이터!$A:$BZ,33,MATCH($Y$2,차트데이터!$1:$1,0)+1),"")</f>
        <v/>
      </c>
      <c r="Z55">
        <f>$Y$2</f>
        <v/>
      </c>
    </row>
    <row r="56">
      <c r="X56" s="510">
        <f>IFERROR(INDEX(차트데이터!$A:$BZ,34,MATCH($Y$2,차트데이터!$1:$1,0)),"")</f>
        <v/>
      </c>
      <c r="Y56" s="511">
        <f>IFERROR(INDEX(차트데이터!$A:$BZ,34,MATCH($Y$2,차트데이터!$1:$1,0)+1),"")</f>
        <v/>
      </c>
      <c r="Z56">
        <f>$Y$2</f>
        <v/>
      </c>
    </row>
    <row r="57">
      <c r="X57" s="510">
        <f>IFERROR(INDEX(차트데이터!$A:$BZ,35,MATCH($Y$2,차트데이터!$1:$1,0)),"")</f>
        <v/>
      </c>
      <c r="Y57" s="511">
        <f>IFERROR(INDEX(차트데이터!$A:$BZ,35,MATCH($Y$2,차트데이터!$1:$1,0)+1),"")</f>
        <v/>
      </c>
      <c r="Z57">
        <f>$Y$2</f>
        <v/>
      </c>
    </row>
    <row r="58">
      <c r="X58" s="510">
        <f>IFERROR(INDEX(차트데이터!$A:$BZ,36,MATCH($Y$2,차트데이터!$1:$1,0)),"")</f>
        <v/>
      </c>
      <c r="Y58" s="511">
        <f>IFERROR(INDEX(차트데이터!$A:$BZ,36,MATCH($Y$2,차트데이터!$1:$1,0)+1),"")</f>
        <v/>
      </c>
      <c r="Z58">
        <f>$Y$2</f>
        <v/>
      </c>
    </row>
    <row r="59">
      <c r="X59" s="510">
        <f>IFERROR(INDEX(차트데이터!$A:$BZ,37,MATCH($Y$2,차트데이터!$1:$1,0)),"")</f>
        <v/>
      </c>
      <c r="Y59" s="511">
        <f>IFERROR(INDEX(차트데이터!$A:$BZ,37,MATCH($Y$2,차트데이터!$1:$1,0)+1),"")</f>
        <v/>
      </c>
      <c r="Z59">
        <f>$Y$2</f>
        <v/>
      </c>
    </row>
    <row r="60">
      <c r="X60" s="510">
        <f>IFERROR(INDEX(차트데이터!$A:$BZ,38,MATCH($Y$2,차트데이터!$1:$1,0)),"")</f>
        <v/>
      </c>
      <c r="Y60" s="511">
        <f>IFERROR(INDEX(차트데이터!$A:$BZ,38,MATCH($Y$2,차트데이터!$1:$1,0)+1),"")</f>
        <v/>
      </c>
      <c r="Z60">
        <f>$Y$2</f>
        <v/>
      </c>
    </row>
    <row r="61">
      <c r="X61" s="510">
        <f>IFERROR(INDEX(차트데이터!$A:$BZ,39,MATCH($Y$2,차트데이터!$1:$1,0)),"")</f>
        <v/>
      </c>
      <c r="Y61" s="511">
        <f>IFERROR(INDEX(차트데이터!$A:$BZ,39,MATCH($Y$2,차트데이터!$1:$1,0)+1),"")</f>
        <v/>
      </c>
      <c r="Z61">
        <f>$Y$2</f>
        <v/>
      </c>
    </row>
    <row r="62">
      <c r="X62" s="510">
        <f>IFERROR(INDEX(차트데이터!$A:$BZ,40,MATCH($Y$2,차트데이터!$1:$1,0)),"")</f>
        <v/>
      </c>
      <c r="Y62" s="511">
        <f>IFERROR(INDEX(차트데이터!$A:$BZ,40,MATCH($Y$2,차트데이터!$1:$1,0)+1),"")</f>
        <v/>
      </c>
      <c r="Z62">
        <f>$Y$2</f>
        <v/>
      </c>
    </row>
    <row r="63">
      <c r="X63" s="510">
        <f>IFERROR(INDEX(차트데이터!$A:$BZ,41,MATCH($Y$2,차트데이터!$1:$1,0)),"")</f>
        <v/>
      </c>
      <c r="Y63" s="511">
        <f>IFERROR(INDEX(차트데이터!$A:$BZ,41,MATCH($Y$2,차트데이터!$1:$1,0)+1),"")</f>
        <v/>
      </c>
      <c r="Z63">
        <f>$Y$2</f>
        <v/>
      </c>
    </row>
    <row r="64">
      <c r="X64" s="510">
        <f>IFERROR(INDEX(차트데이터!$A:$BZ,42,MATCH($Y$2,차트데이터!$1:$1,0)),"")</f>
        <v/>
      </c>
      <c r="Y64" s="511">
        <f>IFERROR(INDEX(차트데이터!$A:$BZ,42,MATCH($Y$2,차트데이터!$1:$1,0)+1),"")</f>
        <v/>
      </c>
      <c r="Z64">
        <f>$Y$2</f>
        <v/>
      </c>
    </row>
    <row r="65">
      <c r="X65" s="510">
        <f>IFERROR(INDEX(차트데이터!$A:$BZ,43,MATCH($Y$2,차트데이터!$1:$1,0)),"")</f>
        <v/>
      </c>
      <c r="Y65" s="511">
        <f>IFERROR(INDEX(차트데이터!$A:$BZ,43,MATCH($Y$2,차트데이터!$1:$1,0)+1),"")</f>
        <v/>
      </c>
      <c r="Z65">
        <f>$Y$2</f>
        <v/>
      </c>
    </row>
    <row r="66">
      <c r="X66" s="510">
        <f>IFERROR(INDEX(차트데이터!$A:$BZ,44,MATCH($Y$2,차트데이터!$1:$1,0)),"")</f>
        <v/>
      </c>
      <c r="Y66" s="511">
        <f>IFERROR(INDEX(차트데이터!$A:$BZ,44,MATCH($Y$2,차트데이터!$1:$1,0)+1),"")</f>
        <v/>
      </c>
      <c r="Z66">
        <f>$Y$2</f>
        <v/>
      </c>
    </row>
    <row r="67">
      <c r="X67" s="510">
        <f>IFERROR(INDEX(차트데이터!$A:$BZ,45,MATCH($Y$2,차트데이터!$1:$1,0)),"")</f>
        <v/>
      </c>
      <c r="Y67" s="511">
        <f>IFERROR(INDEX(차트데이터!$A:$BZ,45,MATCH($Y$2,차트데이터!$1:$1,0)+1),"")</f>
        <v/>
      </c>
      <c r="Z67">
        <f>$Y$2</f>
        <v/>
      </c>
    </row>
    <row r="68">
      <c r="X68" s="510">
        <f>IFERROR(INDEX(차트데이터!$A:$BZ,46,MATCH($Y$2,차트데이터!$1:$1,0)),"")</f>
        <v/>
      </c>
      <c r="Y68" s="511">
        <f>IFERROR(INDEX(차트데이터!$A:$BZ,46,MATCH($Y$2,차트데이터!$1:$1,0)+1),"")</f>
        <v/>
      </c>
      <c r="Z68">
        <f>$Y$2</f>
        <v/>
      </c>
    </row>
    <row r="69">
      <c r="X69" s="510">
        <f>IFERROR(INDEX(차트데이터!$A:$BZ,47,MATCH($Y$2,차트데이터!$1:$1,0)),"")</f>
        <v/>
      </c>
      <c r="Y69" s="511">
        <f>IFERROR(INDEX(차트데이터!$A:$BZ,47,MATCH($Y$2,차트데이터!$1:$1,0)+1),"")</f>
        <v/>
      </c>
      <c r="Z69">
        <f>$Y$2</f>
        <v/>
      </c>
    </row>
    <row r="70">
      <c r="X70" s="510">
        <f>IFERROR(INDEX(차트데이터!$A:$BZ,48,MATCH($Y$2,차트데이터!$1:$1,0)),"")</f>
        <v/>
      </c>
      <c r="Y70" s="511">
        <f>IFERROR(INDEX(차트데이터!$A:$BZ,48,MATCH($Y$2,차트데이터!$1:$1,0)+1),"")</f>
        <v/>
      </c>
      <c r="Z70">
        <f>$Y$2</f>
        <v/>
      </c>
    </row>
    <row r="71">
      <c r="X71" s="510">
        <f>IFERROR(INDEX(차트데이터!$A:$BZ,49,MATCH($Y$2,차트데이터!$1:$1,0)),"")</f>
        <v/>
      </c>
      <c r="Y71" s="511">
        <f>IFERROR(INDEX(차트데이터!$A:$BZ,49,MATCH($Y$2,차트데이터!$1:$1,0)+1),"")</f>
        <v/>
      </c>
      <c r="Z71">
        <f>$Y$2</f>
        <v/>
      </c>
    </row>
    <row r="72">
      <c r="X72" s="510">
        <f>IFERROR(INDEX(차트데이터!$A:$BZ,50,MATCH($Y$2,차트데이터!$1:$1,0)),"")</f>
        <v/>
      </c>
      <c r="Y72" s="511">
        <f>IFERROR(INDEX(차트데이터!$A:$BZ,50,MATCH($Y$2,차트데이터!$1:$1,0)+1),"")</f>
        <v/>
      </c>
      <c r="Z72">
        <f>$Y$2</f>
        <v/>
      </c>
    </row>
    <row r="73">
      <c r="X73" s="510">
        <f>IFERROR(INDEX(차트데이터!$A:$BZ,51,MATCH($Y$2,차트데이터!$1:$1,0)),"")</f>
        <v/>
      </c>
      <c r="Y73" s="511">
        <f>IFERROR(INDEX(차트데이터!$A:$BZ,51,MATCH($Y$2,차트데이터!$1:$1,0)+1),"")</f>
        <v/>
      </c>
      <c r="Z73">
        <f>$Y$2</f>
        <v/>
      </c>
    </row>
    <row r="74">
      <c r="X74" s="510">
        <f>IFERROR(INDEX(차트데이터!$A:$BZ,52,MATCH($Y$2,차트데이터!$1:$1,0)),"")</f>
        <v/>
      </c>
      <c r="Y74" s="511">
        <f>IFERROR(INDEX(차트데이터!$A:$BZ,52,MATCH($Y$2,차트데이터!$1:$1,0)+1),"")</f>
        <v/>
      </c>
      <c r="Z74">
        <f>$Y$2</f>
        <v/>
      </c>
    </row>
    <row r="75">
      <c r="X75" s="510">
        <f>IFERROR(INDEX(차트데이터!$A:$BZ,53,MATCH($Y$2,차트데이터!$1:$1,0)),"")</f>
        <v/>
      </c>
      <c r="Y75" s="511">
        <f>IFERROR(INDEX(차트데이터!$A:$BZ,53,MATCH($Y$2,차트데이터!$1:$1,0)+1),"")</f>
        <v/>
      </c>
      <c r="Z75">
        <f>$Y$2</f>
        <v/>
      </c>
    </row>
    <row r="76">
      <c r="X76" s="510">
        <f>IFERROR(INDEX(차트데이터!$A:$BZ,54,MATCH($Y$2,차트데이터!$1:$1,0)),"")</f>
        <v/>
      </c>
      <c r="Y76" s="511">
        <f>IFERROR(INDEX(차트데이터!$A:$BZ,54,MATCH($Y$2,차트데이터!$1:$1,0)+1),"")</f>
        <v/>
      </c>
      <c r="Z76">
        <f>$Y$2</f>
        <v/>
      </c>
    </row>
    <row r="77">
      <c r="X77" s="510">
        <f>IFERROR(INDEX(차트데이터!$A:$BZ,55,MATCH($Y$2,차트데이터!$1:$1,0)),"")</f>
        <v/>
      </c>
      <c r="Y77" s="511">
        <f>IFERROR(INDEX(차트데이터!$A:$BZ,55,MATCH($Y$2,차트데이터!$1:$1,0)+1),"")</f>
        <v/>
      </c>
      <c r="Z77">
        <f>$Y$2</f>
        <v/>
      </c>
    </row>
    <row r="78">
      <c r="X78" s="510">
        <f>IFERROR(INDEX(차트데이터!$A:$BZ,56,MATCH($Y$2,차트데이터!$1:$1,0)),"")</f>
        <v/>
      </c>
      <c r="Y78" s="511">
        <f>IFERROR(INDEX(차트데이터!$A:$BZ,56,MATCH($Y$2,차트데이터!$1:$1,0)+1),"")</f>
        <v/>
      </c>
      <c r="Z78">
        <f>$Y$2</f>
        <v/>
      </c>
    </row>
    <row r="79">
      <c r="X79" s="510">
        <f>IFERROR(INDEX(차트데이터!$A:$BZ,57,MATCH($Y$2,차트데이터!$1:$1,0)),"")</f>
        <v/>
      </c>
      <c r="Y79" s="511">
        <f>IFERROR(INDEX(차트데이터!$A:$BZ,57,MATCH($Y$2,차트데이터!$1:$1,0)+1),"")</f>
        <v/>
      </c>
      <c r="Z79">
        <f>$Y$2</f>
        <v/>
      </c>
    </row>
    <row r="80">
      <c r="X80" s="510">
        <f>IFERROR(INDEX(차트데이터!$A:$BZ,58,MATCH($Y$2,차트데이터!$1:$1,0)),"")</f>
        <v/>
      </c>
      <c r="Y80" s="511">
        <f>IFERROR(INDEX(차트데이터!$A:$BZ,58,MATCH($Y$2,차트데이터!$1:$1,0)+1),"")</f>
        <v/>
      </c>
      <c r="Z80">
        <f>$Y$2</f>
        <v/>
      </c>
    </row>
    <row r="81">
      <c r="X81" s="510">
        <f>IFERROR(INDEX(차트데이터!$A:$BZ,59,MATCH($Y$2,차트데이터!$1:$1,0)),"")</f>
        <v/>
      </c>
      <c r="Y81" s="511">
        <f>IFERROR(INDEX(차트데이터!$A:$BZ,59,MATCH($Y$2,차트데이터!$1:$1,0)+1),"")</f>
        <v/>
      </c>
      <c r="Z81">
        <f>$Y$2</f>
        <v/>
      </c>
    </row>
    <row r="82">
      <c r="X82" s="510">
        <f>IFERROR(INDEX(차트데이터!$A:$BZ,60,MATCH($Y$2,차트데이터!$1:$1,0)),"")</f>
        <v/>
      </c>
      <c r="Y82" s="511">
        <f>IFERROR(INDEX(차트데이터!$A:$BZ,60,MATCH($Y$2,차트데이터!$1:$1,0)+1),"")</f>
        <v/>
      </c>
      <c r="Z82">
        <f>$Y$2</f>
        <v/>
      </c>
    </row>
    <row r="83">
      <c r="X83" s="510">
        <f>IFERROR(INDEX(차트데이터!$A:$BZ,61,MATCH($Y$2,차트데이터!$1:$1,0)),"")</f>
        <v/>
      </c>
      <c r="Y83" s="511">
        <f>IFERROR(INDEX(차트데이터!$A:$BZ,61,MATCH($Y$2,차트데이터!$1:$1,0)+1),"")</f>
        <v/>
      </c>
      <c r="Z83">
        <f>$Y$2</f>
        <v/>
      </c>
    </row>
    <row r="84">
      <c r="X84" s="510">
        <f>IFERROR(INDEX(차트데이터!$A:$BZ,62,MATCH($Y$2,차트데이터!$1:$1,0)),"")</f>
        <v/>
      </c>
      <c r="Y84" s="511">
        <f>IFERROR(INDEX(차트데이터!$A:$BZ,62,MATCH($Y$2,차트데이터!$1:$1,0)+1),"")</f>
        <v/>
      </c>
      <c r="Z84">
        <f>$Y$2</f>
        <v/>
      </c>
    </row>
    <row r="85">
      <c r="X85" s="510">
        <f>IFERROR(INDEX(차트데이터!$A:$BZ,63,MATCH($Y$2,차트데이터!$1:$1,0)),"")</f>
        <v/>
      </c>
      <c r="Y85" s="511">
        <f>IFERROR(INDEX(차트데이터!$A:$BZ,63,MATCH($Y$2,차트데이터!$1:$1,0)+1),"")</f>
        <v/>
      </c>
      <c r="Z85">
        <f>$Y$2</f>
        <v/>
      </c>
    </row>
    <row r="86">
      <c r="X86" s="510">
        <f>IFERROR(INDEX(차트데이터!$A:$BZ,64,MATCH($Y$2,차트데이터!$1:$1,0)),"")</f>
        <v/>
      </c>
      <c r="Y86" s="511">
        <f>IFERROR(INDEX(차트데이터!$A:$BZ,64,MATCH($Y$2,차트데이터!$1:$1,0)+1),"")</f>
        <v/>
      </c>
      <c r="Z86">
        <f>$Y$2</f>
        <v/>
      </c>
    </row>
    <row r="87">
      <c r="X87" s="510">
        <f>IFERROR(INDEX(차트데이터!$A:$BZ,65,MATCH($Y$2,차트데이터!$1:$1,0)),"")</f>
        <v/>
      </c>
      <c r="Y87" s="511">
        <f>IFERROR(INDEX(차트데이터!$A:$BZ,65,MATCH($Y$2,차트데이터!$1:$1,0)+1),"")</f>
        <v/>
      </c>
      <c r="Z87">
        <f>$Y$2</f>
        <v/>
      </c>
    </row>
    <row r="88">
      <c r="X88" s="510">
        <f>IFERROR(INDEX(차트데이터!$A:$BZ,66,MATCH($Y$2,차트데이터!$1:$1,0)),"")</f>
        <v/>
      </c>
      <c r="Y88" s="511">
        <f>IFERROR(INDEX(차트데이터!$A:$BZ,66,MATCH($Y$2,차트데이터!$1:$1,0)+1),"")</f>
        <v/>
      </c>
      <c r="Z88">
        <f>$Y$2</f>
        <v/>
      </c>
    </row>
    <row r="89">
      <c r="X89" s="510">
        <f>IFERROR(INDEX(차트데이터!$A:$BZ,67,MATCH($Y$2,차트데이터!$1:$1,0)),"")</f>
        <v/>
      </c>
      <c r="Y89" s="511">
        <f>IFERROR(INDEX(차트데이터!$A:$BZ,67,MATCH($Y$2,차트데이터!$1:$1,0)+1),"")</f>
        <v/>
      </c>
      <c r="Z89">
        <f>$Y$2</f>
        <v/>
      </c>
    </row>
    <row r="90">
      <c r="X90" s="510">
        <f>IFERROR(INDEX(차트데이터!$A:$BZ,68,MATCH($Y$2,차트데이터!$1:$1,0)),"")</f>
        <v/>
      </c>
      <c r="Y90" s="511">
        <f>IFERROR(INDEX(차트데이터!$A:$BZ,68,MATCH($Y$2,차트데이터!$1:$1,0)+1),"")</f>
        <v/>
      </c>
      <c r="Z90">
        <f>$Y$2</f>
        <v/>
      </c>
    </row>
    <row r="91">
      <c r="X91" s="510">
        <f>IFERROR(INDEX(차트데이터!$A:$BZ,69,MATCH($Y$2,차트데이터!$1:$1,0)),"")</f>
        <v/>
      </c>
      <c r="Y91" s="511">
        <f>IFERROR(INDEX(차트데이터!$A:$BZ,69,MATCH($Y$2,차트데이터!$1:$1,0)+1),"")</f>
        <v/>
      </c>
      <c r="Z91">
        <f>$Y$2</f>
        <v/>
      </c>
    </row>
    <row r="92">
      <c r="X92" s="510">
        <f>IFERROR(INDEX(차트데이터!$A:$BZ,70,MATCH($Y$2,차트데이터!$1:$1,0)),"")</f>
        <v/>
      </c>
      <c r="Y92" s="511">
        <f>IFERROR(INDEX(차트데이터!$A:$BZ,70,MATCH($Y$2,차트데이터!$1:$1,0)+1),"")</f>
        <v/>
      </c>
      <c r="Z92">
        <f>$Y$2</f>
        <v/>
      </c>
    </row>
    <row r="93">
      <c r="X93" s="510">
        <f>IFERROR(INDEX(차트데이터!$A:$BZ,71,MATCH($Y$2,차트데이터!$1:$1,0)),"")</f>
        <v/>
      </c>
      <c r="Y93" s="511">
        <f>IFERROR(INDEX(차트데이터!$A:$BZ,71,MATCH($Y$2,차트데이터!$1:$1,0)+1),"")</f>
        <v/>
      </c>
      <c r="Z93">
        <f>$Y$2</f>
        <v/>
      </c>
    </row>
    <row r="94">
      <c r="X94" s="510">
        <f>IFERROR(INDEX(차트데이터!$A:$BZ,72,MATCH($Y$2,차트데이터!$1:$1,0)),"")</f>
        <v/>
      </c>
      <c r="Y94" s="511">
        <f>IFERROR(INDEX(차트데이터!$A:$BZ,72,MATCH($Y$2,차트데이터!$1:$1,0)+1),"")</f>
        <v/>
      </c>
      <c r="Z94">
        <f>$Y$2</f>
        <v/>
      </c>
    </row>
    <row r="95">
      <c r="X95" s="510">
        <f>IFERROR(INDEX(차트데이터!$A:$BZ,73,MATCH($Y$2,차트데이터!$1:$1,0)),"")</f>
        <v/>
      </c>
      <c r="Y95" s="511">
        <f>IFERROR(INDEX(차트데이터!$A:$BZ,73,MATCH($Y$2,차트데이터!$1:$1,0)+1),"")</f>
        <v/>
      </c>
      <c r="Z95">
        <f>$Y$2</f>
        <v/>
      </c>
    </row>
    <row r="96">
      <c r="X96" s="510">
        <f>IFERROR(INDEX(차트데이터!$A:$BZ,74,MATCH($Y$2,차트데이터!$1:$1,0)),"")</f>
        <v/>
      </c>
      <c r="Y96" s="511">
        <f>IFERROR(INDEX(차트데이터!$A:$BZ,74,MATCH($Y$2,차트데이터!$1:$1,0)+1),"")</f>
        <v/>
      </c>
      <c r="Z96">
        <f>$Y$2</f>
        <v/>
      </c>
    </row>
    <row r="97">
      <c r="X97" s="510">
        <f>IFERROR(INDEX(차트데이터!$A:$BZ,75,MATCH($Y$2,차트데이터!$1:$1,0)),"")</f>
        <v/>
      </c>
      <c r="Y97" s="511">
        <f>IFERROR(INDEX(차트데이터!$A:$BZ,75,MATCH($Y$2,차트데이터!$1:$1,0)+1),"")</f>
        <v/>
      </c>
      <c r="Z97">
        <f>$Y$2</f>
        <v/>
      </c>
    </row>
    <row r="98">
      <c r="X98" s="510">
        <f>IFERROR(INDEX(차트데이터!$A:$BZ,76,MATCH($Y$2,차트데이터!$1:$1,0)),"")</f>
        <v/>
      </c>
      <c r="Y98" s="511">
        <f>IFERROR(INDEX(차트데이터!$A:$BZ,76,MATCH($Y$2,차트데이터!$1:$1,0)+1),"")</f>
        <v/>
      </c>
      <c r="Z98">
        <f>$Y$2</f>
        <v/>
      </c>
    </row>
    <row r="99">
      <c r="X99" s="510">
        <f>IFERROR(INDEX(차트데이터!$A:$BZ,77,MATCH($Y$2,차트데이터!$1:$1,0)),"")</f>
        <v/>
      </c>
      <c r="Y99" s="511">
        <f>IFERROR(INDEX(차트데이터!$A:$BZ,77,MATCH($Y$2,차트데이터!$1:$1,0)+1),"")</f>
        <v/>
      </c>
      <c r="Z99">
        <f>$Y$2</f>
        <v/>
      </c>
    </row>
    <row r="100">
      <c r="X100" s="510">
        <f>IFERROR(INDEX(차트데이터!$A:$BZ,78,MATCH($Y$2,차트데이터!$1:$1,0)),"")</f>
        <v/>
      </c>
      <c r="Y100" s="511">
        <f>IFERROR(INDEX(차트데이터!$A:$BZ,78,MATCH($Y$2,차트데이터!$1:$1,0)+1),"")</f>
        <v/>
      </c>
      <c r="Z100">
        <f>$Y$2</f>
        <v/>
      </c>
    </row>
    <row r="101">
      <c r="X101" s="510">
        <f>IFERROR(INDEX(차트데이터!$A:$BZ,79,MATCH($Y$2,차트데이터!$1:$1,0)),"")</f>
        <v/>
      </c>
      <c r="Y101" s="511">
        <f>IFERROR(INDEX(차트데이터!$A:$BZ,79,MATCH($Y$2,차트데이터!$1:$1,0)+1),"")</f>
        <v/>
      </c>
      <c r="Z101">
        <f>$Y$2</f>
        <v/>
      </c>
    </row>
    <row r="102">
      <c r="X102" s="510">
        <f>IFERROR(INDEX(차트데이터!$A:$BZ,80,MATCH($Y$2,차트데이터!$1:$1,0)),"")</f>
        <v/>
      </c>
      <c r="Y102" s="511">
        <f>IFERROR(INDEX(차트데이터!$A:$BZ,80,MATCH($Y$2,차트데이터!$1:$1,0)+1),"")</f>
        <v/>
      </c>
      <c r="Z102">
        <f>$Y$2</f>
        <v/>
      </c>
    </row>
    <row r="103">
      <c r="X103" s="510">
        <f>IFERROR(INDEX(차트데이터!$A:$BZ,81,MATCH($Y$2,차트데이터!$1:$1,0)),"")</f>
        <v/>
      </c>
      <c r="Y103" s="511">
        <f>IFERROR(INDEX(차트데이터!$A:$BZ,81,MATCH($Y$2,차트데이터!$1:$1,0)+1),"")</f>
        <v/>
      </c>
      <c r="Z103">
        <f>$Y$2</f>
        <v/>
      </c>
    </row>
    <row r="104">
      <c r="X104" s="510">
        <f>IFERROR(INDEX(차트데이터!$A:$BZ,82,MATCH($Y$2,차트데이터!$1:$1,0)),"")</f>
        <v/>
      </c>
      <c r="Y104" s="511">
        <f>IFERROR(INDEX(차트데이터!$A:$BZ,82,MATCH($Y$2,차트데이터!$1:$1,0)+1),"")</f>
        <v/>
      </c>
      <c r="Z104">
        <f>$Y$2</f>
        <v/>
      </c>
    </row>
    <row r="105">
      <c r="X105" s="510">
        <f>IFERROR(INDEX(차트데이터!$A:$BZ,83,MATCH($Y$2,차트데이터!$1:$1,0)),"")</f>
        <v/>
      </c>
      <c r="Y105" s="511">
        <f>IFERROR(INDEX(차트데이터!$A:$BZ,83,MATCH($Y$2,차트데이터!$1:$1,0)+1),"")</f>
        <v/>
      </c>
      <c r="Z105">
        <f>$Y$2</f>
        <v/>
      </c>
    </row>
    <row r="106">
      <c r="X106" s="510">
        <f>IFERROR(INDEX(차트데이터!$A:$BZ,84,MATCH($Y$2,차트데이터!$1:$1,0)),"")</f>
        <v/>
      </c>
      <c r="Y106" s="511">
        <f>IFERROR(INDEX(차트데이터!$A:$BZ,84,MATCH($Y$2,차트데이터!$1:$1,0)+1),"")</f>
        <v/>
      </c>
      <c r="Z106">
        <f>$Y$2</f>
        <v/>
      </c>
    </row>
    <row r="107">
      <c r="X107" s="510">
        <f>IFERROR(INDEX(차트데이터!$A:$BZ,85,MATCH($Y$2,차트데이터!$1:$1,0)),"")</f>
        <v/>
      </c>
      <c r="Y107" s="511">
        <f>IFERROR(INDEX(차트데이터!$A:$BZ,85,MATCH($Y$2,차트데이터!$1:$1,0)+1),"")</f>
        <v/>
      </c>
      <c r="Z107">
        <f>$Y$2</f>
        <v/>
      </c>
    </row>
    <row r="108">
      <c r="X108" s="510">
        <f>IFERROR(INDEX(차트데이터!$A:$BZ,86,MATCH($Y$2,차트데이터!$1:$1,0)),"")</f>
        <v/>
      </c>
      <c r="Y108" s="511">
        <f>IFERROR(INDEX(차트데이터!$A:$BZ,86,MATCH($Y$2,차트데이터!$1:$1,0)+1),"")</f>
        <v/>
      </c>
      <c r="Z108">
        <f>$Y$2</f>
        <v/>
      </c>
    </row>
    <row r="109">
      <c r="X109" s="510">
        <f>IFERROR(INDEX(차트데이터!$A:$BZ,87,MATCH($Y$2,차트데이터!$1:$1,0)),"")</f>
        <v/>
      </c>
      <c r="Y109" s="511">
        <f>IFERROR(INDEX(차트데이터!$A:$BZ,87,MATCH($Y$2,차트데이터!$1:$1,0)+1),"")</f>
        <v/>
      </c>
      <c r="Z109">
        <f>$Y$2</f>
        <v/>
      </c>
    </row>
    <row r="110">
      <c r="X110" s="510">
        <f>IFERROR(INDEX(차트데이터!$A:$BZ,88,MATCH($Y$2,차트데이터!$1:$1,0)),"")</f>
        <v/>
      </c>
      <c r="Y110" s="511">
        <f>IFERROR(INDEX(차트데이터!$A:$BZ,88,MATCH($Y$2,차트데이터!$1:$1,0)+1),"")</f>
        <v/>
      </c>
      <c r="Z110">
        <f>$Y$2</f>
        <v/>
      </c>
    </row>
    <row r="111">
      <c r="X111" s="510">
        <f>IFERROR(INDEX(차트데이터!$A:$BZ,89,MATCH($Y$2,차트데이터!$1:$1,0)),"")</f>
        <v/>
      </c>
      <c r="Y111" s="511">
        <f>IFERROR(INDEX(차트데이터!$A:$BZ,89,MATCH($Y$2,차트데이터!$1:$1,0)+1),"")</f>
        <v/>
      </c>
      <c r="Z111">
        <f>$Y$2</f>
        <v/>
      </c>
    </row>
    <row r="112">
      <c r="X112" s="510">
        <f>IFERROR(INDEX(차트데이터!$A:$BZ,90,MATCH($Y$2,차트데이터!$1:$1,0)),"")</f>
        <v/>
      </c>
      <c r="Y112" s="511">
        <f>IFERROR(INDEX(차트데이터!$A:$BZ,90,MATCH($Y$2,차트데이터!$1:$1,0)+1),"")</f>
        <v/>
      </c>
      <c r="Z112">
        <f>$Y$2</f>
        <v/>
      </c>
    </row>
    <row r="113">
      <c r="X113" s="510">
        <f>IFERROR(INDEX(차트데이터!$A:$BZ,91,MATCH($Y$2,차트데이터!$1:$1,0)),"")</f>
        <v/>
      </c>
      <c r="Y113" s="511">
        <f>IFERROR(INDEX(차트데이터!$A:$BZ,91,MATCH($Y$2,차트데이터!$1:$1,0)+1),"")</f>
        <v/>
      </c>
      <c r="Z113">
        <f>$Y$2</f>
        <v/>
      </c>
    </row>
    <row r="114">
      <c r="X114" s="510">
        <f>IFERROR(INDEX(차트데이터!$A:$BZ,92,MATCH($Y$2,차트데이터!$1:$1,0)),"")</f>
        <v/>
      </c>
      <c r="Y114" s="511">
        <f>IFERROR(INDEX(차트데이터!$A:$BZ,92,MATCH($Y$2,차트데이터!$1:$1,0)+1),"")</f>
        <v/>
      </c>
      <c r="Z114">
        <f>$Y$2</f>
        <v/>
      </c>
    </row>
    <row r="115">
      <c r="X115" s="510">
        <f>IFERROR(INDEX(차트데이터!$A:$BZ,93,MATCH($Y$2,차트데이터!$1:$1,0)),"")</f>
        <v/>
      </c>
      <c r="Y115" s="511">
        <f>IFERROR(INDEX(차트데이터!$A:$BZ,93,MATCH($Y$2,차트데이터!$1:$1,0)+1),"")</f>
        <v/>
      </c>
      <c r="Z115">
        <f>$Y$2</f>
        <v/>
      </c>
    </row>
    <row r="116">
      <c r="X116" s="510">
        <f>IFERROR(INDEX(차트데이터!$A:$BZ,94,MATCH($Y$2,차트데이터!$1:$1,0)),"")</f>
        <v/>
      </c>
      <c r="Y116" s="511">
        <f>IFERROR(INDEX(차트데이터!$A:$BZ,94,MATCH($Y$2,차트데이터!$1:$1,0)+1),"")</f>
        <v/>
      </c>
      <c r="Z116">
        <f>$Y$2</f>
        <v/>
      </c>
    </row>
    <row r="117">
      <c r="X117" s="510">
        <f>IFERROR(INDEX(차트데이터!$A:$BZ,95,MATCH($Y$2,차트데이터!$1:$1,0)),"")</f>
        <v/>
      </c>
      <c r="Y117" s="511">
        <f>IFERROR(INDEX(차트데이터!$A:$BZ,95,MATCH($Y$2,차트데이터!$1:$1,0)+1),"")</f>
        <v/>
      </c>
      <c r="Z117">
        <f>$Y$2</f>
        <v/>
      </c>
    </row>
    <row r="118">
      <c r="X118" s="510">
        <f>IFERROR(INDEX(차트데이터!$A:$BZ,96,MATCH($Y$2,차트데이터!$1:$1,0)),"")</f>
        <v/>
      </c>
      <c r="Y118" s="511">
        <f>IFERROR(INDEX(차트데이터!$A:$BZ,96,MATCH($Y$2,차트데이터!$1:$1,0)+1),"")</f>
        <v/>
      </c>
      <c r="Z118">
        <f>$Y$2</f>
        <v/>
      </c>
    </row>
    <row r="119">
      <c r="X119" s="510">
        <f>IFERROR(INDEX(차트데이터!$A:$BZ,97,MATCH($Y$2,차트데이터!$1:$1,0)),"")</f>
        <v/>
      </c>
      <c r="Y119" s="511">
        <f>IFERROR(INDEX(차트데이터!$A:$BZ,97,MATCH($Y$2,차트데이터!$1:$1,0)+1),"")</f>
        <v/>
      </c>
      <c r="Z119">
        <f>$Y$2</f>
        <v/>
      </c>
    </row>
    <row r="120">
      <c r="X120" s="510">
        <f>IFERROR(INDEX(차트데이터!$A:$BZ,98,MATCH($Y$2,차트데이터!$1:$1,0)),"")</f>
        <v/>
      </c>
      <c r="Y120" s="511">
        <f>IFERROR(INDEX(차트데이터!$A:$BZ,98,MATCH($Y$2,차트데이터!$1:$1,0)+1),"")</f>
        <v/>
      </c>
      <c r="Z120">
        <f>$Y$2</f>
        <v/>
      </c>
    </row>
    <row r="121">
      <c r="X121" s="510">
        <f>IFERROR(INDEX(차트데이터!$A:$BZ,99,MATCH($Y$2,차트데이터!$1:$1,0)),"")</f>
        <v/>
      </c>
      <c r="Y121" s="511">
        <f>IFERROR(INDEX(차트데이터!$A:$BZ,99,MATCH($Y$2,차트데이터!$1:$1,0)+1),"")</f>
        <v/>
      </c>
      <c r="Z121">
        <f>$Y$2</f>
        <v/>
      </c>
    </row>
    <row r="122">
      <c r="X122" s="510">
        <f>IFERROR(INDEX(차트데이터!$A:$BZ,100,MATCH($Y$2,차트데이터!$1:$1,0)),"")</f>
        <v/>
      </c>
      <c r="Y122" s="511">
        <f>IFERROR(INDEX(차트데이터!$A:$BZ,100,MATCH($Y$2,차트데이터!$1:$1,0)+1),"")</f>
        <v/>
      </c>
      <c r="Z122">
        <f>$Y$2</f>
        <v/>
      </c>
    </row>
    <row r="123">
      <c r="X123" s="510">
        <f>IFERROR(INDEX(차트데이터!$A:$BZ,101,MATCH($Y$2,차트데이터!$1:$1,0)),"")</f>
        <v/>
      </c>
      <c r="Y123" s="511">
        <f>IFERROR(INDEX(차트데이터!$A:$BZ,101,MATCH($Y$2,차트데이터!$1:$1,0)+1),"")</f>
        <v/>
      </c>
      <c r="Z123">
        <f>$Y$2</f>
        <v/>
      </c>
    </row>
    <row r="124">
      <c r="X124" s="510">
        <f>IFERROR(INDEX(차트데이터!$A:$BZ,102,MATCH($Y$2,차트데이터!$1:$1,0)),"")</f>
        <v/>
      </c>
      <c r="Y124" s="511">
        <f>IFERROR(INDEX(차트데이터!$A:$BZ,102,MATCH($Y$2,차트데이터!$1:$1,0)+1),"")</f>
        <v/>
      </c>
      <c r="Z124">
        <f>$Y$2</f>
        <v/>
      </c>
    </row>
    <row r="125">
      <c r="X125" s="510">
        <f>IFERROR(INDEX(차트데이터!$A:$BZ,103,MATCH($Y$2,차트데이터!$1:$1,0)),"")</f>
        <v/>
      </c>
      <c r="Y125" s="511">
        <f>IFERROR(INDEX(차트데이터!$A:$BZ,103,MATCH($Y$2,차트데이터!$1:$1,0)+1),"")</f>
        <v/>
      </c>
      <c r="Z125">
        <f>$Y$2</f>
        <v/>
      </c>
    </row>
    <row r="126">
      <c r="X126" s="510">
        <f>IFERROR(INDEX(차트데이터!$A:$BZ,104,MATCH($Y$2,차트데이터!$1:$1,0)),"")</f>
        <v/>
      </c>
      <c r="Y126" s="511">
        <f>IFERROR(INDEX(차트데이터!$A:$BZ,104,MATCH($Y$2,차트데이터!$1:$1,0)+1),"")</f>
        <v/>
      </c>
      <c r="Z126">
        <f>$Y$2</f>
        <v/>
      </c>
    </row>
    <row r="127">
      <c r="X127" s="510">
        <f>IFERROR(INDEX(차트데이터!$A:$BZ,105,MATCH($Y$2,차트데이터!$1:$1,0)),"")</f>
        <v/>
      </c>
      <c r="Y127" s="511">
        <f>IFERROR(INDEX(차트데이터!$A:$BZ,105,MATCH($Y$2,차트데이터!$1:$1,0)+1),"")</f>
        <v/>
      </c>
      <c r="Z127">
        <f>$Y$2</f>
        <v/>
      </c>
    </row>
    <row r="128">
      <c r="X128" s="510">
        <f>IFERROR(INDEX(차트데이터!$A:$BZ,106,MATCH($Y$2,차트데이터!$1:$1,0)),"")</f>
        <v/>
      </c>
      <c r="Y128" s="511">
        <f>IFERROR(INDEX(차트데이터!$A:$BZ,106,MATCH($Y$2,차트데이터!$1:$1,0)+1),"")</f>
        <v/>
      </c>
      <c r="Z128">
        <f>$Y$2</f>
        <v/>
      </c>
    </row>
    <row r="129">
      <c r="X129" s="510">
        <f>IFERROR(INDEX(차트데이터!$A:$BZ,107,MATCH($Y$2,차트데이터!$1:$1,0)),"")</f>
        <v/>
      </c>
      <c r="Y129" s="511">
        <f>IFERROR(INDEX(차트데이터!$A:$BZ,107,MATCH($Y$2,차트데이터!$1:$1,0)+1),"")</f>
        <v/>
      </c>
      <c r="Z129">
        <f>$Y$2</f>
        <v/>
      </c>
    </row>
    <row r="130">
      <c r="X130" s="510">
        <f>IFERROR(INDEX(차트데이터!$A:$BZ,108,MATCH($Y$2,차트데이터!$1:$1,0)),"")</f>
        <v/>
      </c>
      <c r="Y130" s="511">
        <f>IFERROR(INDEX(차트데이터!$A:$BZ,108,MATCH($Y$2,차트데이터!$1:$1,0)+1),"")</f>
        <v/>
      </c>
      <c r="Z130">
        <f>$Y$2</f>
        <v/>
      </c>
    </row>
    <row r="131">
      <c r="X131" s="510">
        <f>IFERROR(INDEX(차트데이터!$A:$BZ,109,MATCH($Y$2,차트데이터!$1:$1,0)),"")</f>
        <v/>
      </c>
      <c r="Y131" s="511">
        <f>IFERROR(INDEX(차트데이터!$A:$BZ,109,MATCH($Y$2,차트데이터!$1:$1,0)+1),"")</f>
        <v/>
      </c>
      <c r="Z131">
        <f>$Y$2</f>
        <v/>
      </c>
    </row>
    <row r="132">
      <c r="X132" s="510">
        <f>IFERROR(INDEX(차트데이터!$A:$BZ,110,MATCH($Y$2,차트데이터!$1:$1,0)),"")</f>
        <v/>
      </c>
      <c r="Y132" s="511">
        <f>IFERROR(INDEX(차트데이터!$A:$BZ,110,MATCH($Y$2,차트데이터!$1:$1,0)+1),"")</f>
        <v/>
      </c>
      <c r="Z132">
        <f>$Y$2</f>
        <v/>
      </c>
    </row>
    <row r="133">
      <c r="X133" s="510">
        <f>IFERROR(INDEX(차트데이터!$A:$BZ,111,MATCH($Y$2,차트데이터!$1:$1,0)),"")</f>
        <v/>
      </c>
      <c r="Y133" s="511">
        <f>IFERROR(INDEX(차트데이터!$A:$BZ,111,MATCH($Y$2,차트데이터!$1:$1,0)+1),"")</f>
        <v/>
      </c>
      <c r="Z133">
        <f>$Y$2</f>
        <v/>
      </c>
    </row>
    <row r="134">
      <c r="X134" s="510">
        <f>IFERROR(INDEX(차트데이터!$A:$BZ,112,MATCH($Y$2,차트데이터!$1:$1,0)),"")</f>
        <v/>
      </c>
      <c r="Y134" s="511">
        <f>IFERROR(INDEX(차트데이터!$A:$BZ,112,MATCH($Y$2,차트데이터!$1:$1,0)+1),"")</f>
        <v/>
      </c>
      <c r="Z134">
        <f>$Y$2</f>
        <v/>
      </c>
    </row>
    <row r="135">
      <c r="X135" s="510">
        <f>IFERROR(INDEX(차트데이터!$A:$BZ,113,MATCH($Y$2,차트데이터!$1:$1,0)),"")</f>
        <v/>
      </c>
      <c r="Y135" s="511">
        <f>IFERROR(INDEX(차트데이터!$A:$BZ,113,MATCH($Y$2,차트데이터!$1:$1,0)+1),"")</f>
        <v/>
      </c>
      <c r="Z135">
        <f>$Y$2</f>
        <v/>
      </c>
    </row>
    <row r="136">
      <c r="X136" s="510">
        <f>IFERROR(INDEX(차트데이터!$A:$BZ,114,MATCH($Y$2,차트데이터!$1:$1,0)),"")</f>
        <v/>
      </c>
      <c r="Y136" s="511">
        <f>IFERROR(INDEX(차트데이터!$A:$BZ,114,MATCH($Y$2,차트데이터!$1:$1,0)+1),"")</f>
        <v/>
      </c>
      <c r="Z136">
        <f>$Y$2</f>
        <v/>
      </c>
    </row>
    <row r="137">
      <c r="X137" s="510">
        <f>IFERROR(INDEX(차트데이터!$A:$BZ,115,MATCH($Y$2,차트데이터!$1:$1,0)),"")</f>
        <v/>
      </c>
      <c r="Y137" s="511">
        <f>IFERROR(INDEX(차트데이터!$A:$BZ,115,MATCH($Y$2,차트데이터!$1:$1,0)+1),"")</f>
        <v/>
      </c>
      <c r="Z137">
        <f>$Y$2</f>
        <v/>
      </c>
    </row>
    <row r="138">
      <c r="X138" s="510">
        <f>IFERROR(INDEX(차트데이터!$A:$BZ,116,MATCH($Y$2,차트데이터!$1:$1,0)),"")</f>
        <v/>
      </c>
      <c r="Y138" s="511">
        <f>IFERROR(INDEX(차트데이터!$A:$BZ,116,MATCH($Y$2,차트데이터!$1:$1,0)+1),"")</f>
        <v/>
      </c>
      <c r="Z138">
        <f>$Y$2</f>
        <v/>
      </c>
    </row>
    <row r="139">
      <c r="X139" s="510">
        <f>IFERROR(INDEX(차트데이터!$A:$BZ,117,MATCH($Y$2,차트데이터!$1:$1,0)),"")</f>
        <v/>
      </c>
      <c r="Y139" s="511">
        <f>IFERROR(INDEX(차트데이터!$A:$BZ,117,MATCH($Y$2,차트데이터!$1:$1,0)+1),"")</f>
        <v/>
      </c>
      <c r="Z139">
        <f>$Y$2</f>
        <v/>
      </c>
    </row>
    <row r="140">
      <c r="X140" s="510">
        <f>IFERROR(INDEX(차트데이터!$A:$BZ,118,MATCH($Y$2,차트데이터!$1:$1,0)),"")</f>
        <v/>
      </c>
      <c r="Y140" s="511">
        <f>IFERROR(INDEX(차트데이터!$A:$BZ,118,MATCH($Y$2,차트데이터!$1:$1,0)+1),"")</f>
        <v/>
      </c>
      <c r="Z140">
        <f>$Y$2</f>
        <v/>
      </c>
    </row>
    <row r="141">
      <c r="X141" s="510">
        <f>IFERROR(INDEX(차트데이터!$A:$BZ,119,MATCH($Y$2,차트데이터!$1:$1,0)),"")</f>
        <v/>
      </c>
      <c r="Y141" s="511">
        <f>IFERROR(INDEX(차트데이터!$A:$BZ,119,MATCH($Y$2,차트데이터!$1:$1,0)+1),"")</f>
        <v/>
      </c>
      <c r="Z141">
        <f>$Y$2</f>
        <v/>
      </c>
    </row>
    <row r="142">
      <c r="X142" s="510">
        <f>IFERROR(INDEX(차트데이터!$A:$BZ,120,MATCH($Y$2,차트데이터!$1:$1,0)),"")</f>
        <v/>
      </c>
      <c r="Y142" s="511">
        <f>IFERROR(INDEX(차트데이터!$A:$BZ,120,MATCH($Y$2,차트데이터!$1:$1,0)+1),"")</f>
        <v/>
      </c>
      <c r="Z142">
        <f>$Y$2</f>
        <v/>
      </c>
    </row>
    <row r="143">
      <c r="X143" s="510">
        <f>IFERROR(INDEX(차트데이터!$A:$BZ,121,MATCH($Y$2,차트데이터!$1:$1,0)),"")</f>
        <v/>
      </c>
      <c r="Y143" s="511">
        <f>IFERROR(INDEX(차트데이터!$A:$BZ,121,MATCH($Y$2,차트데이터!$1:$1,0)+1),"")</f>
        <v/>
      </c>
      <c r="Z143">
        <f>$Y$2</f>
        <v/>
      </c>
    </row>
    <row r="144">
      <c r="X144" s="510">
        <f>IFERROR(INDEX(차트데이터!$A:$BZ,122,MATCH($Y$2,차트데이터!$1:$1,0)),"")</f>
        <v/>
      </c>
      <c r="Y144" s="511">
        <f>IFERROR(INDEX(차트데이터!$A:$BZ,122,MATCH($Y$2,차트데이터!$1:$1,0)+1),"")</f>
        <v/>
      </c>
      <c r="Z144">
        <f>$Y$2</f>
        <v/>
      </c>
    </row>
    <row r="145">
      <c r="X145" s="510">
        <f>IFERROR(INDEX(차트데이터!$A:$BZ,123,MATCH($Y$2,차트데이터!$1:$1,0)),"")</f>
        <v/>
      </c>
      <c r="Y145" s="511">
        <f>IFERROR(INDEX(차트데이터!$A:$BZ,123,MATCH($Y$2,차트데이터!$1:$1,0)+1),"")</f>
        <v/>
      </c>
      <c r="Z145">
        <f>$Y$2</f>
        <v/>
      </c>
    </row>
    <row r="146">
      <c r="X146" s="510">
        <f>IFERROR(INDEX(차트데이터!$A:$BZ,124,MATCH($Y$2,차트데이터!$1:$1,0)),"")</f>
        <v/>
      </c>
      <c r="Y146" s="511">
        <f>IFERROR(INDEX(차트데이터!$A:$BZ,124,MATCH($Y$2,차트데이터!$1:$1,0)+1),"")</f>
        <v/>
      </c>
      <c r="Z146">
        <f>$Y$2</f>
        <v/>
      </c>
    </row>
    <row r="147">
      <c r="X147" s="510">
        <f>IFERROR(INDEX(차트데이터!$A:$BZ,125,MATCH($Y$2,차트데이터!$1:$1,0)),"")</f>
        <v/>
      </c>
      <c r="Y147" s="511">
        <f>IFERROR(INDEX(차트데이터!$A:$BZ,125,MATCH($Y$2,차트데이터!$1:$1,0)+1),"")</f>
        <v/>
      </c>
      <c r="Z147">
        <f>$Y$2</f>
        <v/>
      </c>
    </row>
    <row r="148">
      <c r="X148" s="510">
        <f>IFERROR(INDEX(차트데이터!$A:$BZ,126,MATCH($Y$2,차트데이터!$1:$1,0)),"")</f>
        <v/>
      </c>
      <c r="Y148" s="511">
        <f>IFERROR(INDEX(차트데이터!$A:$BZ,126,MATCH($Y$2,차트데이터!$1:$1,0)+1),"")</f>
        <v/>
      </c>
      <c r="Z148">
        <f>$Y$2</f>
        <v/>
      </c>
    </row>
    <row r="149">
      <c r="X149" s="510">
        <f>IFERROR(INDEX(차트데이터!$A:$BZ,127,MATCH($Y$2,차트데이터!$1:$1,0)),"")</f>
        <v/>
      </c>
      <c r="Y149" s="511">
        <f>IFERROR(INDEX(차트데이터!$A:$BZ,127,MATCH($Y$2,차트데이터!$1:$1,0)+1),"")</f>
        <v/>
      </c>
      <c r="Z149">
        <f>$Y$2</f>
        <v/>
      </c>
    </row>
    <row r="150">
      <c r="X150" s="510">
        <f>IFERROR(INDEX(차트데이터!$A:$BZ,128,MATCH($Y$2,차트데이터!$1:$1,0)),"")</f>
        <v/>
      </c>
      <c r="Y150" s="511">
        <f>IFERROR(INDEX(차트데이터!$A:$BZ,128,MATCH($Y$2,차트데이터!$1:$1,0)+1),"")</f>
        <v/>
      </c>
      <c r="Z150">
        <f>$Y$2</f>
        <v/>
      </c>
    </row>
    <row r="151">
      <c r="X151" s="510">
        <f>IFERROR(INDEX(차트데이터!$A:$BZ,129,MATCH($Y$2,차트데이터!$1:$1,0)),"")</f>
        <v/>
      </c>
      <c r="Y151" s="511">
        <f>IFERROR(INDEX(차트데이터!$A:$BZ,129,MATCH($Y$2,차트데이터!$1:$1,0)+1),"")</f>
        <v/>
      </c>
      <c r="Z151">
        <f>$Y$2</f>
        <v/>
      </c>
    </row>
    <row r="152">
      <c r="X152" s="510">
        <f>IFERROR(INDEX(차트데이터!$A:$BZ,130,MATCH($Y$2,차트데이터!$1:$1,0)),"")</f>
        <v/>
      </c>
      <c r="Y152" s="511">
        <f>IFERROR(INDEX(차트데이터!$A:$BZ,130,MATCH($Y$2,차트데이터!$1:$1,0)+1),"")</f>
        <v/>
      </c>
      <c r="Z152">
        <f>$Y$2</f>
        <v/>
      </c>
    </row>
    <row r="153">
      <c r="X153" s="510">
        <f>IFERROR(INDEX(차트데이터!$A:$BZ,131,MATCH($Y$2,차트데이터!$1:$1,0)),"")</f>
        <v/>
      </c>
      <c r="Y153" s="511">
        <f>IFERROR(INDEX(차트데이터!$A:$BZ,131,MATCH($Y$2,차트데이터!$1:$1,0)+1),"")</f>
        <v/>
      </c>
      <c r="Z153">
        <f>$Y$2</f>
        <v/>
      </c>
    </row>
    <row r="154">
      <c r="X154" s="510">
        <f>IFERROR(INDEX(차트데이터!$A:$BZ,132,MATCH($Y$2,차트데이터!$1:$1,0)),"")</f>
        <v/>
      </c>
      <c r="Y154" s="511">
        <f>IFERROR(INDEX(차트데이터!$A:$BZ,132,MATCH($Y$2,차트데이터!$1:$1,0)+1),"")</f>
        <v/>
      </c>
      <c r="Z154">
        <f>$Y$2</f>
        <v/>
      </c>
    </row>
    <row r="155">
      <c r="X155" s="510">
        <f>IFERROR(INDEX(차트데이터!$A:$BZ,133,MATCH($Y$2,차트데이터!$1:$1,0)),"")</f>
        <v/>
      </c>
      <c r="Y155" s="511">
        <f>IFERROR(INDEX(차트데이터!$A:$BZ,133,MATCH($Y$2,차트데이터!$1:$1,0)+1),"")</f>
        <v/>
      </c>
      <c r="Z155">
        <f>$Y$2</f>
        <v/>
      </c>
    </row>
    <row r="156">
      <c r="X156" s="510">
        <f>IFERROR(INDEX(차트데이터!$A:$BZ,134,MATCH($Y$2,차트데이터!$1:$1,0)),"")</f>
        <v/>
      </c>
      <c r="Y156" s="511">
        <f>IFERROR(INDEX(차트데이터!$A:$BZ,134,MATCH($Y$2,차트데이터!$1:$1,0)+1),"")</f>
        <v/>
      </c>
      <c r="Z156">
        <f>$Y$2</f>
        <v/>
      </c>
    </row>
    <row r="157">
      <c r="X157" s="510">
        <f>IFERROR(INDEX(차트데이터!$A:$BZ,135,MATCH($Y$2,차트데이터!$1:$1,0)),"")</f>
        <v/>
      </c>
      <c r="Y157" s="511">
        <f>IFERROR(INDEX(차트데이터!$A:$BZ,135,MATCH($Y$2,차트데이터!$1:$1,0)+1),"")</f>
        <v/>
      </c>
      <c r="Z157">
        <f>$Y$2</f>
        <v/>
      </c>
    </row>
    <row r="158">
      <c r="X158" s="510">
        <f>IFERROR(INDEX(차트데이터!$A:$BZ,136,MATCH($Y$2,차트데이터!$1:$1,0)),"")</f>
        <v/>
      </c>
      <c r="Y158" s="511">
        <f>IFERROR(INDEX(차트데이터!$A:$BZ,136,MATCH($Y$2,차트데이터!$1:$1,0)+1),"")</f>
        <v/>
      </c>
      <c r="Z158">
        <f>$Y$2</f>
        <v/>
      </c>
    </row>
    <row r="159">
      <c r="X159" s="510">
        <f>IFERROR(INDEX(차트데이터!$A:$BZ,137,MATCH($Y$2,차트데이터!$1:$1,0)),"")</f>
        <v/>
      </c>
      <c r="Y159" s="511">
        <f>IFERROR(INDEX(차트데이터!$A:$BZ,137,MATCH($Y$2,차트데이터!$1:$1,0)+1),"")</f>
        <v/>
      </c>
      <c r="Z159">
        <f>$Y$2</f>
        <v/>
      </c>
    </row>
    <row r="160">
      <c r="X160" s="510">
        <f>IFERROR(INDEX(차트데이터!$A:$BZ,138,MATCH($Y$2,차트데이터!$1:$1,0)),"")</f>
        <v/>
      </c>
      <c r="Y160" s="511">
        <f>IFERROR(INDEX(차트데이터!$A:$BZ,138,MATCH($Y$2,차트데이터!$1:$1,0)+1),"")</f>
        <v/>
      </c>
      <c r="Z160">
        <f>$Y$2</f>
        <v/>
      </c>
    </row>
    <row r="161">
      <c r="X161" s="510">
        <f>IFERROR(INDEX(차트데이터!$A:$BZ,139,MATCH($Y$2,차트데이터!$1:$1,0)),"")</f>
        <v/>
      </c>
      <c r="Y161" s="511">
        <f>IFERROR(INDEX(차트데이터!$A:$BZ,139,MATCH($Y$2,차트데이터!$1:$1,0)+1),"")</f>
        <v/>
      </c>
      <c r="Z161">
        <f>$Y$2</f>
        <v/>
      </c>
    </row>
    <row r="162">
      <c r="X162" s="510">
        <f>IFERROR(INDEX(차트데이터!$A:$BZ,140,MATCH($Y$2,차트데이터!$1:$1,0)),"")</f>
        <v/>
      </c>
      <c r="Y162" s="511">
        <f>IFERROR(INDEX(차트데이터!$A:$BZ,140,MATCH($Y$2,차트데이터!$1:$1,0)+1),"")</f>
        <v/>
      </c>
      <c r="Z162">
        <f>$Y$2</f>
        <v/>
      </c>
    </row>
    <row r="163">
      <c r="X163" s="510">
        <f>IFERROR(INDEX(차트데이터!$A:$BZ,141,MATCH($Y$2,차트데이터!$1:$1,0)),"")</f>
        <v/>
      </c>
      <c r="Y163" s="511">
        <f>IFERROR(INDEX(차트데이터!$A:$BZ,141,MATCH($Y$2,차트데이터!$1:$1,0)+1),"")</f>
        <v/>
      </c>
      <c r="Z163">
        <f>$Y$2</f>
        <v/>
      </c>
    </row>
    <row r="164">
      <c r="X164" s="510">
        <f>IFERROR(INDEX(차트데이터!$A:$BZ,142,MATCH($Y$2,차트데이터!$1:$1,0)),"")</f>
        <v/>
      </c>
      <c r="Y164" s="511">
        <f>IFERROR(INDEX(차트데이터!$A:$BZ,142,MATCH($Y$2,차트데이터!$1:$1,0)+1),"")</f>
        <v/>
      </c>
      <c r="Z164">
        <f>$Y$2</f>
        <v/>
      </c>
    </row>
    <row r="165">
      <c r="X165" s="510">
        <f>IFERROR(INDEX(차트데이터!$A:$BZ,143,MATCH($Y$2,차트데이터!$1:$1,0)),"")</f>
        <v/>
      </c>
      <c r="Y165" s="511">
        <f>IFERROR(INDEX(차트데이터!$A:$BZ,143,MATCH($Y$2,차트데이터!$1:$1,0)+1),"")</f>
        <v/>
      </c>
      <c r="Z165">
        <f>$Y$2</f>
        <v/>
      </c>
    </row>
    <row r="166">
      <c r="X166" s="510">
        <f>IFERROR(INDEX(차트데이터!$A:$BZ,144,MATCH($Y$2,차트데이터!$1:$1,0)),"")</f>
        <v/>
      </c>
      <c r="Y166" s="511">
        <f>IFERROR(INDEX(차트데이터!$A:$BZ,144,MATCH($Y$2,차트데이터!$1:$1,0)+1),"")</f>
        <v/>
      </c>
      <c r="Z166">
        <f>$Y$2</f>
        <v/>
      </c>
    </row>
    <row r="167">
      <c r="X167" s="510">
        <f>IFERROR(INDEX(차트데이터!$A:$BZ,145,MATCH($Y$2,차트데이터!$1:$1,0)),"")</f>
        <v/>
      </c>
      <c r="Y167" s="511">
        <f>IFERROR(INDEX(차트데이터!$A:$BZ,145,MATCH($Y$2,차트데이터!$1:$1,0)+1),"")</f>
        <v/>
      </c>
      <c r="Z167">
        <f>$Y$2</f>
        <v/>
      </c>
    </row>
    <row r="168">
      <c r="X168" s="510">
        <f>IFERROR(INDEX(차트데이터!$A:$BZ,146,MATCH($Y$2,차트데이터!$1:$1,0)),"")</f>
        <v/>
      </c>
      <c r="Y168" s="511">
        <f>IFERROR(INDEX(차트데이터!$A:$BZ,146,MATCH($Y$2,차트데이터!$1:$1,0)+1),"")</f>
        <v/>
      </c>
      <c r="Z168">
        <f>$Y$2</f>
        <v/>
      </c>
    </row>
    <row r="169">
      <c r="X169" s="510">
        <f>IFERROR(INDEX(차트데이터!$A:$BZ,147,MATCH($Y$2,차트데이터!$1:$1,0)),"")</f>
        <v/>
      </c>
      <c r="Y169" s="511">
        <f>IFERROR(INDEX(차트데이터!$A:$BZ,147,MATCH($Y$2,차트데이터!$1:$1,0)+1),"")</f>
        <v/>
      </c>
      <c r="Z169">
        <f>$Y$2</f>
        <v/>
      </c>
    </row>
    <row r="170">
      <c r="X170" s="510">
        <f>IFERROR(INDEX(차트데이터!$A:$BZ,148,MATCH($Y$2,차트데이터!$1:$1,0)),"")</f>
        <v/>
      </c>
      <c r="Y170" s="511">
        <f>IFERROR(INDEX(차트데이터!$A:$BZ,148,MATCH($Y$2,차트데이터!$1:$1,0)+1),"")</f>
        <v/>
      </c>
      <c r="Z170">
        <f>$Y$2</f>
        <v/>
      </c>
    </row>
    <row r="171">
      <c r="X171" s="510">
        <f>IFERROR(INDEX(차트데이터!$A:$BZ,149,MATCH($Y$2,차트데이터!$1:$1,0)),"")</f>
        <v/>
      </c>
      <c r="Y171" s="511">
        <f>IFERROR(INDEX(차트데이터!$A:$BZ,149,MATCH($Y$2,차트데이터!$1:$1,0)+1),"")</f>
        <v/>
      </c>
      <c r="Z171">
        <f>$Y$2</f>
        <v/>
      </c>
    </row>
    <row r="172">
      <c r="X172" s="510">
        <f>IFERROR(INDEX(차트데이터!$A:$BZ,150,MATCH($Y$2,차트데이터!$1:$1,0)),"")</f>
        <v/>
      </c>
      <c r="Y172" s="511">
        <f>IFERROR(INDEX(차트데이터!$A:$BZ,150,MATCH($Y$2,차트데이터!$1:$1,0)+1),"")</f>
        <v/>
      </c>
      <c r="Z172">
        <f>$Y$2</f>
        <v/>
      </c>
    </row>
    <row r="173">
      <c r="X173" s="510">
        <f>IFERROR(INDEX(차트데이터!$A:$BZ,151,MATCH($Y$2,차트데이터!$1:$1,0)),"")</f>
        <v/>
      </c>
      <c r="Y173" s="511">
        <f>IFERROR(INDEX(차트데이터!$A:$BZ,151,MATCH($Y$2,차트데이터!$1:$1,0)+1),"")</f>
        <v/>
      </c>
      <c r="Z173">
        <f>$Y$2</f>
        <v/>
      </c>
    </row>
    <row r="174">
      <c r="X174" s="510">
        <f>IFERROR(INDEX(차트데이터!$A:$BZ,152,MATCH($Y$2,차트데이터!$1:$1,0)),"")</f>
        <v/>
      </c>
      <c r="Y174" s="511">
        <f>IFERROR(INDEX(차트데이터!$A:$BZ,152,MATCH($Y$2,차트데이터!$1:$1,0)+1),"")</f>
        <v/>
      </c>
      <c r="Z174">
        <f>$Y$2</f>
        <v/>
      </c>
    </row>
    <row r="175">
      <c r="X175" s="510">
        <f>IFERROR(INDEX(차트데이터!$A:$BZ,153,MATCH($Y$2,차트데이터!$1:$1,0)),"")</f>
        <v/>
      </c>
      <c r="Y175" s="511">
        <f>IFERROR(INDEX(차트데이터!$A:$BZ,153,MATCH($Y$2,차트데이터!$1:$1,0)+1),"")</f>
        <v/>
      </c>
      <c r="Z175">
        <f>$Y$2</f>
        <v/>
      </c>
    </row>
    <row r="176">
      <c r="X176" s="510">
        <f>IFERROR(INDEX(차트데이터!$A:$BZ,154,MATCH($Y$2,차트데이터!$1:$1,0)),"")</f>
        <v/>
      </c>
      <c r="Y176" s="511">
        <f>IFERROR(INDEX(차트데이터!$A:$BZ,154,MATCH($Y$2,차트데이터!$1:$1,0)+1),"")</f>
        <v/>
      </c>
      <c r="Z176">
        <f>$Y$2</f>
        <v/>
      </c>
    </row>
    <row r="177">
      <c r="X177" s="510">
        <f>IFERROR(INDEX(차트데이터!$A:$BZ,155,MATCH($Y$2,차트데이터!$1:$1,0)),"")</f>
        <v/>
      </c>
      <c r="Y177" s="511">
        <f>IFERROR(INDEX(차트데이터!$A:$BZ,155,MATCH($Y$2,차트데이터!$1:$1,0)+1),"")</f>
        <v/>
      </c>
      <c r="Z177">
        <f>$Y$2</f>
        <v/>
      </c>
    </row>
    <row r="178">
      <c r="X178" s="510">
        <f>IFERROR(INDEX(차트데이터!$A:$BZ,156,MATCH($Y$2,차트데이터!$1:$1,0)),"")</f>
        <v/>
      </c>
      <c r="Y178" s="511">
        <f>IFERROR(INDEX(차트데이터!$A:$BZ,156,MATCH($Y$2,차트데이터!$1:$1,0)+1),"")</f>
        <v/>
      </c>
      <c r="Z178">
        <f>$Y$2</f>
        <v/>
      </c>
    </row>
    <row r="179">
      <c r="X179" s="510">
        <f>IFERROR(INDEX(차트데이터!$A:$BZ,157,MATCH($Y$2,차트데이터!$1:$1,0)),"")</f>
        <v/>
      </c>
      <c r="Y179" s="511">
        <f>IFERROR(INDEX(차트데이터!$A:$BZ,157,MATCH($Y$2,차트데이터!$1:$1,0)+1),"")</f>
        <v/>
      </c>
      <c r="Z179">
        <f>$Y$2</f>
        <v/>
      </c>
    </row>
    <row r="180">
      <c r="X180" s="510">
        <f>IFERROR(INDEX(차트데이터!$A:$BZ,158,MATCH($Y$2,차트데이터!$1:$1,0)),"")</f>
        <v/>
      </c>
      <c r="Y180" s="511">
        <f>IFERROR(INDEX(차트데이터!$A:$BZ,158,MATCH($Y$2,차트데이터!$1:$1,0)+1),"")</f>
        <v/>
      </c>
      <c r="Z180">
        <f>$Y$2</f>
        <v/>
      </c>
    </row>
    <row r="181">
      <c r="X181" s="510">
        <f>IFERROR(INDEX(차트데이터!$A:$BZ,159,MATCH($Y$2,차트데이터!$1:$1,0)),"")</f>
        <v/>
      </c>
      <c r="Y181" s="511">
        <f>IFERROR(INDEX(차트데이터!$A:$BZ,159,MATCH($Y$2,차트데이터!$1:$1,0)+1),"")</f>
        <v/>
      </c>
      <c r="Z181">
        <f>$Y$2</f>
        <v/>
      </c>
    </row>
    <row r="182">
      <c r="X182" s="510">
        <f>IFERROR(INDEX(차트데이터!$A:$BZ,160,MATCH($Y$2,차트데이터!$1:$1,0)),"")</f>
        <v/>
      </c>
      <c r="Y182" s="511">
        <f>IFERROR(INDEX(차트데이터!$A:$BZ,160,MATCH($Y$2,차트데이터!$1:$1,0)+1),"")</f>
        <v/>
      </c>
      <c r="Z182">
        <f>$Y$2</f>
        <v/>
      </c>
    </row>
    <row r="183">
      <c r="X183" s="510">
        <f>IFERROR(INDEX(차트데이터!$A:$BZ,161,MATCH($Y$2,차트데이터!$1:$1,0)),"")</f>
        <v/>
      </c>
      <c r="Y183" s="511">
        <f>IFERROR(INDEX(차트데이터!$A:$BZ,161,MATCH($Y$2,차트데이터!$1:$1,0)+1),"")</f>
        <v/>
      </c>
      <c r="Z183">
        <f>$Y$2</f>
        <v/>
      </c>
    </row>
    <row r="184">
      <c r="X184" s="510">
        <f>IFERROR(INDEX(차트데이터!$A:$BZ,162,MATCH($Y$2,차트데이터!$1:$1,0)),"")</f>
        <v/>
      </c>
      <c r="Y184" s="511">
        <f>IFERROR(INDEX(차트데이터!$A:$BZ,162,MATCH($Y$2,차트데이터!$1:$1,0)+1),"")</f>
        <v/>
      </c>
      <c r="Z184">
        <f>$Y$2</f>
        <v/>
      </c>
    </row>
    <row r="185">
      <c r="X185" s="510">
        <f>IFERROR(INDEX(차트데이터!$A:$BZ,163,MATCH($Y$2,차트데이터!$1:$1,0)),"")</f>
        <v/>
      </c>
      <c r="Y185" s="511">
        <f>IFERROR(INDEX(차트데이터!$A:$BZ,163,MATCH($Y$2,차트데이터!$1:$1,0)+1),"")</f>
        <v/>
      </c>
      <c r="Z185">
        <f>$Y$2</f>
        <v/>
      </c>
    </row>
    <row r="186">
      <c r="X186" s="510">
        <f>IFERROR(INDEX(차트데이터!$A:$BZ,164,MATCH($Y$2,차트데이터!$1:$1,0)),"")</f>
        <v/>
      </c>
      <c r="Y186" s="511">
        <f>IFERROR(INDEX(차트데이터!$A:$BZ,164,MATCH($Y$2,차트데이터!$1:$1,0)+1),"")</f>
        <v/>
      </c>
      <c r="Z186">
        <f>$Y$2</f>
        <v/>
      </c>
    </row>
    <row r="187">
      <c r="X187" s="510">
        <f>IFERROR(INDEX(차트데이터!$A:$BZ,165,MATCH($Y$2,차트데이터!$1:$1,0)),"")</f>
        <v/>
      </c>
      <c r="Y187" s="511">
        <f>IFERROR(INDEX(차트데이터!$A:$BZ,165,MATCH($Y$2,차트데이터!$1:$1,0)+1),"")</f>
        <v/>
      </c>
      <c r="Z187">
        <f>$Y$2</f>
        <v/>
      </c>
    </row>
    <row r="188">
      <c r="X188" s="510">
        <f>IFERROR(INDEX(차트데이터!$A:$BZ,166,MATCH($Y$2,차트데이터!$1:$1,0)),"")</f>
        <v/>
      </c>
      <c r="Y188" s="511">
        <f>IFERROR(INDEX(차트데이터!$A:$BZ,166,MATCH($Y$2,차트데이터!$1:$1,0)+1),"")</f>
        <v/>
      </c>
      <c r="Z188">
        <f>$Y$2</f>
        <v/>
      </c>
    </row>
    <row r="189">
      <c r="X189" s="510">
        <f>IFERROR(INDEX(차트데이터!$A:$BZ,167,MATCH($Y$2,차트데이터!$1:$1,0)),"")</f>
        <v/>
      </c>
      <c r="Y189" s="511">
        <f>IFERROR(INDEX(차트데이터!$A:$BZ,167,MATCH($Y$2,차트데이터!$1:$1,0)+1),"")</f>
        <v/>
      </c>
      <c r="Z189">
        <f>$Y$2</f>
        <v/>
      </c>
    </row>
    <row r="190">
      <c r="X190" s="510">
        <f>IFERROR(INDEX(차트데이터!$A:$BZ,168,MATCH($Y$2,차트데이터!$1:$1,0)),"")</f>
        <v/>
      </c>
      <c r="Y190" s="511">
        <f>IFERROR(INDEX(차트데이터!$A:$BZ,168,MATCH($Y$2,차트데이터!$1:$1,0)+1),"")</f>
        <v/>
      </c>
      <c r="Z190">
        <f>$Y$2</f>
        <v/>
      </c>
    </row>
    <row r="191">
      <c r="X191" s="510">
        <f>IFERROR(INDEX(차트데이터!$A:$BZ,169,MATCH($Y$2,차트데이터!$1:$1,0)),"")</f>
        <v/>
      </c>
      <c r="Y191" s="511">
        <f>IFERROR(INDEX(차트데이터!$A:$BZ,169,MATCH($Y$2,차트데이터!$1:$1,0)+1),"")</f>
        <v/>
      </c>
      <c r="Z191">
        <f>$Y$2</f>
        <v/>
      </c>
    </row>
    <row r="192">
      <c r="X192" s="510">
        <f>IFERROR(INDEX(차트데이터!$A:$BZ,170,MATCH($Y$2,차트데이터!$1:$1,0)),"")</f>
        <v/>
      </c>
      <c r="Y192" s="511">
        <f>IFERROR(INDEX(차트데이터!$A:$BZ,170,MATCH($Y$2,차트데이터!$1:$1,0)+1),"")</f>
        <v/>
      </c>
      <c r="Z192">
        <f>$Y$2</f>
        <v/>
      </c>
    </row>
    <row r="193">
      <c r="X193" s="510">
        <f>IFERROR(INDEX(차트데이터!$A:$BZ,171,MATCH($Y$2,차트데이터!$1:$1,0)),"")</f>
        <v/>
      </c>
      <c r="Y193" s="511">
        <f>IFERROR(INDEX(차트데이터!$A:$BZ,171,MATCH($Y$2,차트데이터!$1:$1,0)+1),"")</f>
        <v/>
      </c>
      <c r="Z193">
        <f>$Y$2</f>
        <v/>
      </c>
    </row>
    <row r="194">
      <c r="X194" s="510">
        <f>IFERROR(INDEX(차트데이터!$A:$BZ,172,MATCH($Y$2,차트데이터!$1:$1,0)),"")</f>
        <v/>
      </c>
      <c r="Y194" s="511">
        <f>IFERROR(INDEX(차트데이터!$A:$BZ,172,MATCH($Y$2,차트데이터!$1:$1,0)+1),"")</f>
        <v/>
      </c>
      <c r="Z194">
        <f>$Y$2</f>
        <v/>
      </c>
    </row>
    <row r="195">
      <c r="X195" s="510">
        <f>IFERROR(INDEX(차트데이터!$A:$BZ,173,MATCH($Y$2,차트데이터!$1:$1,0)),"")</f>
        <v/>
      </c>
      <c r="Y195" s="511">
        <f>IFERROR(INDEX(차트데이터!$A:$BZ,173,MATCH($Y$2,차트데이터!$1:$1,0)+1),"")</f>
        <v/>
      </c>
      <c r="Z195">
        <f>$Y$2</f>
        <v/>
      </c>
    </row>
    <row r="196">
      <c r="X196" s="510">
        <f>IFERROR(INDEX(차트데이터!$A:$BZ,174,MATCH($Y$2,차트데이터!$1:$1,0)),"")</f>
        <v/>
      </c>
      <c r="Y196" s="511">
        <f>IFERROR(INDEX(차트데이터!$A:$BZ,174,MATCH($Y$2,차트데이터!$1:$1,0)+1),"")</f>
        <v/>
      </c>
      <c r="Z196">
        <f>$Y$2</f>
        <v/>
      </c>
    </row>
    <row r="197">
      <c r="X197" s="510">
        <f>IFERROR(INDEX(차트데이터!$A:$BZ,175,MATCH($Y$2,차트데이터!$1:$1,0)),"")</f>
        <v/>
      </c>
      <c r="Y197" s="511">
        <f>IFERROR(INDEX(차트데이터!$A:$BZ,175,MATCH($Y$2,차트데이터!$1:$1,0)+1),"")</f>
        <v/>
      </c>
      <c r="Z197">
        <f>$Y$2</f>
        <v/>
      </c>
    </row>
    <row r="198">
      <c r="X198" s="510">
        <f>IFERROR(INDEX(차트데이터!$A:$BZ,176,MATCH($Y$2,차트데이터!$1:$1,0)),"")</f>
        <v/>
      </c>
      <c r="Y198" s="511">
        <f>IFERROR(INDEX(차트데이터!$A:$BZ,176,MATCH($Y$2,차트데이터!$1:$1,0)+1),"")</f>
        <v/>
      </c>
      <c r="Z198">
        <f>$Y$2</f>
        <v/>
      </c>
    </row>
    <row r="199">
      <c r="X199" s="510">
        <f>IFERROR(INDEX(차트데이터!$A:$BZ,177,MATCH($Y$2,차트데이터!$1:$1,0)),"")</f>
        <v/>
      </c>
      <c r="Y199" s="511">
        <f>IFERROR(INDEX(차트데이터!$A:$BZ,177,MATCH($Y$2,차트데이터!$1:$1,0)+1),"")</f>
        <v/>
      </c>
      <c r="Z199">
        <f>$Y$2</f>
        <v/>
      </c>
    </row>
    <row r="200">
      <c r="X200" s="510">
        <f>IFERROR(INDEX(차트데이터!$A:$BZ,178,MATCH($Y$2,차트데이터!$1:$1,0)),"")</f>
        <v/>
      </c>
      <c r="Y200" s="511">
        <f>IFERROR(INDEX(차트데이터!$A:$BZ,178,MATCH($Y$2,차트데이터!$1:$1,0)+1),"")</f>
        <v/>
      </c>
      <c r="Z200">
        <f>$Y$2</f>
        <v/>
      </c>
    </row>
    <row r="201">
      <c r="X201" s="510">
        <f>IFERROR(INDEX(차트데이터!$A:$BZ,179,MATCH($Y$2,차트데이터!$1:$1,0)),"")</f>
        <v/>
      </c>
      <c r="Y201" s="511">
        <f>IFERROR(INDEX(차트데이터!$A:$BZ,179,MATCH($Y$2,차트데이터!$1:$1,0)+1),"")</f>
        <v/>
      </c>
      <c r="Z201">
        <f>$Y$2</f>
        <v/>
      </c>
    </row>
    <row r="202">
      <c r="X202" s="510">
        <f>IFERROR(INDEX(차트데이터!$A:$BZ,180,MATCH($Y$2,차트데이터!$1:$1,0)),"")</f>
        <v/>
      </c>
      <c r="Y202" s="511">
        <f>IFERROR(INDEX(차트데이터!$A:$BZ,180,MATCH($Y$2,차트데이터!$1:$1,0)+1),"")</f>
        <v/>
      </c>
      <c r="Z202">
        <f>$Y$2</f>
        <v/>
      </c>
    </row>
    <row r="203">
      <c r="X203" s="510">
        <f>IFERROR(INDEX(차트데이터!$A:$BZ,181,MATCH($Y$2,차트데이터!$1:$1,0)),"")</f>
        <v/>
      </c>
      <c r="Y203" s="511">
        <f>IFERROR(INDEX(차트데이터!$A:$BZ,181,MATCH($Y$2,차트데이터!$1:$1,0)+1),"")</f>
        <v/>
      </c>
      <c r="Z203">
        <f>$Y$2</f>
        <v/>
      </c>
    </row>
    <row r="204">
      <c r="X204" s="510">
        <f>IFERROR(INDEX(차트데이터!$A:$BZ,182,MATCH($Y$2,차트데이터!$1:$1,0)),"")</f>
        <v/>
      </c>
      <c r="Y204" s="511">
        <f>IFERROR(INDEX(차트데이터!$A:$BZ,182,MATCH($Y$2,차트데이터!$1:$1,0)+1),"")</f>
        <v/>
      </c>
      <c r="Z204">
        <f>$Y$2</f>
        <v/>
      </c>
    </row>
    <row r="205">
      <c r="X205" s="510">
        <f>IFERROR(INDEX(차트데이터!$A:$BZ,183,MATCH($Y$2,차트데이터!$1:$1,0)),"")</f>
        <v/>
      </c>
      <c r="Y205" s="511">
        <f>IFERROR(INDEX(차트데이터!$A:$BZ,183,MATCH($Y$2,차트데이터!$1:$1,0)+1),"")</f>
        <v/>
      </c>
      <c r="Z205">
        <f>$Y$2</f>
        <v/>
      </c>
    </row>
    <row r="206">
      <c r="X206" s="510">
        <f>IFERROR(INDEX(차트데이터!$A:$BZ,184,MATCH($Y$2,차트데이터!$1:$1,0)),"")</f>
        <v/>
      </c>
      <c r="Y206" s="511">
        <f>IFERROR(INDEX(차트데이터!$A:$BZ,184,MATCH($Y$2,차트데이터!$1:$1,0)+1),"")</f>
        <v/>
      </c>
      <c r="Z206">
        <f>$Y$2</f>
        <v/>
      </c>
    </row>
    <row r="207">
      <c r="X207" s="510">
        <f>IFERROR(INDEX(차트데이터!$A:$BZ,185,MATCH($Y$2,차트데이터!$1:$1,0)),"")</f>
        <v/>
      </c>
      <c r="Y207" s="511">
        <f>IFERROR(INDEX(차트데이터!$A:$BZ,185,MATCH($Y$2,차트데이터!$1:$1,0)+1),"")</f>
        <v/>
      </c>
      <c r="Z207">
        <f>$Y$2</f>
        <v/>
      </c>
    </row>
    <row r="208">
      <c r="X208" s="510">
        <f>IFERROR(INDEX(차트데이터!$A:$BZ,186,MATCH($Y$2,차트데이터!$1:$1,0)),"")</f>
        <v/>
      </c>
      <c r="Y208" s="511">
        <f>IFERROR(INDEX(차트데이터!$A:$BZ,186,MATCH($Y$2,차트데이터!$1:$1,0)+1),"")</f>
        <v/>
      </c>
      <c r="Z208">
        <f>$Y$2</f>
        <v/>
      </c>
    </row>
    <row r="209">
      <c r="X209" s="510">
        <f>IFERROR(INDEX(차트데이터!$A:$BZ,187,MATCH($Y$2,차트데이터!$1:$1,0)),"")</f>
        <v/>
      </c>
      <c r="Y209" s="511">
        <f>IFERROR(INDEX(차트데이터!$A:$BZ,187,MATCH($Y$2,차트데이터!$1:$1,0)+1),"")</f>
        <v/>
      </c>
      <c r="Z209">
        <f>$Y$2</f>
        <v/>
      </c>
    </row>
    <row r="210">
      <c r="X210" s="510">
        <f>IFERROR(INDEX(차트데이터!$A:$BZ,188,MATCH($Y$2,차트데이터!$1:$1,0)),"")</f>
        <v/>
      </c>
      <c r="Y210" s="511">
        <f>IFERROR(INDEX(차트데이터!$A:$BZ,188,MATCH($Y$2,차트데이터!$1:$1,0)+1),"")</f>
        <v/>
      </c>
      <c r="Z210">
        <f>$Y$2</f>
        <v/>
      </c>
    </row>
    <row r="211">
      <c r="X211" s="510">
        <f>IFERROR(INDEX(차트데이터!$A:$BZ,189,MATCH($Y$2,차트데이터!$1:$1,0)),"")</f>
        <v/>
      </c>
      <c r="Y211" s="511">
        <f>IFERROR(INDEX(차트데이터!$A:$BZ,189,MATCH($Y$2,차트데이터!$1:$1,0)+1),"")</f>
        <v/>
      </c>
      <c r="Z211">
        <f>$Y$2</f>
        <v/>
      </c>
    </row>
    <row r="212">
      <c r="X212" s="510">
        <f>IFERROR(INDEX(차트데이터!$A:$BZ,190,MATCH($Y$2,차트데이터!$1:$1,0)),"")</f>
        <v/>
      </c>
      <c r="Y212" s="511">
        <f>IFERROR(INDEX(차트데이터!$A:$BZ,190,MATCH($Y$2,차트데이터!$1:$1,0)+1),"")</f>
        <v/>
      </c>
      <c r="Z212">
        <f>$Y$2</f>
        <v/>
      </c>
    </row>
    <row r="213">
      <c r="X213" s="510">
        <f>IFERROR(INDEX(차트데이터!$A:$BZ,191,MATCH($Y$2,차트데이터!$1:$1,0)),"")</f>
        <v/>
      </c>
      <c r="Y213" s="511">
        <f>IFERROR(INDEX(차트데이터!$A:$BZ,191,MATCH($Y$2,차트데이터!$1:$1,0)+1),"")</f>
        <v/>
      </c>
      <c r="Z213">
        <f>$Y$2</f>
        <v/>
      </c>
    </row>
    <row r="214">
      <c r="X214" s="510">
        <f>IFERROR(INDEX(차트데이터!$A:$BZ,192,MATCH($Y$2,차트데이터!$1:$1,0)),"")</f>
        <v/>
      </c>
      <c r="Y214" s="511">
        <f>IFERROR(INDEX(차트데이터!$A:$BZ,192,MATCH($Y$2,차트데이터!$1:$1,0)+1),"")</f>
        <v/>
      </c>
      <c r="Z214">
        <f>$Y$2</f>
        <v/>
      </c>
    </row>
    <row r="215">
      <c r="X215" s="510">
        <f>IFERROR(INDEX(차트데이터!$A:$BZ,193,MATCH($Y$2,차트데이터!$1:$1,0)),"")</f>
        <v/>
      </c>
      <c r="Y215" s="511">
        <f>IFERROR(INDEX(차트데이터!$A:$BZ,193,MATCH($Y$2,차트데이터!$1:$1,0)+1),"")</f>
        <v/>
      </c>
      <c r="Z215">
        <f>$Y$2</f>
        <v/>
      </c>
    </row>
    <row r="216">
      <c r="X216" s="510">
        <f>IFERROR(INDEX(차트데이터!$A:$BZ,194,MATCH($Y$2,차트데이터!$1:$1,0)),"")</f>
        <v/>
      </c>
      <c r="Y216" s="511">
        <f>IFERROR(INDEX(차트데이터!$A:$BZ,194,MATCH($Y$2,차트데이터!$1:$1,0)+1),"")</f>
        <v/>
      </c>
      <c r="Z216">
        <f>$Y$2</f>
        <v/>
      </c>
    </row>
    <row r="217">
      <c r="X217" s="510">
        <f>IFERROR(INDEX(차트데이터!$A:$BZ,195,MATCH($Y$2,차트데이터!$1:$1,0)),"")</f>
        <v/>
      </c>
      <c r="Y217" s="511">
        <f>IFERROR(INDEX(차트데이터!$A:$BZ,195,MATCH($Y$2,차트데이터!$1:$1,0)+1),"")</f>
        <v/>
      </c>
      <c r="Z217">
        <f>$Y$2</f>
        <v/>
      </c>
    </row>
    <row r="218">
      <c r="X218" s="510">
        <f>IFERROR(INDEX(차트데이터!$A:$BZ,196,MATCH($Y$2,차트데이터!$1:$1,0)),"")</f>
        <v/>
      </c>
      <c r="Y218" s="511">
        <f>IFERROR(INDEX(차트데이터!$A:$BZ,196,MATCH($Y$2,차트데이터!$1:$1,0)+1),"")</f>
        <v/>
      </c>
      <c r="Z218">
        <f>$Y$2</f>
        <v/>
      </c>
    </row>
    <row r="219">
      <c r="X219" s="510">
        <f>IFERROR(INDEX(차트데이터!$A:$BZ,197,MATCH($Y$2,차트데이터!$1:$1,0)),"")</f>
        <v/>
      </c>
      <c r="Y219" s="511">
        <f>IFERROR(INDEX(차트데이터!$A:$BZ,197,MATCH($Y$2,차트데이터!$1:$1,0)+1),"")</f>
        <v/>
      </c>
      <c r="Z219">
        <f>$Y$2</f>
        <v/>
      </c>
    </row>
    <row r="220">
      <c r="X220" s="510">
        <f>IFERROR(INDEX(차트데이터!$A:$BZ,198,MATCH($Y$2,차트데이터!$1:$1,0)),"")</f>
        <v/>
      </c>
      <c r="Y220" s="511">
        <f>IFERROR(INDEX(차트데이터!$A:$BZ,198,MATCH($Y$2,차트데이터!$1:$1,0)+1),"")</f>
        <v/>
      </c>
      <c r="Z220">
        <f>$Y$2</f>
        <v/>
      </c>
    </row>
    <row r="221">
      <c r="X221" s="510">
        <f>IFERROR(INDEX(차트데이터!$A:$BZ,199,MATCH($Y$2,차트데이터!$1:$1,0)),"")</f>
        <v/>
      </c>
      <c r="Y221" s="511">
        <f>IFERROR(INDEX(차트데이터!$A:$BZ,199,MATCH($Y$2,차트데이터!$1:$1,0)+1),"")</f>
        <v/>
      </c>
      <c r="Z221">
        <f>$Y$2</f>
        <v/>
      </c>
    </row>
    <row r="222">
      <c r="X222" s="510">
        <f>IFERROR(INDEX(차트데이터!$A:$BZ,200,MATCH($Y$2,차트데이터!$1:$1,0)),"")</f>
        <v/>
      </c>
      <c r="Y222" s="511">
        <f>IFERROR(INDEX(차트데이터!$A:$BZ,200,MATCH($Y$2,차트데이터!$1:$1,0)+1),"")</f>
        <v/>
      </c>
      <c r="Z222">
        <f>$Y$2</f>
        <v/>
      </c>
    </row>
    <row r="223">
      <c r="X223" s="510">
        <f>IFERROR(INDEX(차트데이터!$A:$BZ,201,MATCH($Y$2,차트데이터!$1:$1,0)),"")</f>
        <v/>
      </c>
      <c r="Y223" s="511">
        <f>IFERROR(INDEX(차트데이터!$A:$BZ,201,MATCH($Y$2,차트데이터!$1:$1,0)+1),"")</f>
        <v/>
      </c>
      <c r="Z223">
        <f>$Y$2</f>
        <v/>
      </c>
    </row>
    <row r="224">
      <c r="X224" s="510">
        <f>IFERROR(INDEX(차트데이터!$A:$BZ,202,MATCH($Y$2,차트데이터!$1:$1,0)),"")</f>
        <v/>
      </c>
      <c r="Y224" s="511">
        <f>IFERROR(INDEX(차트데이터!$A:$BZ,202,MATCH($Y$2,차트데이터!$1:$1,0)+1),"")</f>
        <v/>
      </c>
      <c r="Z224">
        <f>$Y$2</f>
        <v/>
      </c>
    </row>
    <row r="225">
      <c r="X225" s="510">
        <f>IFERROR(INDEX(차트데이터!$A:$BZ,203,MATCH($Y$2,차트데이터!$1:$1,0)),"")</f>
        <v/>
      </c>
      <c r="Y225" s="511">
        <f>IFERROR(INDEX(차트데이터!$A:$BZ,203,MATCH($Y$2,차트데이터!$1:$1,0)+1),"")</f>
        <v/>
      </c>
      <c r="Z225">
        <f>$Y$2</f>
        <v/>
      </c>
    </row>
    <row r="226">
      <c r="X226" s="510">
        <f>IFERROR(INDEX(차트데이터!$A:$BZ,204,MATCH($Y$2,차트데이터!$1:$1,0)),"")</f>
        <v/>
      </c>
      <c r="Y226" s="511">
        <f>IFERROR(INDEX(차트데이터!$A:$BZ,204,MATCH($Y$2,차트데이터!$1:$1,0)+1),"")</f>
        <v/>
      </c>
      <c r="Z226">
        <f>$Y$2</f>
        <v/>
      </c>
    </row>
    <row r="227">
      <c r="X227" s="510">
        <f>IFERROR(INDEX(차트데이터!$A:$BZ,205,MATCH($Y$2,차트데이터!$1:$1,0)),"")</f>
        <v/>
      </c>
      <c r="Y227" s="511">
        <f>IFERROR(INDEX(차트데이터!$A:$BZ,205,MATCH($Y$2,차트데이터!$1:$1,0)+1),"")</f>
        <v/>
      </c>
      <c r="Z227">
        <f>$Y$2</f>
        <v/>
      </c>
    </row>
    <row r="228">
      <c r="X228" s="510">
        <f>IFERROR(INDEX(차트데이터!$A:$BZ,206,MATCH($Y$2,차트데이터!$1:$1,0)),"")</f>
        <v/>
      </c>
      <c r="Y228" s="511">
        <f>IFERROR(INDEX(차트데이터!$A:$BZ,206,MATCH($Y$2,차트데이터!$1:$1,0)+1),"")</f>
        <v/>
      </c>
      <c r="Z228">
        <f>$Y$2</f>
        <v/>
      </c>
    </row>
    <row r="229">
      <c r="X229" s="510">
        <f>IFERROR(INDEX(차트데이터!$A:$BZ,207,MATCH($Y$2,차트데이터!$1:$1,0)),"")</f>
        <v/>
      </c>
      <c r="Y229" s="511">
        <f>IFERROR(INDEX(차트데이터!$A:$BZ,207,MATCH($Y$2,차트데이터!$1:$1,0)+1),"")</f>
        <v/>
      </c>
      <c r="Z229">
        <f>$Y$2</f>
        <v/>
      </c>
    </row>
    <row r="230">
      <c r="X230" s="510">
        <f>IFERROR(INDEX(차트데이터!$A:$BZ,208,MATCH($Y$2,차트데이터!$1:$1,0)),"")</f>
        <v/>
      </c>
      <c r="Y230" s="511">
        <f>IFERROR(INDEX(차트데이터!$A:$BZ,208,MATCH($Y$2,차트데이터!$1:$1,0)+1),"")</f>
        <v/>
      </c>
      <c r="Z230">
        <f>$Y$2</f>
        <v/>
      </c>
    </row>
    <row r="231">
      <c r="X231" s="510">
        <f>IFERROR(INDEX(차트데이터!$A:$BZ,209,MATCH($Y$2,차트데이터!$1:$1,0)),"")</f>
        <v/>
      </c>
      <c r="Y231" s="511">
        <f>IFERROR(INDEX(차트데이터!$A:$BZ,209,MATCH($Y$2,차트데이터!$1:$1,0)+1),"")</f>
        <v/>
      </c>
      <c r="Z231">
        <f>$Y$2</f>
        <v/>
      </c>
    </row>
    <row r="232">
      <c r="X232" s="510">
        <f>IFERROR(INDEX(차트데이터!$A:$BZ,210,MATCH($Y$2,차트데이터!$1:$1,0)),"")</f>
        <v/>
      </c>
      <c r="Y232" s="511">
        <f>IFERROR(INDEX(차트데이터!$A:$BZ,210,MATCH($Y$2,차트데이터!$1:$1,0)+1),"")</f>
        <v/>
      </c>
      <c r="Z232">
        <f>$Y$2</f>
        <v/>
      </c>
    </row>
    <row r="233">
      <c r="X233" s="510">
        <f>IFERROR(INDEX(차트데이터!$A:$BZ,211,MATCH($Y$2,차트데이터!$1:$1,0)),"")</f>
        <v/>
      </c>
      <c r="Y233" s="511">
        <f>IFERROR(INDEX(차트데이터!$A:$BZ,211,MATCH($Y$2,차트데이터!$1:$1,0)+1),"")</f>
        <v/>
      </c>
      <c r="Z233">
        <f>$Y$2</f>
        <v/>
      </c>
    </row>
    <row r="234">
      <c r="X234" s="510">
        <f>IFERROR(INDEX(차트데이터!$A:$BZ,212,MATCH($Y$2,차트데이터!$1:$1,0)),"")</f>
        <v/>
      </c>
      <c r="Y234" s="511">
        <f>IFERROR(INDEX(차트데이터!$A:$BZ,212,MATCH($Y$2,차트데이터!$1:$1,0)+1),"")</f>
        <v/>
      </c>
      <c r="Z234">
        <f>$Y$2</f>
        <v/>
      </c>
    </row>
    <row r="235">
      <c r="X235" s="510">
        <f>IFERROR(INDEX(차트데이터!$A:$BZ,213,MATCH($Y$2,차트데이터!$1:$1,0)),"")</f>
        <v/>
      </c>
      <c r="Y235" s="511">
        <f>IFERROR(INDEX(차트데이터!$A:$BZ,213,MATCH($Y$2,차트데이터!$1:$1,0)+1),"")</f>
        <v/>
      </c>
      <c r="Z235">
        <f>$Y$2</f>
        <v/>
      </c>
    </row>
    <row r="236">
      <c r="X236" s="510">
        <f>IFERROR(INDEX(차트데이터!$A:$BZ,214,MATCH($Y$2,차트데이터!$1:$1,0)),"")</f>
        <v/>
      </c>
      <c r="Y236" s="511">
        <f>IFERROR(INDEX(차트데이터!$A:$BZ,214,MATCH($Y$2,차트데이터!$1:$1,0)+1),"")</f>
        <v/>
      </c>
      <c r="Z236">
        <f>$Y$2</f>
        <v/>
      </c>
    </row>
    <row r="237">
      <c r="X237" s="510">
        <f>IFERROR(INDEX(차트데이터!$A:$BZ,215,MATCH($Y$2,차트데이터!$1:$1,0)),"")</f>
        <v/>
      </c>
      <c r="Y237" s="511">
        <f>IFERROR(INDEX(차트데이터!$A:$BZ,215,MATCH($Y$2,차트데이터!$1:$1,0)+1),"")</f>
        <v/>
      </c>
      <c r="Z237">
        <f>$Y$2</f>
        <v/>
      </c>
    </row>
    <row r="238">
      <c r="X238" s="510">
        <f>IFERROR(INDEX(차트데이터!$A:$BZ,216,MATCH($Y$2,차트데이터!$1:$1,0)),"")</f>
        <v/>
      </c>
      <c r="Y238" s="511">
        <f>IFERROR(INDEX(차트데이터!$A:$BZ,216,MATCH($Y$2,차트데이터!$1:$1,0)+1),"")</f>
        <v/>
      </c>
      <c r="Z238">
        <f>$Y$2</f>
        <v/>
      </c>
    </row>
    <row r="239">
      <c r="X239" s="510">
        <f>IFERROR(INDEX(차트데이터!$A:$BZ,217,MATCH($Y$2,차트데이터!$1:$1,0)),"")</f>
        <v/>
      </c>
      <c r="Y239" s="511">
        <f>IFERROR(INDEX(차트데이터!$A:$BZ,217,MATCH($Y$2,차트데이터!$1:$1,0)+1),"")</f>
        <v/>
      </c>
      <c r="Z239">
        <f>$Y$2</f>
        <v/>
      </c>
    </row>
    <row r="240">
      <c r="X240" s="510">
        <f>IFERROR(INDEX(차트데이터!$A:$BZ,218,MATCH($Y$2,차트데이터!$1:$1,0)),"")</f>
        <v/>
      </c>
      <c r="Y240" s="511">
        <f>IFERROR(INDEX(차트데이터!$A:$BZ,218,MATCH($Y$2,차트데이터!$1:$1,0)+1),"")</f>
        <v/>
      </c>
      <c r="Z240">
        <f>$Y$2</f>
        <v/>
      </c>
    </row>
    <row r="241">
      <c r="X241" s="510">
        <f>IFERROR(INDEX(차트데이터!$A:$BZ,219,MATCH($Y$2,차트데이터!$1:$1,0)),"")</f>
        <v/>
      </c>
      <c r="Y241" s="511">
        <f>IFERROR(INDEX(차트데이터!$A:$BZ,219,MATCH($Y$2,차트데이터!$1:$1,0)+1),"")</f>
        <v/>
      </c>
      <c r="Z241">
        <f>$Y$2</f>
        <v/>
      </c>
    </row>
    <row r="242">
      <c r="X242" s="510">
        <f>IFERROR(INDEX(차트데이터!$A:$BZ,220,MATCH($Y$2,차트데이터!$1:$1,0)),"")</f>
        <v/>
      </c>
      <c r="Y242" s="511">
        <f>IFERROR(INDEX(차트데이터!$A:$BZ,220,MATCH($Y$2,차트데이터!$1:$1,0)+1),"")</f>
        <v/>
      </c>
      <c r="Z242">
        <f>$Y$2</f>
        <v/>
      </c>
    </row>
    <row r="243">
      <c r="X243" s="510">
        <f>IFERROR(INDEX(차트데이터!$A:$BZ,221,MATCH($Y$2,차트데이터!$1:$1,0)),"")</f>
        <v/>
      </c>
      <c r="Y243" s="511">
        <f>IFERROR(INDEX(차트데이터!$A:$BZ,221,MATCH($Y$2,차트데이터!$1:$1,0)+1),"")</f>
        <v/>
      </c>
      <c r="Z243">
        <f>$Y$2</f>
        <v/>
      </c>
    </row>
    <row r="244">
      <c r="X244" s="510">
        <f>IFERROR(INDEX(차트데이터!$A:$BZ,222,MATCH($Y$2,차트데이터!$1:$1,0)),"")</f>
        <v/>
      </c>
      <c r="Y244" s="511">
        <f>IFERROR(INDEX(차트데이터!$A:$BZ,222,MATCH($Y$2,차트데이터!$1:$1,0)+1),"")</f>
        <v/>
      </c>
      <c r="Z244">
        <f>$Y$2</f>
        <v/>
      </c>
    </row>
    <row r="245">
      <c r="X245" s="510">
        <f>IFERROR(INDEX(차트데이터!$A:$BZ,223,MATCH($Y$2,차트데이터!$1:$1,0)),"")</f>
        <v/>
      </c>
      <c r="Y245" s="511">
        <f>IFERROR(INDEX(차트데이터!$A:$BZ,223,MATCH($Y$2,차트데이터!$1:$1,0)+1),"")</f>
        <v/>
      </c>
      <c r="Z245">
        <f>$Y$2</f>
        <v/>
      </c>
    </row>
    <row r="246">
      <c r="X246" s="510">
        <f>IFERROR(INDEX(차트데이터!$A:$BZ,224,MATCH($Y$2,차트데이터!$1:$1,0)),"")</f>
        <v/>
      </c>
      <c r="Y246" s="511">
        <f>IFERROR(INDEX(차트데이터!$A:$BZ,224,MATCH($Y$2,차트데이터!$1:$1,0)+1),"")</f>
        <v/>
      </c>
      <c r="Z246">
        <f>$Y$2</f>
        <v/>
      </c>
    </row>
    <row r="247">
      <c r="X247" s="510">
        <f>IFERROR(INDEX(차트데이터!$A:$BZ,225,MATCH($Y$2,차트데이터!$1:$1,0)),"")</f>
        <v/>
      </c>
      <c r="Y247" s="511">
        <f>IFERROR(INDEX(차트데이터!$A:$BZ,225,MATCH($Y$2,차트데이터!$1:$1,0)+1),"")</f>
        <v/>
      </c>
      <c r="Z247">
        <f>$Y$2</f>
        <v/>
      </c>
    </row>
    <row r="248">
      <c r="X248" s="510">
        <f>IFERROR(INDEX(차트데이터!$A:$BZ,226,MATCH($Y$2,차트데이터!$1:$1,0)),"")</f>
        <v/>
      </c>
      <c r="Y248" s="511">
        <f>IFERROR(INDEX(차트데이터!$A:$BZ,226,MATCH($Y$2,차트데이터!$1:$1,0)+1),"")</f>
        <v/>
      </c>
      <c r="Z248">
        <f>$Y$2</f>
        <v/>
      </c>
    </row>
    <row r="249">
      <c r="X249" s="510">
        <f>IFERROR(INDEX(차트데이터!$A:$BZ,227,MATCH($Y$2,차트데이터!$1:$1,0)),"")</f>
        <v/>
      </c>
      <c r="Y249" s="511">
        <f>IFERROR(INDEX(차트데이터!$A:$BZ,227,MATCH($Y$2,차트데이터!$1:$1,0)+1),"")</f>
        <v/>
      </c>
      <c r="Z249">
        <f>$Y$2</f>
        <v/>
      </c>
    </row>
    <row r="250">
      <c r="X250" s="510">
        <f>IFERROR(INDEX(차트데이터!$A:$BZ,228,MATCH($Y$2,차트데이터!$1:$1,0)),"")</f>
        <v/>
      </c>
      <c r="Y250" s="511">
        <f>IFERROR(INDEX(차트데이터!$A:$BZ,228,MATCH($Y$2,차트데이터!$1:$1,0)+1),"")</f>
        <v/>
      </c>
      <c r="Z250">
        <f>$Y$2</f>
        <v/>
      </c>
    </row>
    <row r="251">
      <c r="X251" s="510">
        <f>IFERROR(INDEX(차트데이터!$A:$BZ,229,MATCH($Y$2,차트데이터!$1:$1,0)),"")</f>
        <v/>
      </c>
      <c r="Y251" s="511">
        <f>IFERROR(INDEX(차트데이터!$A:$BZ,229,MATCH($Y$2,차트데이터!$1:$1,0)+1),"")</f>
        <v/>
      </c>
      <c r="Z251">
        <f>$Y$2</f>
        <v/>
      </c>
    </row>
    <row r="252">
      <c r="X252" s="510">
        <f>IFERROR(INDEX(차트데이터!$A:$BZ,230,MATCH($Y$2,차트데이터!$1:$1,0)),"")</f>
        <v/>
      </c>
      <c r="Y252" s="511">
        <f>IFERROR(INDEX(차트데이터!$A:$BZ,230,MATCH($Y$2,차트데이터!$1:$1,0)+1),"")</f>
        <v/>
      </c>
      <c r="Z252">
        <f>$Y$2</f>
        <v/>
      </c>
    </row>
    <row r="253">
      <c r="X253" s="510">
        <f>IFERROR(INDEX(차트데이터!$A:$BZ,231,MATCH($Y$2,차트데이터!$1:$1,0)),"")</f>
        <v/>
      </c>
      <c r="Y253" s="511">
        <f>IFERROR(INDEX(차트데이터!$A:$BZ,231,MATCH($Y$2,차트데이터!$1:$1,0)+1),"")</f>
        <v/>
      </c>
      <c r="Z253">
        <f>$Y$2</f>
        <v/>
      </c>
    </row>
    <row r="254">
      <c r="X254" s="510">
        <f>IFERROR(INDEX(차트데이터!$A:$BZ,232,MATCH($Y$2,차트데이터!$1:$1,0)),"")</f>
        <v/>
      </c>
      <c r="Y254" s="511">
        <f>IFERROR(INDEX(차트데이터!$A:$BZ,232,MATCH($Y$2,차트데이터!$1:$1,0)+1),"")</f>
        <v/>
      </c>
      <c r="Z254">
        <f>$Y$2</f>
        <v/>
      </c>
    </row>
    <row r="255">
      <c r="X255" s="510">
        <f>IFERROR(INDEX(차트데이터!$A:$BZ,233,MATCH($Y$2,차트데이터!$1:$1,0)),"")</f>
        <v/>
      </c>
      <c r="Y255" s="511">
        <f>IFERROR(INDEX(차트데이터!$A:$BZ,233,MATCH($Y$2,차트데이터!$1:$1,0)+1),"")</f>
        <v/>
      </c>
      <c r="Z255">
        <f>$Y$2</f>
        <v/>
      </c>
    </row>
    <row r="256">
      <c r="X256" s="510">
        <f>IFERROR(INDEX(차트데이터!$A:$BZ,234,MATCH($Y$2,차트데이터!$1:$1,0)),"")</f>
        <v/>
      </c>
      <c r="Y256" s="511">
        <f>IFERROR(INDEX(차트데이터!$A:$BZ,234,MATCH($Y$2,차트데이터!$1:$1,0)+1),"")</f>
        <v/>
      </c>
      <c r="Z256">
        <f>$Y$2</f>
        <v/>
      </c>
    </row>
    <row r="257">
      <c r="X257" s="510">
        <f>IFERROR(INDEX(차트데이터!$A:$BZ,235,MATCH($Y$2,차트데이터!$1:$1,0)),"")</f>
        <v/>
      </c>
      <c r="Y257" s="511">
        <f>IFERROR(INDEX(차트데이터!$A:$BZ,235,MATCH($Y$2,차트데이터!$1:$1,0)+1),"")</f>
        <v/>
      </c>
      <c r="Z257">
        <f>$Y$2</f>
        <v/>
      </c>
    </row>
    <row r="258">
      <c r="X258" s="510">
        <f>IFERROR(INDEX(차트데이터!$A:$BZ,236,MATCH($Y$2,차트데이터!$1:$1,0)),"")</f>
        <v/>
      </c>
      <c r="Y258" s="511">
        <f>IFERROR(INDEX(차트데이터!$A:$BZ,236,MATCH($Y$2,차트데이터!$1:$1,0)+1),"")</f>
        <v/>
      </c>
      <c r="Z258">
        <f>$Y$2</f>
        <v/>
      </c>
    </row>
    <row r="259">
      <c r="X259" s="510">
        <f>IFERROR(INDEX(차트데이터!$A:$BZ,237,MATCH($Y$2,차트데이터!$1:$1,0)),"")</f>
        <v/>
      </c>
      <c r="Y259" s="511">
        <f>IFERROR(INDEX(차트데이터!$A:$BZ,237,MATCH($Y$2,차트데이터!$1:$1,0)+1),"")</f>
        <v/>
      </c>
      <c r="Z259">
        <f>$Y$2</f>
        <v/>
      </c>
    </row>
    <row r="260">
      <c r="X260" s="510">
        <f>IFERROR(INDEX(차트데이터!$A:$BZ,238,MATCH($Y$2,차트데이터!$1:$1,0)),"")</f>
        <v/>
      </c>
      <c r="Y260" s="511">
        <f>IFERROR(INDEX(차트데이터!$A:$BZ,238,MATCH($Y$2,차트데이터!$1:$1,0)+1),"")</f>
        <v/>
      </c>
      <c r="Z260">
        <f>$Y$2</f>
        <v/>
      </c>
    </row>
    <row r="261">
      <c r="X261" s="510">
        <f>IFERROR(INDEX(차트데이터!$A:$BZ,239,MATCH($Y$2,차트데이터!$1:$1,0)),"")</f>
        <v/>
      </c>
      <c r="Y261" s="511">
        <f>IFERROR(INDEX(차트데이터!$A:$BZ,239,MATCH($Y$2,차트데이터!$1:$1,0)+1),"")</f>
        <v/>
      </c>
      <c r="Z261">
        <f>$Y$2</f>
        <v/>
      </c>
    </row>
    <row r="262">
      <c r="X262" s="510">
        <f>IFERROR(INDEX(차트데이터!$A:$BZ,240,MATCH($Y$2,차트데이터!$1:$1,0)),"")</f>
        <v/>
      </c>
      <c r="Y262" s="511">
        <f>IFERROR(INDEX(차트데이터!$A:$BZ,240,MATCH($Y$2,차트데이터!$1:$1,0)+1),"")</f>
        <v/>
      </c>
      <c r="Z262">
        <f>$Y$2</f>
        <v/>
      </c>
    </row>
    <row r="263">
      <c r="X263" s="510">
        <f>IFERROR(INDEX(차트데이터!$A:$BZ,241,MATCH($Y$2,차트데이터!$1:$1,0)),"")</f>
        <v/>
      </c>
      <c r="Y263" s="511">
        <f>IFERROR(INDEX(차트데이터!$A:$BZ,241,MATCH($Y$2,차트데이터!$1:$1,0)+1),"")</f>
        <v/>
      </c>
      <c r="Z263">
        <f>$Y$2</f>
        <v/>
      </c>
    </row>
    <row r="264">
      <c r="X264" s="510">
        <f>IFERROR(INDEX(차트데이터!$A:$BZ,242,MATCH($Y$2,차트데이터!$1:$1,0)),"")</f>
        <v/>
      </c>
      <c r="Y264" s="511">
        <f>IFERROR(INDEX(차트데이터!$A:$BZ,242,MATCH($Y$2,차트데이터!$1:$1,0)+1),"")</f>
        <v/>
      </c>
      <c r="Z264">
        <f>$Y$2</f>
        <v/>
      </c>
    </row>
    <row r="265">
      <c r="X265" s="510">
        <f>IFERROR(INDEX(차트데이터!$A:$BZ,243,MATCH($Y$2,차트데이터!$1:$1,0)),"")</f>
        <v/>
      </c>
      <c r="Y265" s="511">
        <f>IFERROR(INDEX(차트데이터!$A:$BZ,243,MATCH($Y$2,차트데이터!$1:$1,0)+1),"")</f>
        <v/>
      </c>
      <c r="Z265">
        <f>$Y$2</f>
        <v/>
      </c>
    </row>
    <row r="266">
      <c r="X266" s="510">
        <f>IFERROR(INDEX(차트데이터!$A:$BZ,244,MATCH($Y$2,차트데이터!$1:$1,0)),"")</f>
        <v/>
      </c>
      <c r="Y266" s="511">
        <f>IFERROR(INDEX(차트데이터!$A:$BZ,244,MATCH($Y$2,차트데이터!$1:$1,0)+1),"")</f>
        <v/>
      </c>
      <c r="Z266">
        <f>$Y$2</f>
        <v/>
      </c>
    </row>
    <row r="267">
      <c r="X267" s="510">
        <f>IFERROR(INDEX(차트데이터!$A:$BZ,245,MATCH($Y$2,차트데이터!$1:$1,0)),"")</f>
        <v/>
      </c>
      <c r="Y267" s="511">
        <f>IFERROR(INDEX(차트데이터!$A:$BZ,245,MATCH($Y$2,차트데이터!$1:$1,0)+1),"")</f>
        <v/>
      </c>
      <c r="Z267">
        <f>$Y$2</f>
        <v/>
      </c>
    </row>
    <row r="268">
      <c r="X268" s="510">
        <f>IFERROR(INDEX(차트데이터!$A:$BZ,246,MATCH($Y$2,차트데이터!$1:$1,0)),"")</f>
        <v/>
      </c>
      <c r="Y268" s="511">
        <f>IFERROR(INDEX(차트데이터!$A:$BZ,246,MATCH($Y$2,차트데이터!$1:$1,0)+1),"")</f>
        <v/>
      </c>
      <c r="Z268">
        <f>$Y$2</f>
        <v/>
      </c>
    </row>
    <row r="269">
      <c r="X269" s="510">
        <f>IFERROR(INDEX(차트데이터!$A:$BZ,247,MATCH($Y$2,차트데이터!$1:$1,0)),"")</f>
        <v/>
      </c>
      <c r="Y269" s="511">
        <f>IFERROR(INDEX(차트데이터!$A:$BZ,247,MATCH($Y$2,차트데이터!$1:$1,0)+1),"")</f>
        <v/>
      </c>
      <c r="Z269">
        <f>$Y$2</f>
        <v/>
      </c>
    </row>
    <row r="270">
      <c r="X270" s="510">
        <f>IFERROR(INDEX(차트데이터!$A:$BZ,248,MATCH($Y$2,차트데이터!$1:$1,0)),"")</f>
        <v/>
      </c>
      <c r="Y270" s="511">
        <f>IFERROR(INDEX(차트데이터!$A:$BZ,248,MATCH($Y$2,차트데이터!$1:$1,0)+1),"")</f>
        <v/>
      </c>
      <c r="Z270">
        <f>$Y$2</f>
        <v/>
      </c>
    </row>
    <row r="271">
      <c r="X271" s="510">
        <f>IFERROR(INDEX(차트데이터!$A:$BZ,249,MATCH($Y$2,차트데이터!$1:$1,0)),"")</f>
        <v/>
      </c>
      <c r="Y271" s="511">
        <f>IFERROR(INDEX(차트데이터!$A:$BZ,249,MATCH($Y$2,차트데이터!$1:$1,0)+1),"")</f>
        <v/>
      </c>
      <c r="Z271">
        <f>$Y$2</f>
        <v/>
      </c>
    </row>
    <row r="272">
      <c r="X272" s="510">
        <f>IFERROR(INDEX(차트데이터!$A:$BZ,250,MATCH($Y$2,차트데이터!$1:$1,0)),"")</f>
        <v/>
      </c>
      <c r="Y272" s="511">
        <f>IFERROR(INDEX(차트데이터!$A:$BZ,250,MATCH($Y$2,차트데이터!$1:$1,0)+1),"")</f>
        <v/>
      </c>
      <c r="Z272">
        <f>$Y$2</f>
        <v/>
      </c>
    </row>
    <row r="273">
      <c r="X273" s="510">
        <f>IFERROR(INDEX(차트데이터!$A:$BZ,251,MATCH($Y$2,차트데이터!$1:$1,0)),"")</f>
        <v/>
      </c>
      <c r="Y273" s="511">
        <f>IFERROR(INDEX(차트데이터!$A:$BZ,251,MATCH($Y$2,차트데이터!$1:$1,0)+1),"")</f>
        <v/>
      </c>
      <c r="Z273">
        <f>$Y$2</f>
        <v/>
      </c>
    </row>
    <row r="274">
      <c r="X274" s="510">
        <f>IFERROR(INDEX(차트데이터!$A:$BZ,252,MATCH($Y$2,차트데이터!$1:$1,0)),"")</f>
        <v/>
      </c>
      <c r="Y274" s="511">
        <f>IFERROR(INDEX(차트데이터!$A:$BZ,252,MATCH($Y$2,차트데이터!$1:$1,0)+1),"")</f>
        <v/>
      </c>
      <c r="Z274">
        <f>$Y$2</f>
        <v/>
      </c>
    </row>
    <row r="275">
      <c r="X275" s="510">
        <f>IFERROR(INDEX(차트데이터!$A:$BZ,253,MATCH($Y$2,차트데이터!$1:$1,0)),"")</f>
        <v/>
      </c>
      <c r="Y275" s="511">
        <f>IFERROR(INDEX(차트데이터!$A:$BZ,253,MATCH($Y$2,차트데이터!$1:$1,0)+1),"")</f>
        <v/>
      </c>
      <c r="Z275">
        <f>$Y$2</f>
        <v/>
      </c>
    </row>
    <row r="276">
      <c r="X276" s="510">
        <f>IFERROR(INDEX(차트데이터!$A:$BZ,254,MATCH($Y$2,차트데이터!$1:$1,0)),"")</f>
        <v/>
      </c>
      <c r="Y276" s="511">
        <f>IFERROR(INDEX(차트데이터!$A:$BZ,254,MATCH($Y$2,차트데이터!$1:$1,0)+1),"")</f>
        <v/>
      </c>
      <c r="Z276">
        <f>$Y$2</f>
        <v/>
      </c>
    </row>
  </sheetData>
  <mergeCells count="18">
    <mergeCell ref="Y3:AD3"/>
    <mergeCell ref="V22:V25"/>
    <mergeCell ref="X1:AD1"/>
    <mergeCell ref="A36:A46"/>
    <mergeCell ref="C39:C46"/>
    <mergeCell ref="B22:B28"/>
    <mergeCell ref="V39:V46"/>
    <mergeCell ref="B36:B37"/>
    <mergeCell ref="V27:V33"/>
    <mergeCell ref="V36:V37"/>
    <mergeCell ref="C10:C21"/>
    <mergeCell ref="N10:N13"/>
    <mergeCell ref="C22:C26"/>
    <mergeCell ref="M10:M13"/>
    <mergeCell ref="A10:A28"/>
    <mergeCell ref="C27:C33"/>
    <mergeCell ref="B10:B13"/>
    <mergeCell ref="M27:M28"/>
  </mergeCells>
  <conditionalFormatting sqref="I9:J55">
    <cfRule type="cellIs" priority="1" operator="greaterThan" dxfId="1">
      <formula>0</formula>
    </cfRule>
    <cfRule type="cellIs" priority="2" operator="lessThan" dxfId="138">
      <formula>0</formula>
    </cfRule>
  </conditionalFormatting>
  <dataValidations count="1">
    <dataValidation sqref="Y2" showDropDown="0" showInputMessage="0" showErrorMessage="0" allowBlank="0" type="list">
      <formula1>'차트데이터'!$CB$1:$CB$23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P5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3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7" r:id="rId10"/>
    <hyperlink xmlns:r="http://schemas.openxmlformats.org/officeDocument/2006/relationships" ref="D18" r:id="rId11"/>
    <hyperlink xmlns:r="http://schemas.openxmlformats.org/officeDocument/2006/relationships" ref="D19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6" r:id="rId27"/>
    <hyperlink xmlns:r="http://schemas.openxmlformats.org/officeDocument/2006/relationships" ref="D37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45" r:id="rId35"/>
    <hyperlink xmlns:r="http://schemas.openxmlformats.org/officeDocument/2006/relationships" ref="D46" r:id="rId36"/>
    <hyperlink xmlns:r="http://schemas.openxmlformats.org/officeDocument/2006/relationships" ref="D48" r:id="rId37"/>
    <hyperlink xmlns:r="http://schemas.openxmlformats.org/officeDocument/2006/relationships" ref="D49" r:id="rId38"/>
  </hyperlinks>
  <pageMargins left="0.7" right="0.7" top="0.75" bottom="0.75" header="0.3" footer="0.3"/>
  <drawing xmlns:r="http://schemas.openxmlformats.org/officeDocument/2006/relationships" r:id="rId3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SPY</t>
        </is>
      </c>
      <c r="D1" t="inlineStr">
        <is>
          <t>VNQ</t>
        </is>
      </c>
      <c r="G1" t="inlineStr">
        <is>
          <t>VEA</t>
        </is>
      </c>
      <c r="J1" t="inlineStr">
        <is>
          <t>EWJ</t>
        </is>
      </c>
      <c r="M1" t="inlineStr">
        <is>
          <t>IWM</t>
        </is>
      </c>
      <c r="P1" t="inlineStr">
        <is>
          <t>VGK</t>
        </is>
      </c>
      <c r="S1" t="inlineStr">
        <is>
          <t>QQQ</t>
        </is>
      </c>
      <c r="V1" t="inlineStr">
        <is>
          <t>DBC</t>
        </is>
      </c>
      <c r="Y1" t="inlineStr">
        <is>
          <t>BND</t>
        </is>
      </c>
      <c r="AB1" t="inlineStr">
        <is>
          <t>VWO</t>
        </is>
      </c>
      <c r="AE1" t="inlineStr">
        <is>
          <t>EMB</t>
        </is>
      </c>
      <c r="AH1" t="inlineStr">
        <is>
          <t>BWX</t>
        </is>
      </c>
      <c r="AK1" t="inlineStr">
        <is>
          <t>HYG</t>
        </is>
      </c>
      <c r="AN1" t="inlineStr">
        <is>
          <t>TIP</t>
        </is>
      </c>
      <c r="AQ1" t="inlineStr">
        <is>
          <t>EFA</t>
        </is>
      </c>
      <c r="AT1" t="inlineStr">
        <is>
          <t>EEM</t>
        </is>
      </c>
      <c r="AW1" t="inlineStr">
        <is>
          <t>AGG</t>
        </is>
      </c>
      <c r="AZ1" t="inlineStr">
        <is>
          <t>LQD</t>
        </is>
      </c>
      <c r="BC1" t="inlineStr">
        <is>
          <t>IEF</t>
        </is>
      </c>
      <c r="BF1" t="inlineStr">
        <is>
          <t>SHY</t>
        </is>
      </c>
      <c r="BI1" t="inlineStr">
        <is>
          <t>TLT</t>
        </is>
      </c>
      <c r="BL1" t="inlineStr">
        <is>
          <t>GLD</t>
        </is>
      </c>
      <c r="BO1" t="inlineStr">
        <is>
          <t>BIL</t>
        </is>
      </c>
      <c r="CB1" t="inlineStr">
        <is>
          <t>SPY</t>
        </is>
      </c>
    </row>
    <row r="2">
      <c r="A2" t="inlineStr">
        <is>
          <t>Date</t>
        </is>
      </c>
      <c r="B2" t="inlineStr">
        <is>
          <t>Close</t>
        </is>
      </c>
      <c r="D2" t="inlineStr">
        <is>
          <t>Date</t>
        </is>
      </c>
      <c r="E2" t="inlineStr">
        <is>
          <t>Close</t>
        </is>
      </c>
      <c r="G2" t="inlineStr">
        <is>
          <t>Date</t>
        </is>
      </c>
      <c r="H2" t="inlineStr">
        <is>
          <t>Close</t>
        </is>
      </c>
      <c r="J2" t="inlineStr">
        <is>
          <t>Date</t>
        </is>
      </c>
      <c r="K2" t="inlineStr">
        <is>
          <t>Close</t>
        </is>
      </c>
      <c r="M2" t="inlineStr">
        <is>
          <t>Date</t>
        </is>
      </c>
      <c r="N2" t="inlineStr">
        <is>
          <t>Close</t>
        </is>
      </c>
      <c r="P2" t="inlineStr">
        <is>
          <t>Date</t>
        </is>
      </c>
      <c r="Q2" t="inlineStr">
        <is>
          <t>Close</t>
        </is>
      </c>
      <c r="S2" t="inlineStr">
        <is>
          <t>Date</t>
        </is>
      </c>
      <c r="T2" t="inlineStr">
        <is>
          <t>Close</t>
        </is>
      </c>
      <c r="V2" t="inlineStr">
        <is>
          <t>Date</t>
        </is>
      </c>
      <c r="W2" t="inlineStr">
        <is>
          <t>Close</t>
        </is>
      </c>
      <c r="Y2" t="inlineStr">
        <is>
          <t>Date</t>
        </is>
      </c>
      <c r="Z2" t="inlineStr">
        <is>
          <t>Close</t>
        </is>
      </c>
      <c r="AB2" t="inlineStr">
        <is>
          <t>Date</t>
        </is>
      </c>
      <c r="AC2" t="inlineStr">
        <is>
          <t>Close</t>
        </is>
      </c>
      <c r="AE2" t="inlineStr">
        <is>
          <t>Date</t>
        </is>
      </c>
      <c r="AF2" t="inlineStr">
        <is>
          <t>Close</t>
        </is>
      </c>
      <c r="AH2" t="inlineStr">
        <is>
          <t>Date</t>
        </is>
      </c>
      <c r="AI2" t="inlineStr">
        <is>
          <t>Close</t>
        </is>
      </c>
      <c r="AK2" t="inlineStr">
        <is>
          <t>Date</t>
        </is>
      </c>
      <c r="AL2" t="inlineStr">
        <is>
          <t>Close</t>
        </is>
      </c>
      <c r="AN2" t="inlineStr">
        <is>
          <t>Date</t>
        </is>
      </c>
      <c r="AO2" t="inlineStr">
        <is>
          <t>Close</t>
        </is>
      </c>
      <c r="AQ2" t="inlineStr">
        <is>
          <t>Date</t>
        </is>
      </c>
      <c r="AR2" t="inlineStr">
        <is>
          <t>Close</t>
        </is>
      </c>
      <c r="AT2" t="inlineStr">
        <is>
          <t>Date</t>
        </is>
      </c>
      <c r="AU2" t="inlineStr">
        <is>
          <t>Close</t>
        </is>
      </c>
      <c r="AW2" t="inlineStr">
        <is>
          <t>Date</t>
        </is>
      </c>
      <c r="AX2" t="inlineStr">
        <is>
          <t>Close</t>
        </is>
      </c>
      <c r="AZ2" t="inlineStr">
        <is>
          <t>Date</t>
        </is>
      </c>
      <c r="BA2" t="inlineStr">
        <is>
          <t>Close</t>
        </is>
      </c>
      <c r="BC2" t="inlineStr">
        <is>
          <t>Date</t>
        </is>
      </c>
      <c r="BD2" t="inlineStr">
        <is>
          <t>Close</t>
        </is>
      </c>
      <c r="BF2" t="inlineStr">
        <is>
          <t>Date</t>
        </is>
      </c>
      <c r="BG2" t="inlineStr">
        <is>
          <t>Close</t>
        </is>
      </c>
      <c r="BI2" t="inlineStr">
        <is>
          <t>Date</t>
        </is>
      </c>
      <c r="BJ2" t="inlineStr">
        <is>
          <t>Close</t>
        </is>
      </c>
      <c r="BL2" t="inlineStr">
        <is>
          <t>Date</t>
        </is>
      </c>
      <c r="BM2" t="inlineStr">
        <is>
          <t>Close</t>
        </is>
      </c>
      <c r="BO2" t="inlineStr">
        <is>
          <t>Date</t>
        </is>
      </c>
      <c r="BP2" t="inlineStr">
        <is>
          <t>Close</t>
        </is>
      </c>
      <c r="CB2" t="inlineStr">
        <is>
          <t>QQQ</t>
        </is>
      </c>
    </row>
    <row r="3">
      <c r="A3">
        <f>IFERROR(__xludf.DUMMYFUNCTION("GOOGLEFINANCE(B18, ""all"", EDATE(TODAY(), -LEFT(G15, FIND("" "", G15))), TODAY(), ""DAILY"")"),"Date")</f>
        <v/>
      </c>
      <c r="B3">
        <f>IFERROR(__xludf.DUMMYFUNCTION("""COMPUTED_VALUE"""),"Close")</f>
        <v/>
      </c>
      <c r="D3">
        <f>IFERROR(__xludf.DUMMYFUNCTION("GOOGLEFINANCE(B18, ""all"", EDATE(TODAY(), -LEFT(G15, FIND("" "", G15))), TODAY(), ""DAILY"")"),"Date")</f>
        <v/>
      </c>
      <c r="E3">
        <f>IFERROR(__xludf.DUMMYFUNCTION("""COMPUTED_VALUE"""),"Close")</f>
        <v/>
      </c>
      <c r="G3">
        <f>IFERROR(__xludf.DUMMYFUNCTION("GOOGLEFINANCE(B18, ""all"", EDATE(TODAY(), -LEFT(G15, FIND("" "", G15))), TODAY(), ""DAILY"")"),"Date")</f>
        <v/>
      </c>
      <c r="H3">
        <f>IFERROR(__xludf.DUMMYFUNCTION("""COMPUTED_VALUE"""),"Close")</f>
        <v/>
      </c>
      <c r="J3">
        <f>IFERROR(__xludf.DUMMYFUNCTION("GOOGLEFINANCE(B18, ""all"", EDATE(TODAY(), -LEFT(G15, FIND("" "", G15))), TODAY(), ""DAILY"")"),"Date")</f>
        <v/>
      </c>
      <c r="K3">
        <f>IFERROR(__xludf.DUMMYFUNCTION("""COMPUTED_VALUE"""),"Close")</f>
        <v/>
      </c>
      <c r="M3">
        <f>IFERROR(__xludf.DUMMYFUNCTION("GOOGLEFINANCE(B18, ""all"", EDATE(TODAY(), -LEFT(G15, FIND("" "", G15))), TODAY(), ""DAILY"")"),"Date")</f>
        <v/>
      </c>
      <c r="N3">
        <f>IFERROR(__xludf.DUMMYFUNCTION("""COMPUTED_VALUE"""),"Close")</f>
        <v/>
      </c>
      <c r="P3">
        <f>IFERROR(__xludf.DUMMYFUNCTION("GOOGLEFINANCE(B18, ""all"", EDATE(TODAY(), -LEFT(G15, FIND("" "", G15))), TODAY(), ""DAILY"")"),"Date")</f>
        <v/>
      </c>
      <c r="Q3">
        <f>IFERROR(__xludf.DUMMYFUNCTION("""COMPUTED_VALUE"""),"Close")</f>
        <v/>
      </c>
      <c r="S3">
        <f>IFERROR(__xludf.DUMMYFUNCTION("GOOGLEFINANCE(B18, ""all"", EDATE(TODAY(), -LEFT(G15, FIND("" "", G15))), TODAY(), ""DAILY"")"),"Date")</f>
        <v/>
      </c>
      <c r="T3">
        <f>IFERROR(__xludf.DUMMYFUNCTION("""COMPUTED_VALUE"""),"Close")</f>
        <v/>
      </c>
      <c r="V3">
        <f>IFERROR(__xludf.DUMMYFUNCTION("GOOGLEFINANCE(B18, ""all"", EDATE(TODAY(), -LEFT(G15, FIND("" "", G15))), TODAY(), ""DAILY"")"),"Date")</f>
        <v/>
      </c>
      <c r="W3">
        <f>IFERROR(__xludf.DUMMYFUNCTION("""COMPUTED_VALUE"""),"Close")</f>
        <v/>
      </c>
      <c r="Y3">
        <f>IFERROR(__xludf.DUMMYFUNCTION("GOOGLEFINANCE(B18, ""all"", EDATE(TODAY(), -LEFT(G15, FIND("" "", G15))), TODAY(), ""DAILY"")"),"Date")</f>
        <v/>
      </c>
      <c r="Z3">
        <f>IFERROR(__xludf.DUMMYFUNCTION("""COMPUTED_VALUE"""),"Close")</f>
        <v/>
      </c>
      <c r="AB3">
        <f>IFERROR(__xludf.DUMMYFUNCTION("GOOGLEFINANCE(B18, ""all"", EDATE(TODAY(), -LEFT(G15, FIND("" "", G15))), TODAY(), ""DAILY"")"),"Date")</f>
        <v/>
      </c>
      <c r="AC3">
        <f>IFERROR(__xludf.DUMMYFUNCTION("""COMPUTED_VALUE"""),"Close")</f>
        <v/>
      </c>
      <c r="AE3">
        <f>IFERROR(__xludf.DUMMYFUNCTION("GOOGLEFINANCE(B18, ""all"", EDATE(TODAY(), -LEFT(G15, FIND("" "", G15))), TODAY(), ""DAILY"")"),"Date")</f>
        <v/>
      </c>
      <c r="AF3">
        <f>IFERROR(__xludf.DUMMYFUNCTION("""COMPUTED_VALUE"""),"Close")</f>
        <v/>
      </c>
      <c r="AH3">
        <f>IFERROR(__xludf.DUMMYFUNCTION("GOOGLEFINANCE(B18, ""all"", EDATE(TODAY(), -LEFT(G15, FIND("" "", G15))), TODAY(), ""DAILY"")"),"Date")</f>
        <v/>
      </c>
      <c r="AI3">
        <f>IFERROR(__xludf.DUMMYFUNCTION("""COMPUTED_VALUE"""),"Close")</f>
        <v/>
      </c>
      <c r="AK3">
        <f>IFERROR(__xludf.DUMMYFUNCTION("GOOGLEFINANCE(B18, ""all"", EDATE(TODAY(), -LEFT(G15, FIND("" "", G15))), TODAY(), ""DAILY"")"),"Date")</f>
        <v/>
      </c>
      <c r="AL3">
        <f>IFERROR(__xludf.DUMMYFUNCTION("""COMPUTED_VALUE"""),"Close")</f>
        <v/>
      </c>
      <c r="AN3">
        <f>IFERROR(__xludf.DUMMYFUNCTION("GOOGLEFINANCE(B18, ""all"", EDATE(TODAY(), -LEFT(G15, FIND("" "", G15))), TODAY(), ""DAILY"")"),"Date")</f>
        <v/>
      </c>
      <c r="AO3">
        <f>IFERROR(__xludf.DUMMYFUNCTION("""COMPUTED_VALUE"""),"Close")</f>
        <v/>
      </c>
      <c r="AQ3">
        <f>IFERROR(__xludf.DUMMYFUNCTION("GOOGLEFINANCE(B18, ""all"", EDATE(TODAY(), -LEFT(G15, FIND("" "", G15))), TODAY(), ""DAILY"")"),"Date")</f>
        <v/>
      </c>
      <c r="AR3">
        <f>IFERROR(__xludf.DUMMYFUNCTION("""COMPUTED_VALUE"""),"Close")</f>
        <v/>
      </c>
      <c r="AT3">
        <f>IFERROR(__xludf.DUMMYFUNCTION("GOOGLEFINANCE(B18, ""all"", EDATE(TODAY(), -LEFT(G15, FIND("" "", G15))), TODAY(), ""DAILY"")"),"Date")</f>
        <v/>
      </c>
      <c r="AU3">
        <f>IFERROR(__xludf.DUMMYFUNCTION("""COMPUTED_VALUE"""),"Close")</f>
        <v/>
      </c>
      <c r="AW3">
        <f>IFERROR(__xludf.DUMMYFUNCTION("GOOGLEFINANCE(B18, ""all"", EDATE(TODAY(), -LEFT(G15, FIND("" "", G15))), TODAY(), ""DAILY"")"),"Date")</f>
        <v/>
      </c>
      <c r="AX3">
        <f>IFERROR(__xludf.DUMMYFUNCTION("""COMPUTED_VALUE"""),"Close")</f>
        <v/>
      </c>
      <c r="AZ3">
        <f>IFERROR(__xludf.DUMMYFUNCTION("GOOGLEFINANCE(B18, ""all"", EDATE(TODAY(), -LEFT(G15, FIND("" "", G15))), TODAY(), ""DAILY"")"),"Date")</f>
        <v/>
      </c>
      <c r="BA3">
        <f>IFERROR(__xludf.DUMMYFUNCTION("""COMPUTED_VALUE"""),"Close")</f>
        <v/>
      </c>
      <c r="BC3">
        <f>IFERROR(__xludf.DUMMYFUNCTION("GOOGLEFINANCE(B18, ""all"", EDATE(TODAY(), -LEFT(G15, FIND("" "", G15))), TODAY(), ""DAILY"")"),"Date")</f>
        <v/>
      </c>
      <c r="BD3">
        <f>IFERROR(__xludf.DUMMYFUNCTION("""COMPUTED_VALUE"""),"Close")</f>
        <v/>
      </c>
      <c r="BF3">
        <f>IFERROR(__xludf.DUMMYFUNCTION("GOOGLEFINANCE(B18, ""all"", EDATE(TODAY(), -LEFT(G15, FIND("" "", G15))), TODAY(), ""DAILY"")"),"Date")</f>
        <v/>
      </c>
      <c r="BG3">
        <f>IFERROR(__xludf.DUMMYFUNCTION("""COMPUTED_VALUE"""),"Close")</f>
        <v/>
      </c>
      <c r="BI3">
        <f>IFERROR(__xludf.DUMMYFUNCTION("GOOGLEFINANCE(B18, ""all"", EDATE(TODAY(), -LEFT(G15, FIND("" "", G15))), TODAY(), ""DAILY"")"),"Date")</f>
        <v/>
      </c>
      <c r="BJ3">
        <f>IFERROR(__xludf.DUMMYFUNCTION("""COMPUTED_VALUE"""),"Close")</f>
        <v/>
      </c>
      <c r="BL3">
        <f>IFERROR(__xludf.DUMMYFUNCTION("GOOGLEFINANCE(B18, ""all"", EDATE(TODAY(), -LEFT(G15, FIND("" "", G15))), TODAY(), ""DAILY"")"),"Date")</f>
        <v/>
      </c>
      <c r="BM3">
        <f>IFERROR(__xludf.DUMMYFUNCTION("""COMPUTED_VALUE"""),"Close")</f>
        <v/>
      </c>
      <c r="BO3">
        <f>IFERROR(__xludf.DUMMYFUNCTION("GOOGLEFINANCE(B18, ""all"", EDATE(TODAY(), -LEFT(G15, FIND("" "", G15))), TODAY(), ""DAILY"")"),"Date")</f>
        <v/>
      </c>
      <c r="BP3">
        <f>IFERROR(__xludf.DUMMYFUNCTION("""COMPUTED_VALUE"""),"Close")</f>
        <v/>
      </c>
      <c r="CB3" t="inlineStr">
        <is>
          <t>IWM</t>
        </is>
      </c>
    </row>
    <row r="4">
      <c r="A4" s="512">
        <f>IFERROR(__xludf.DUMMYFUNCTION("""COMPUTED_VALUE"""),45868.6666666666)</f>
        <v/>
      </c>
      <c r="B4" s="513">
        <f>IFERROR(__xludf.DUMMYFUNCTION("""COMPUTED_VALUE"""),634.46)</f>
        <v/>
      </c>
      <c r="D4" s="512">
        <f>IFERROR(__xludf.DUMMYFUNCTION("""COMPUTED_VALUE"""),45868.6666666666)</f>
        <v/>
      </c>
      <c r="E4" s="513">
        <f>IFERROR(__xludf.DUMMYFUNCTION("""COMPUTED_VALUE"""),90.41)</f>
        <v/>
      </c>
      <c r="G4" s="512">
        <f>IFERROR(__xludf.DUMMYFUNCTION("""COMPUTED_VALUE"""),46052.6666666666)</f>
        <v/>
      </c>
      <c r="H4" s="513">
        <f>IFERROR(__xludf.DUMMYFUNCTION("""COMPUTED_VALUE"""),66.2)</f>
        <v/>
      </c>
      <c r="J4" s="512">
        <f>IFERROR(__xludf.DUMMYFUNCTION("""COMPUTED_VALUE"""),45868.6666666666)</f>
        <v/>
      </c>
      <c r="K4" s="513">
        <f>IFERROR(__xludf.DUMMYFUNCTION("""COMPUTED_VALUE"""),73.98)</f>
        <v/>
      </c>
      <c r="M4" s="512">
        <f>IFERROR(__xludf.DUMMYFUNCTION("""COMPUTED_VALUE"""),45868.6666666666)</f>
        <v/>
      </c>
      <c r="N4" s="513">
        <f>IFERROR(__xludf.DUMMYFUNCTION("""COMPUTED_VALUE"""),221.56)</f>
        <v/>
      </c>
      <c r="P4" s="512">
        <f>IFERROR(__xludf.DUMMYFUNCTION("""COMPUTED_VALUE"""),45868.6666666666)</f>
        <v/>
      </c>
      <c r="Q4" s="513">
        <f>IFERROR(__xludf.DUMMYFUNCTION("""COMPUTED_VALUE"""),76.5)</f>
        <v/>
      </c>
      <c r="S4" s="512">
        <f>IFERROR(__xludf.DUMMYFUNCTION("""COMPUTED_VALUE"""),45138.6666666666)</f>
        <v/>
      </c>
      <c r="T4" s="513">
        <f>IFERROR(__xludf.DUMMYFUNCTION("""COMPUTED_VALUE"""),196.45)</f>
        <v/>
      </c>
      <c r="V4" s="512">
        <f>IFERROR(__xludf.DUMMYFUNCTION("""COMPUTED_VALUE"""),45868.6666666666)</f>
        <v/>
      </c>
      <c r="W4" s="513">
        <f>IFERROR(__xludf.DUMMYFUNCTION("""COMPUTED_VALUE"""),22.64)</f>
        <v/>
      </c>
      <c r="Y4" s="512">
        <f>IFERROR(__xludf.DUMMYFUNCTION("""COMPUTED_VALUE"""),45868.6666666666)</f>
        <v/>
      </c>
      <c r="Z4" s="513">
        <f>IFERROR(__xludf.DUMMYFUNCTION("""COMPUTED_VALUE"""),73.19)</f>
        <v/>
      </c>
      <c r="AB4" s="512">
        <f>IFERROR(__xludf.DUMMYFUNCTION("""COMPUTED_VALUE"""),45868.6666666666)</f>
        <v/>
      </c>
      <c r="AC4" s="513">
        <f>IFERROR(__xludf.DUMMYFUNCTION("""COMPUTED_VALUE"""),50.06)</f>
        <v/>
      </c>
      <c r="AE4" s="512">
        <f>IFERROR(__xludf.DUMMYFUNCTION("""COMPUTED_VALUE"""),45868.6666666666)</f>
        <v/>
      </c>
      <c r="AF4" s="513">
        <f>IFERROR(__xludf.DUMMYFUNCTION("""COMPUTED_VALUE"""),92.85)</f>
        <v/>
      </c>
      <c r="AH4" s="512">
        <f>IFERROR(__xludf.DUMMYFUNCTION("""COMPUTED_VALUE"""),45868.6666666666)</f>
        <v/>
      </c>
      <c r="AI4" s="513">
        <f>IFERROR(__xludf.DUMMYFUNCTION("""COMPUTED_VALUE"""),22.62)</f>
        <v/>
      </c>
      <c r="AK4" s="512">
        <f>IFERROR(__xludf.DUMMYFUNCTION("""COMPUTED_VALUE"""),45868.6666666666)</f>
        <v/>
      </c>
      <c r="AL4" s="513">
        <f>IFERROR(__xludf.DUMMYFUNCTION("""COMPUTED_VALUE"""),80.33)</f>
        <v/>
      </c>
      <c r="AN4" s="512">
        <f>IFERROR(__xludf.DUMMYFUNCTION("""COMPUTED_VALUE"""),45868.6666666666)</f>
        <v/>
      </c>
      <c r="AO4" s="513">
        <f>IFERROR(__xludf.DUMMYFUNCTION("""COMPUTED_VALUE"""),109.85)</f>
        <v/>
      </c>
      <c r="AQ4" s="512">
        <f>IFERROR(__xludf.DUMMYFUNCTION("""COMPUTED_VALUE"""),45868.6666666666)</f>
        <v/>
      </c>
      <c r="AR4" s="513">
        <f>IFERROR(__xludf.DUMMYFUNCTION("""COMPUTED_VALUE"""),88.47)</f>
        <v/>
      </c>
      <c r="AT4" s="512">
        <f>IFERROR(__xludf.DUMMYFUNCTION("""COMPUTED_VALUE"""),45868.6666666666)</f>
        <v/>
      </c>
      <c r="AU4" s="513">
        <f>IFERROR(__xludf.DUMMYFUNCTION("""COMPUTED_VALUE"""),48.84)</f>
        <v/>
      </c>
      <c r="AW4" s="512">
        <f>IFERROR(__xludf.DUMMYFUNCTION("""COMPUTED_VALUE"""),45868.6666666666)</f>
        <v/>
      </c>
      <c r="AX4" s="513">
        <f>IFERROR(__xludf.DUMMYFUNCTION("""COMPUTED_VALUE"""),98.57)</f>
        <v/>
      </c>
      <c r="AZ4" s="512">
        <f>IFERROR(__xludf.DUMMYFUNCTION("""COMPUTED_VALUE"""),45868.6666666666)</f>
        <v/>
      </c>
      <c r="BA4" s="513">
        <f>IFERROR(__xludf.DUMMYFUNCTION("""COMPUTED_VALUE"""),109.08)</f>
        <v/>
      </c>
      <c r="BC4" s="512">
        <f>IFERROR(__xludf.DUMMYFUNCTION("""COMPUTED_VALUE"""),45868.6666666666)</f>
        <v/>
      </c>
      <c r="BD4" s="513">
        <f>IFERROR(__xludf.DUMMYFUNCTION("""COMPUTED_VALUE"""),94.82)</f>
        <v/>
      </c>
      <c r="BF4" s="512">
        <f>IFERROR(__xludf.DUMMYFUNCTION("""COMPUTED_VALUE"""),45868.6666666666)</f>
        <v/>
      </c>
      <c r="BG4" s="513">
        <f>IFERROR(__xludf.DUMMYFUNCTION("""COMPUTED_VALUE"""),82.52)</f>
        <v/>
      </c>
      <c r="BI4" s="512">
        <f>IFERROR(__xludf.DUMMYFUNCTION("""COMPUTED_VALUE"""),45868.6666666666)</f>
        <v/>
      </c>
      <c r="BJ4" s="513">
        <f>IFERROR(__xludf.DUMMYFUNCTION("""COMPUTED_VALUE"""),86.87)</f>
        <v/>
      </c>
      <c r="BL4" s="512">
        <f>IFERROR(__xludf.DUMMYFUNCTION("""COMPUTED_VALUE"""),45868.6666666666)</f>
        <v/>
      </c>
      <c r="BM4" s="513">
        <f>IFERROR(__xludf.DUMMYFUNCTION("""COMPUTED_VALUE"""),300.96)</f>
        <v/>
      </c>
      <c r="BO4" s="512">
        <f>IFERROR(__xludf.DUMMYFUNCTION("""COMPUTED_VALUE"""),45868.6666666666)</f>
        <v/>
      </c>
      <c r="BP4" s="513">
        <f>IFERROR(__xludf.DUMMYFUNCTION("""COMPUTED_VALUE"""),91.74)</f>
        <v/>
      </c>
      <c r="CB4" t="inlineStr">
        <is>
          <t>VGK</t>
        </is>
      </c>
    </row>
    <row r="5">
      <c r="A5" s="512">
        <f>IFERROR(__xludf.DUMMYFUNCTION("""COMPUTED_VALUE"""),45869.6666666666)</f>
        <v/>
      </c>
      <c r="B5" s="513">
        <f>IFERROR(__xludf.DUMMYFUNCTION("""COMPUTED_VALUE"""),632.08)</f>
        <v/>
      </c>
      <c r="D5" s="512">
        <f>IFERROR(__xludf.DUMMYFUNCTION("""COMPUTED_VALUE"""),45869.6666666666)</f>
        <v/>
      </c>
      <c r="E5" s="513">
        <f>IFERROR(__xludf.DUMMYFUNCTION("""COMPUTED_VALUE"""),89.14)</f>
        <v/>
      </c>
      <c r="G5" s="512">
        <f>IFERROR(__xludf.DUMMYFUNCTION("""COMPUTED_VALUE"""),46055.6666666666)</f>
        <v/>
      </c>
      <c r="H5" s="513">
        <f>IFERROR(__xludf.DUMMYFUNCTION("""COMPUTED_VALUE"""),66.46)</f>
        <v/>
      </c>
      <c r="J5" s="512">
        <f>IFERROR(__xludf.DUMMYFUNCTION("""COMPUTED_VALUE"""),45869.6666666666)</f>
        <v/>
      </c>
      <c r="K5" s="513">
        <f>IFERROR(__xludf.DUMMYFUNCTION("""COMPUTED_VALUE"""),73.62)</f>
        <v/>
      </c>
      <c r="M5" s="512">
        <f>IFERROR(__xludf.DUMMYFUNCTION("""COMPUTED_VALUE"""),45869.6666666666)</f>
        <v/>
      </c>
      <c r="N5" s="513">
        <f>IFERROR(__xludf.DUMMYFUNCTION("""COMPUTED_VALUE"""),219.39)</f>
        <v/>
      </c>
      <c r="P5" s="512">
        <f>IFERROR(__xludf.DUMMYFUNCTION("""COMPUTED_VALUE"""),45869.6666666666)</f>
        <v/>
      </c>
      <c r="Q5" s="513">
        <f>IFERROR(__xludf.DUMMYFUNCTION("""COMPUTED_VALUE"""),75.65)</f>
        <v/>
      </c>
      <c r="S5" s="512">
        <f>IFERROR(__xludf.DUMMYFUNCTION("""COMPUTED_VALUE"""),45139.6666666666)</f>
        <v/>
      </c>
      <c r="T5" s="513">
        <f>IFERROR(__xludf.DUMMYFUNCTION("""COMPUTED_VALUE"""),195.61)</f>
        <v/>
      </c>
      <c r="V5" s="512">
        <f>IFERROR(__xludf.DUMMYFUNCTION("""COMPUTED_VALUE"""),45869.6666666666)</f>
        <v/>
      </c>
      <c r="W5" s="513">
        <f>IFERROR(__xludf.DUMMYFUNCTION("""COMPUTED_VALUE"""),22.45)</f>
        <v/>
      </c>
      <c r="Y5" s="512">
        <f>IFERROR(__xludf.DUMMYFUNCTION("""COMPUTED_VALUE"""),45869.6666666666)</f>
        <v/>
      </c>
      <c r="Z5" s="513">
        <f>IFERROR(__xludf.DUMMYFUNCTION("""COMPUTED_VALUE"""),73.2)</f>
        <v/>
      </c>
      <c r="AB5" s="512">
        <f>IFERROR(__xludf.DUMMYFUNCTION("""COMPUTED_VALUE"""),45869.6666666666)</f>
        <v/>
      </c>
      <c r="AC5" s="513">
        <f>IFERROR(__xludf.DUMMYFUNCTION("""COMPUTED_VALUE"""),49.8)</f>
        <v/>
      </c>
      <c r="AE5" s="512">
        <f>IFERROR(__xludf.DUMMYFUNCTION("""COMPUTED_VALUE"""),45869.6666666666)</f>
        <v/>
      </c>
      <c r="AF5" s="513">
        <f>IFERROR(__xludf.DUMMYFUNCTION("""COMPUTED_VALUE"""),92.87)</f>
        <v/>
      </c>
      <c r="AH5" s="512">
        <f>IFERROR(__xludf.DUMMYFUNCTION("""COMPUTED_VALUE"""),45869.6666666666)</f>
        <v/>
      </c>
      <c r="AI5" s="513">
        <f>IFERROR(__xludf.DUMMYFUNCTION("""COMPUTED_VALUE"""),22.58)</f>
        <v/>
      </c>
      <c r="AK5" s="512">
        <f>IFERROR(__xludf.DUMMYFUNCTION("""COMPUTED_VALUE"""),45869.6666666666)</f>
        <v/>
      </c>
      <c r="AL5" s="513">
        <f>IFERROR(__xludf.DUMMYFUNCTION("""COMPUTED_VALUE"""),80.38)</f>
        <v/>
      </c>
      <c r="AN5" s="512">
        <f>IFERROR(__xludf.DUMMYFUNCTION("""COMPUTED_VALUE"""),45869.6666666666)</f>
        <v/>
      </c>
      <c r="AO5" s="513">
        <f>IFERROR(__xludf.DUMMYFUNCTION("""COMPUTED_VALUE"""),109.67)</f>
        <v/>
      </c>
      <c r="AQ5" s="512">
        <f>IFERROR(__xludf.DUMMYFUNCTION("""COMPUTED_VALUE"""),45869.6666666666)</f>
        <v/>
      </c>
      <c r="AR5" s="513">
        <f>IFERROR(__xludf.DUMMYFUNCTION("""COMPUTED_VALUE"""),87.52)</f>
        <v/>
      </c>
      <c r="AT5" s="512">
        <f>IFERROR(__xludf.DUMMYFUNCTION("""COMPUTED_VALUE"""),45869.6666666666)</f>
        <v/>
      </c>
      <c r="AU5" s="513">
        <f>IFERROR(__xludf.DUMMYFUNCTION("""COMPUTED_VALUE"""),48.56)</f>
        <v/>
      </c>
      <c r="AW5" s="512">
        <f>IFERROR(__xludf.DUMMYFUNCTION("""COMPUTED_VALUE"""),45869.6666666666)</f>
        <v/>
      </c>
      <c r="AX5" s="513">
        <f>IFERROR(__xludf.DUMMYFUNCTION("""COMPUTED_VALUE"""),98.62)</f>
        <v/>
      </c>
      <c r="AZ5" s="512">
        <f>IFERROR(__xludf.DUMMYFUNCTION("""COMPUTED_VALUE"""),45869.6666666666)</f>
        <v/>
      </c>
      <c r="BA5" s="513">
        <f>IFERROR(__xludf.DUMMYFUNCTION("""COMPUTED_VALUE"""),109.11)</f>
        <v/>
      </c>
      <c r="BC5" s="512">
        <f>IFERROR(__xludf.DUMMYFUNCTION("""COMPUTED_VALUE"""),45869.6666666666)</f>
        <v/>
      </c>
      <c r="BD5" s="513">
        <f>IFERROR(__xludf.DUMMYFUNCTION("""COMPUTED_VALUE"""),94.9)</f>
        <v/>
      </c>
      <c r="BF5" s="512">
        <f>IFERROR(__xludf.DUMMYFUNCTION("""COMPUTED_VALUE"""),45869.6666666666)</f>
        <v/>
      </c>
      <c r="BG5" s="513">
        <f>IFERROR(__xludf.DUMMYFUNCTION("""COMPUTED_VALUE"""),82.52)</f>
        <v/>
      </c>
      <c r="BI5" s="512">
        <f>IFERROR(__xludf.DUMMYFUNCTION("""COMPUTED_VALUE"""),45869.6666666666)</f>
        <v/>
      </c>
      <c r="BJ5" s="513">
        <f>IFERROR(__xludf.DUMMYFUNCTION("""COMPUTED_VALUE"""),86.92)</f>
        <v/>
      </c>
      <c r="BL5" s="512">
        <f>IFERROR(__xludf.DUMMYFUNCTION("""COMPUTED_VALUE"""),45869.6666666666)</f>
        <v/>
      </c>
      <c r="BM5" s="513">
        <f>IFERROR(__xludf.DUMMYFUNCTION("""COMPUTED_VALUE"""),302.96)</f>
        <v/>
      </c>
      <c r="BO5" s="512">
        <f>IFERROR(__xludf.DUMMYFUNCTION("""COMPUTED_VALUE"""),45869.6666666666)</f>
        <v/>
      </c>
      <c r="BP5" s="513">
        <f>IFERROR(__xludf.DUMMYFUNCTION("""COMPUTED_VALUE"""),91.75)</f>
        <v/>
      </c>
      <c r="CB5" t="inlineStr">
        <is>
          <t>EWJ</t>
        </is>
      </c>
    </row>
    <row r="6">
      <c r="A6" s="512">
        <f>IFERROR(__xludf.DUMMYFUNCTION("""COMPUTED_VALUE"""),45870.6666666666)</f>
        <v/>
      </c>
      <c r="B6" s="513">
        <f>IFERROR(__xludf.DUMMYFUNCTION("""COMPUTED_VALUE"""),621.72)</f>
        <v/>
      </c>
      <c r="D6" s="512">
        <f>IFERROR(__xludf.DUMMYFUNCTION("""COMPUTED_VALUE"""),45870.6666666666)</f>
        <v/>
      </c>
      <c r="E6" s="513">
        <f>IFERROR(__xludf.DUMMYFUNCTION("""COMPUTED_VALUE"""),88.92)</f>
        <v/>
      </c>
      <c r="G6" s="512">
        <f>IFERROR(__xludf.DUMMYFUNCTION("""COMPUTED_VALUE"""),46056.6666666666)</f>
        <v/>
      </c>
      <c r="H6" s="513">
        <f>IFERROR(__xludf.DUMMYFUNCTION("""COMPUTED_VALUE"""),66.72)</f>
        <v/>
      </c>
      <c r="J6" s="512">
        <f>IFERROR(__xludf.DUMMYFUNCTION("""COMPUTED_VALUE"""),45870.6666666666)</f>
        <v/>
      </c>
      <c r="K6" s="513">
        <f>IFERROR(__xludf.DUMMYFUNCTION("""COMPUTED_VALUE"""),74.07)</f>
        <v/>
      </c>
      <c r="M6" s="512">
        <f>IFERROR(__xludf.DUMMYFUNCTION("""COMPUTED_VALUE"""),45870.6666666666)</f>
        <v/>
      </c>
      <c r="N6" s="513">
        <f>IFERROR(__xludf.DUMMYFUNCTION("""COMPUTED_VALUE"""),214.92)</f>
        <v/>
      </c>
      <c r="P6" s="512">
        <f>IFERROR(__xludf.DUMMYFUNCTION("""COMPUTED_VALUE"""),45870.6666666666)</f>
        <v/>
      </c>
      <c r="Q6" s="513">
        <f>IFERROR(__xludf.DUMMYFUNCTION("""COMPUTED_VALUE"""),75.26)</f>
        <v/>
      </c>
      <c r="S6" s="512">
        <f>IFERROR(__xludf.DUMMYFUNCTION("""COMPUTED_VALUE"""),45140.6666666666)</f>
        <v/>
      </c>
      <c r="T6" s="513">
        <f>IFERROR(__xludf.DUMMYFUNCTION("""COMPUTED_VALUE"""),192.58)</f>
        <v/>
      </c>
      <c r="V6" s="512">
        <f>IFERROR(__xludf.DUMMYFUNCTION("""COMPUTED_VALUE"""),45870.6666666666)</f>
        <v/>
      </c>
      <c r="W6" s="513">
        <f>IFERROR(__xludf.DUMMYFUNCTION("""COMPUTED_VALUE"""),22.09)</f>
        <v/>
      </c>
      <c r="Y6" s="512">
        <f>IFERROR(__xludf.DUMMYFUNCTION("""COMPUTED_VALUE"""),45870.6666666666)</f>
        <v/>
      </c>
      <c r="Z6" s="513">
        <f>IFERROR(__xludf.DUMMYFUNCTION("""COMPUTED_VALUE"""),73.59)</f>
        <v/>
      </c>
      <c r="AB6" s="512">
        <f>IFERROR(__xludf.DUMMYFUNCTION("""COMPUTED_VALUE"""),45870.6666666666)</f>
        <v/>
      </c>
      <c r="AC6" s="513">
        <f>IFERROR(__xludf.DUMMYFUNCTION("""COMPUTED_VALUE"""),49.54)</f>
        <v/>
      </c>
      <c r="AE6" s="512">
        <f>IFERROR(__xludf.DUMMYFUNCTION("""COMPUTED_VALUE"""),45870.6666666666)</f>
        <v/>
      </c>
      <c r="AF6" s="513">
        <f>IFERROR(__xludf.DUMMYFUNCTION("""COMPUTED_VALUE"""),92.72)</f>
        <v/>
      </c>
      <c r="AH6" s="512">
        <f>IFERROR(__xludf.DUMMYFUNCTION("""COMPUTED_VALUE"""),45870.6666666666)</f>
        <v/>
      </c>
      <c r="AI6" s="513">
        <f>IFERROR(__xludf.DUMMYFUNCTION("""COMPUTED_VALUE"""),22.9)</f>
        <v/>
      </c>
      <c r="AK6" s="512">
        <f>IFERROR(__xludf.DUMMYFUNCTION("""COMPUTED_VALUE"""),45870.6666666666)</f>
        <v/>
      </c>
      <c r="AL6" s="513">
        <f>IFERROR(__xludf.DUMMYFUNCTION("""COMPUTED_VALUE"""),79.98)</f>
        <v/>
      </c>
      <c r="AN6" s="512">
        <f>IFERROR(__xludf.DUMMYFUNCTION("""COMPUTED_VALUE"""),45870.6666666666)</f>
        <v/>
      </c>
      <c r="AO6" s="513">
        <f>IFERROR(__xludf.DUMMYFUNCTION("""COMPUTED_VALUE"""),110.17)</f>
        <v/>
      </c>
      <c r="AQ6" s="512">
        <f>IFERROR(__xludf.DUMMYFUNCTION("""COMPUTED_VALUE"""),45870.6666666666)</f>
        <v/>
      </c>
      <c r="AR6" s="513">
        <f>IFERROR(__xludf.DUMMYFUNCTION("""COMPUTED_VALUE"""),87.29)</f>
        <v/>
      </c>
      <c r="AT6" s="512">
        <f>IFERROR(__xludf.DUMMYFUNCTION("""COMPUTED_VALUE"""),45870.6666666666)</f>
        <v/>
      </c>
      <c r="AU6" s="513">
        <f>IFERROR(__xludf.DUMMYFUNCTION("""COMPUTED_VALUE"""),48.2)</f>
        <v/>
      </c>
      <c r="AW6" s="512">
        <f>IFERROR(__xludf.DUMMYFUNCTION("""COMPUTED_VALUE"""),45870.6666666666)</f>
        <v/>
      </c>
      <c r="AX6" s="513">
        <f>IFERROR(__xludf.DUMMYFUNCTION("""COMPUTED_VALUE"""),99.14)</f>
        <v/>
      </c>
      <c r="AZ6" s="512">
        <f>IFERROR(__xludf.DUMMYFUNCTION("""COMPUTED_VALUE"""),45870.6666666666)</f>
        <v/>
      </c>
      <c r="BA6" s="513">
        <f>IFERROR(__xludf.DUMMYFUNCTION("""COMPUTED_VALUE"""),109.63)</f>
        <v/>
      </c>
      <c r="BC6" s="512">
        <f>IFERROR(__xludf.DUMMYFUNCTION("""COMPUTED_VALUE"""),45870.6666666666)</f>
        <v/>
      </c>
      <c r="BD6" s="513">
        <f>IFERROR(__xludf.DUMMYFUNCTION("""COMPUTED_VALUE"""),95.68)</f>
        <v/>
      </c>
      <c r="BF6" s="512">
        <f>IFERROR(__xludf.DUMMYFUNCTION("""COMPUTED_VALUE"""),45870.6666666666)</f>
        <v/>
      </c>
      <c r="BG6" s="513">
        <f>IFERROR(__xludf.DUMMYFUNCTION("""COMPUTED_VALUE"""),82.66)</f>
        <v/>
      </c>
      <c r="BI6" s="512">
        <f>IFERROR(__xludf.DUMMYFUNCTION("""COMPUTED_VALUE"""),45870.6666666666)</f>
        <v/>
      </c>
      <c r="BJ6" s="513">
        <f>IFERROR(__xludf.DUMMYFUNCTION("""COMPUTED_VALUE"""),87.82)</f>
        <v/>
      </c>
      <c r="BL6" s="512">
        <f>IFERROR(__xludf.DUMMYFUNCTION("""COMPUTED_VALUE"""),45870.6666666666)</f>
        <v/>
      </c>
      <c r="BM6" s="513">
        <f>IFERROR(__xludf.DUMMYFUNCTION("""COMPUTED_VALUE"""),309.11)</f>
        <v/>
      </c>
      <c r="BO6" s="512">
        <f>IFERROR(__xludf.DUMMYFUNCTION("""COMPUTED_VALUE"""),45870.6666666666)</f>
        <v/>
      </c>
      <c r="BP6" s="513">
        <f>IFERROR(__xludf.DUMMYFUNCTION("""COMPUTED_VALUE"""),91.47)</f>
        <v/>
      </c>
      <c r="CB6" t="inlineStr">
        <is>
          <t>VWO</t>
        </is>
      </c>
    </row>
    <row r="7">
      <c r="A7" s="512">
        <f>IFERROR(__xludf.DUMMYFUNCTION("""COMPUTED_VALUE"""),45873.6666666666)</f>
        <v/>
      </c>
      <c r="B7" s="513">
        <f>IFERROR(__xludf.DUMMYFUNCTION("""COMPUTED_VALUE"""),631.17)</f>
        <v/>
      </c>
      <c r="D7" s="512">
        <f>IFERROR(__xludf.DUMMYFUNCTION("""COMPUTED_VALUE"""),45873.6666666666)</f>
        <v/>
      </c>
      <c r="E7" s="513">
        <f>IFERROR(__xludf.DUMMYFUNCTION("""COMPUTED_VALUE"""),89.83)</f>
        <v/>
      </c>
      <c r="G7" s="512">
        <f>IFERROR(__xludf.DUMMYFUNCTION("""COMPUTED_VALUE"""),46057.6666666666)</f>
        <v/>
      </c>
      <c r="H7" s="513">
        <f>IFERROR(__xludf.DUMMYFUNCTION("""COMPUTED_VALUE"""),66.8)</f>
        <v/>
      </c>
      <c r="J7" s="512">
        <f>IFERROR(__xludf.DUMMYFUNCTION("""COMPUTED_VALUE"""),45873.6666666666)</f>
        <v/>
      </c>
      <c r="K7" s="513">
        <f>IFERROR(__xludf.DUMMYFUNCTION("""COMPUTED_VALUE"""),75.29)</f>
        <v/>
      </c>
      <c r="M7" s="512">
        <f>IFERROR(__xludf.DUMMYFUNCTION("""COMPUTED_VALUE"""),45873.6666666666)</f>
        <v/>
      </c>
      <c r="N7" s="513">
        <f>IFERROR(__xludf.DUMMYFUNCTION("""COMPUTED_VALUE"""),219.73)</f>
        <v/>
      </c>
      <c r="P7" s="512">
        <f>IFERROR(__xludf.DUMMYFUNCTION("""COMPUTED_VALUE"""),45873.6666666666)</f>
        <v/>
      </c>
      <c r="Q7" s="513">
        <f>IFERROR(__xludf.DUMMYFUNCTION("""COMPUTED_VALUE"""),76.13)</f>
        <v/>
      </c>
      <c r="S7" s="512">
        <f>IFERROR(__xludf.DUMMYFUNCTION("""COMPUTED_VALUE"""),45141.6666666666)</f>
        <v/>
      </c>
      <c r="T7" s="513">
        <f>IFERROR(__xludf.DUMMYFUNCTION("""COMPUTED_VALUE"""),191.17)</f>
        <v/>
      </c>
      <c r="V7" s="512">
        <f>IFERROR(__xludf.DUMMYFUNCTION("""COMPUTED_VALUE"""),45873.6666666666)</f>
        <v/>
      </c>
      <c r="W7" s="513">
        <f>IFERROR(__xludf.DUMMYFUNCTION("""COMPUTED_VALUE"""),22.01)</f>
        <v/>
      </c>
      <c r="Y7" s="512">
        <f>IFERROR(__xludf.DUMMYFUNCTION("""COMPUTED_VALUE"""),45873.6666666666)</f>
        <v/>
      </c>
      <c r="Z7" s="513">
        <f>IFERROR(__xludf.DUMMYFUNCTION("""COMPUTED_VALUE"""),73.64)</f>
        <v/>
      </c>
      <c r="AB7" s="512">
        <f>IFERROR(__xludf.DUMMYFUNCTION("""COMPUTED_VALUE"""),45873.6666666666)</f>
        <v/>
      </c>
      <c r="AC7" s="513">
        <f>IFERROR(__xludf.DUMMYFUNCTION("""COMPUTED_VALUE"""),50)</f>
        <v/>
      </c>
      <c r="AE7" s="512">
        <f>IFERROR(__xludf.DUMMYFUNCTION("""COMPUTED_VALUE"""),45873.6666666666)</f>
        <v/>
      </c>
      <c r="AF7" s="513">
        <f>IFERROR(__xludf.DUMMYFUNCTION("""COMPUTED_VALUE"""),93.18)</f>
        <v/>
      </c>
      <c r="AH7" s="512">
        <f>IFERROR(__xludf.DUMMYFUNCTION("""COMPUTED_VALUE"""),45873.6666666666)</f>
        <v/>
      </c>
      <c r="AI7" s="513">
        <f>IFERROR(__xludf.DUMMYFUNCTION("""COMPUTED_VALUE"""),22.96)</f>
        <v/>
      </c>
      <c r="AK7" s="512">
        <f>IFERROR(__xludf.DUMMYFUNCTION("""COMPUTED_VALUE"""),45873.6666666666)</f>
        <v/>
      </c>
      <c r="AL7" s="513">
        <f>IFERROR(__xludf.DUMMYFUNCTION("""COMPUTED_VALUE"""),80.25)</f>
        <v/>
      </c>
      <c r="AN7" s="512">
        <f>IFERROR(__xludf.DUMMYFUNCTION("""COMPUTED_VALUE"""),45873.6666666666)</f>
        <v/>
      </c>
      <c r="AO7" s="513">
        <f>IFERROR(__xludf.DUMMYFUNCTION("""COMPUTED_VALUE"""),110.49)</f>
        <v/>
      </c>
      <c r="AQ7" s="512">
        <f>IFERROR(__xludf.DUMMYFUNCTION("""COMPUTED_VALUE"""),45873.6666666666)</f>
        <v/>
      </c>
      <c r="AR7" s="513">
        <f>IFERROR(__xludf.DUMMYFUNCTION("""COMPUTED_VALUE"""),88.45)</f>
        <v/>
      </c>
      <c r="AT7" s="512">
        <f>IFERROR(__xludf.DUMMYFUNCTION("""COMPUTED_VALUE"""),45873.6666666666)</f>
        <v/>
      </c>
      <c r="AU7" s="513">
        <f>IFERROR(__xludf.DUMMYFUNCTION("""COMPUTED_VALUE"""),48.7)</f>
        <v/>
      </c>
      <c r="AW7" s="512">
        <f>IFERROR(__xludf.DUMMYFUNCTION("""COMPUTED_VALUE"""),45873.6666666666)</f>
        <v/>
      </c>
      <c r="AX7" s="513">
        <f>IFERROR(__xludf.DUMMYFUNCTION("""COMPUTED_VALUE"""),99.22)</f>
        <v/>
      </c>
      <c r="AZ7" s="512">
        <f>IFERROR(__xludf.DUMMYFUNCTION("""COMPUTED_VALUE"""),45873.6666666666)</f>
        <v/>
      </c>
      <c r="BA7" s="513">
        <f>IFERROR(__xludf.DUMMYFUNCTION("""COMPUTED_VALUE"""),109.82)</f>
        <v/>
      </c>
      <c r="BC7" s="512">
        <f>IFERROR(__xludf.DUMMYFUNCTION("""COMPUTED_VALUE"""),45873.6666666666)</f>
        <v/>
      </c>
      <c r="BD7" s="513">
        <f>IFERROR(__xludf.DUMMYFUNCTION("""COMPUTED_VALUE"""),95.81)</f>
        <v/>
      </c>
      <c r="BF7" s="512">
        <f>IFERROR(__xludf.DUMMYFUNCTION("""COMPUTED_VALUE"""),45873.6666666666)</f>
        <v/>
      </c>
      <c r="BG7" s="513">
        <f>IFERROR(__xludf.DUMMYFUNCTION("""COMPUTED_VALUE"""),82.68)</f>
        <v/>
      </c>
      <c r="BI7" s="512">
        <f>IFERROR(__xludf.DUMMYFUNCTION("""COMPUTED_VALUE"""),45873.6666666666)</f>
        <v/>
      </c>
      <c r="BJ7" s="513">
        <f>IFERROR(__xludf.DUMMYFUNCTION("""COMPUTED_VALUE"""),88.06)</f>
        <v/>
      </c>
      <c r="BL7" s="512">
        <f>IFERROR(__xludf.DUMMYFUNCTION("""COMPUTED_VALUE"""),45873.6666666666)</f>
        <v/>
      </c>
      <c r="BM7" s="513">
        <f>IFERROR(__xludf.DUMMYFUNCTION("""COMPUTED_VALUE"""),310.91)</f>
        <v/>
      </c>
      <c r="BO7" s="512">
        <f>IFERROR(__xludf.DUMMYFUNCTION("""COMPUTED_VALUE"""),45873.6666666666)</f>
        <v/>
      </c>
      <c r="BP7" s="513">
        <f>IFERROR(__xludf.DUMMYFUNCTION("""COMPUTED_VALUE"""),91.48)</f>
        <v/>
      </c>
      <c r="CB7" t="inlineStr">
        <is>
          <t>VEA</t>
        </is>
      </c>
    </row>
    <row r="8">
      <c r="A8" s="512">
        <f>IFERROR(__xludf.DUMMYFUNCTION("""COMPUTED_VALUE"""),45874.6666666666)</f>
        <v/>
      </c>
      <c r="B8" s="513">
        <f>IFERROR(__xludf.DUMMYFUNCTION("""COMPUTED_VALUE"""),627.97)</f>
        <v/>
      </c>
      <c r="D8" s="512">
        <f>IFERROR(__xludf.DUMMYFUNCTION("""COMPUTED_VALUE"""),45874.6666666666)</f>
        <v/>
      </c>
      <c r="E8" s="513">
        <f>IFERROR(__xludf.DUMMYFUNCTION("""COMPUTED_VALUE"""),90.24)</f>
        <v/>
      </c>
      <c r="G8" s="512">
        <f>IFERROR(__xludf.DUMMYFUNCTION("""COMPUTED_VALUE"""),46058.6666666666)</f>
        <v/>
      </c>
      <c r="H8" s="513">
        <f>IFERROR(__xludf.DUMMYFUNCTION("""COMPUTED_VALUE"""),65.9)</f>
        <v/>
      </c>
      <c r="J8" s="512">
        <f>IFERROR(__xludf.DUMMYFUNCTION("""COMPUTED_VALUE"""),45874.6666666666)</f>
        <v/>
      </c>
      <c r="K8" s="513">
        <f>IFERROR(__xludf.DUMMYFUNCTION("""COMPUTED_VALUE"""),75.03)</f>
        <v/>
      </c>
      <c r="M8" s="512">
        <f>IFERROR(__xludf.DUMMYFUNCTION("""COMPUTED_VALUE"""),45874.6666666666)</f>
        <v/>
      </c>
      <c r="N8" s="513">
        <f>IFERROR(__xludf.DUMMYFUNCTION("""COMPUTED_VALUE"""),220.85)</f>
        <v/>
      </c>
      <c r="P8" s="512">
        <f>IFERROR(__xludf.DUMMYFUNCTION("""COMPUTED_VALUE"""),45874.6666666666)</f>
        <v/>
      </c>
      <c r="Q8" s="513">
        <f>IFERROR(__xludf.DUMMYFUNCTION("""COMPUTED_VALUE"""),76.21)</f>
        <v/>
      </c>
      <c r="S8" s="512">
        <f>IFERROR(__xludf.DUMMYFUNCTION("""COMPUTED_VALUE"""),45142.6666666666)</f>
        <v/>
      </c>
      <c r="T8" s="513">
        <f>IFERROR(__xludf.DUMMYFUNCTION("""COMPUTED_VALUE"""),181.99)</f>
        <v/>
      </c>
      <c r="V8" s="512">
        <f>IFERROR(__xludf.DUMMYFUNCTION("""COMPUTED_VALUE"""),45874.6666666666)</f>
        <v/>
      </c>
      <c r="W8" s="513">
        <f>IFERROR(__xludf.DUMMYFUNCTION("""COMPUTED_VALUE"""),21.82)</f>
        <v/>
      </c>
      <c r="Y8" s="512">
        <f>IFERROR(__xludf.DUMMYFUNCTION("""COMPUTED_VALUE"""),45874.6666666666)</f>
        <v/>
      </c>
      <c r="Z8" s="513">
        <f>IFERROR(__xludf.DUMMYFUNCTION("""COMPUTED_VALUE"""),73.67)</f>
        <v/>
      </c>
      <c r="AB8" s="512">
        <f>IFERROR(__xludf.DUMMYFUNCTION("""COMPUTED_VALUE"""),45874.6666666666)</f>
        <v/>
      </c>
      <c r="AC8" s="513">
        <f>IFERROR(__xludf.DUMMYFUNCTION("""COMPUTED_VALUE"""),50.16)</f>
        <v/>
      </c>
      <c r="AE8" s="512">
        <f>IFERROR(__xludf.DUMMYFUNCTION("""COMPUTED_VALUE"""),45874.6666666666)</f>
        <v/>
      </c>
      <c r="AF8" s="513">
        <f>IFERROR(__xludf.DUMMYFUNCTION("""COMPUTED_VALUE"""),93.18)</f>
        <v/>
      </c>
      <c r="AH8" s="512">
        <f>IFERROR(__xludf.DUMMYFUNCTION("""COMPUTED_VALUE"""),45874.6666666666)</f>
        <v/>
      </c>
      <c r="AI8" s="513">
        <f>IFERROR(__xludf.DUMMYFUNCTION("""COMPUTED_VALUE"""),22.93)</f>
        <v/>
      </c>
      <c r="AK8" s="512">
        <f>IFERROR(__xludf.DUMMYFUNCTION("""COMPUTED_VALUE"""),45874.6666666666)</f>
        <v/>
      </c>
      <c r="AL8" s="513">
        <f>IFERROR(__xludf.DUMMYFUNCTION("""COMPUTED_VALUE"""),80.21)</f>
        <v/>
      </c>
      <c r="AN8" s="512">
        <f>IFERROR(__xludf.DUMMYFUNCTION("""COMPUTED_VALUE"""),45874.6666666666)</f>
        <v/>
      </c>
      <c r="AO8" s="513">
        <f>IFERROR(__xludf.DUMMYFUNCTION("""COMPUTED_VALUE"""),110.39)</f>
        <v/>
      </c>
      <c r="AQ8" s="512">
        <f>IFERROR(__xludf.DUMMYFUNCTION("""COMPUTED_VALUE"""),45874.6666666666)</f>
        <v/>
      </c>
      <c r="AR8" s="513">
        <f>IFERROR(__xludf.DUMMYFUNCTION("""COMPUTED_VALUE"""),88.44)</f>
        <v/>
      </c>
      <c r="AT8" s="512">
        <f>IFERROR(__xludf.DUMMYFUNCTION("""COMPUTED_VALUE"""),45874.6666666666)</f>
        <v/>
      </c>
      <c r="AU8" s="513">
        <f>IFERROR(__xludf.DUMMYFUNCTION("""COMPUTED_VALUE"""),48.84)</f>
        <v/>
      </c>
      <c r="AW8" s="512">
        <f>IFERROR(__xludf.DUMMYFUNCTION("""COMPUTED_VALUE"""),45874.6666666666)</f>
        <v/>
      </c>
      <c r="AX8" s="513">
        <f>IFERROR(__xludf.DUMMYFUNCTION("""COMPUTED_VALUE"""),99.25)</f>
        <v/>
      </c>
      <c r="AZ8" s="512">
        <f>IFERROR(__xludf.DUMMYFUNCTION("""COMPUTED_VALUE"""),45874.6666666666)</f>
        <v/>
      </c>
      <c r="BA8" s="513">
        <f>IFERROR(__xludf.DUMMYFUNCTION("""COMPUTED_VALUE"""),109.9)</f>
        <v/>
      </c>
      <c r="BC8" s="512">
        <f>IFERROR(__xludf.DUMMYFUNCTION("""COMPUTED_VALUE"""),45874.6666666666)</f>
        <v/>
      </c>
      <c r="BD8" s="513">
        <f>IFERROR(__xludf.DUMMYFUNCTION("""COMPUTED_VALUE"""),95.74)</f>
        <v/>
      </c>
      <c r="BF8" s="512">
        <f>IFERROR(__xludf.DUMMYFUNCTION("""COMPUTED_VALUE"""),45874.6666666666)</f>
        <v/>
      </c>
      <c r="BG8" s="513">
        <f>IFERROR(__xludf.DUMMYFUNCTION("""COMPUTED_VALUE"""),82.65)</f>
        <v/>
      </c>
      <c r="BI8" s="512">
        <f>IFERROR(__xludf.DUMMYFUNCTION("""COMPUTED_VALUE"""),45874.6666666666)</f>
        <v/>
      </c>
      <c r="BJ8" s="513">
        <f>IFERROR(__xludf.DUMMYFUNCTION("""COMPUTED_VALUE"""),88.33)</f>
        <v/>
      </c>
      <c r="BL8" s="512">
        <f>IFERROR(__xludf.DUMMYFUNCTION("""COMPUTED_VALUE"""),45874.6666666666)</f>
        <v/>
      </c>
      <c r="BM8" s="513">
        <f>IFERROR(__xludf.DUMMYFUNCTION("""COMPUTED_VALUE"""),311.16)</f>
        <v/>
      </c>
      <c r="BO8" s="512">
        <f>IFERROR(__xludf.DUMMYFUNCTION("""COMPUTED_VALUE"""),45874.6666666666)</f>
        <v/>
      </c>
      <c r="BP8" s="513">
        <f>IFERROR(__xludf.DUMMYFUNCTION("""COMPUTED_VALUE"""),91.48)</f>
        <v/>
      </c>
      <c r="CB8" t="inlineStr">
        <is>
          <t>VNQ</t>
        </is>
      </c>
    </row>
    <row r="9">
      <c r="A9" s="512">
        <f>IFERROR(__xludf.DUMMYFUNCTION("""COMPUTED_VALUE"""),45875.6666666666)</f>
        <v/>
      </c>
      <c r="B9" s="513">
        <f>IFERROR(__xludf.DUMMYFUNCTION("""COMPUTED_VALUE"""),632.78)</f>
        <v/>
      </c>
      <c r="D9" s="512">
        <f>IFERROR(__xludf.DUMMYFUNCTION("""COMPUTED_VALUE"""),45875.6666666666)</f>
        <v/>
      </c>
      <c r="E9" s="513">
        <f>IFERROR(__xludf.DUMMYFUNCTION("""COMPUTED_VALUE"""),89.54)</f>
        <v/>
      </c>
      <c r="G9" s="512">
        <f>IFERROR(__xludf.DUMMYFUNCTION("""COMPUTED_VALUE"""),46059.6666666666)</f>
        <v/>
      </c>
      <c r="H9" s="513">
        <f>IFERROR(__xludf.DUMMYFUNCTION("""COMPUTED_VALUE"""),67.37)</f>
        <v/>
      </c>
      <c r="J9" s="512">
        <f>IFERROR(__xludf.DUMMYFUNCTION("""COMPUTED_VALUE"""),45875.6666666666)</f>
        <v/>
      </c>
      <c r="K9" s="513">
        <f>IFERROR(__xludf.DUMMYFUNCTION("""COMPUTED_VALUE"""),76.03)</f>
        <v/>
      </c>
      <c r="M9" s="512">
        <f>IFERROR(__xludf.DUMMYFUNCTION("""COMPUTED_VALUE"""),45875.6666666666)</f>
        <v/>
      </c>
      <c r="N9" s="513">
        <f>IFERROR(__xludf.DUMMYFUNCTION("""COMPUTED_VALUE"""),220.56)</f>
        <v/>
      </c>
      <c r="P9" s="512">
        <f>IFERROR(__xludf.DUMMYFUNCTION("""COMPUTED_VALUE"""),45875.6666666666)</f>
        <v/>
      </c>
      <c r="Q9" s="513">
        <f>IFERROR(__xludf.DUMMYFUNCTION("""COMPUTED_VALUE"""),76.57)</f>
        <v/>
      </c>
      <c r="S9" s="512">
        <f>IFERROR(__xludf.DUMMYFUNCTION("""COMPUTED_VALUE"""),45145.6666666666)</f>
        <v/>
      </c>
      <c r="T9" s="513">
        <f>IFERROR(__xludf.DUMMYFUNCTION("""COMPUTED_VALUE"""),178.85)</f>
        <v/>
      </c>
      <c r="V9" s="512">
        <f>IFERROR(__xludf.DUMMYFUNCTION("""COMPUTED_VALUE"""),45875.6666666666)</f>
        <v/>
      </c>
      <c r="W9" s="513">
        <f>IFERROR(__xludf.DUMMYFUNCTION("""COMPUTED_VALUE"""),21.77)</f>
        <v/>
      </c>
      <c r="Y9" s="512">
        <f>IFERROR(__xludf.DUMMYFUNCTION("""COMPUTED_VALUE"""),45875.6666666666)</f>
        <v/>
      </c>
      <c r="Z9" s="513">
        <f>IFERROR(__xludf.DUMMYFUNCTION("""COMPUTED_VALUE"""),73.61)</f>
        <v/>
      </c>
      <c r="AB9" s="512">
        <f>IFERROR(__xludf.DUMMYFUNCTION("""COMPUTED_VALUE"""),45875.6666666666)</f>
        <v/>
      </c>
      <c r="AC9" s="513">
        <f>IFERROR(__xludf.DUMMYFUNCTION("""COMPUTED_VALUE"""),50.38)</f>
        <v/>
      </c>
      <c r="AE9" s="512">
        <f>IFERROR(__xludf.DUMMYFUNCTION("""COMPUTED_VALUE"""),45875.6666666666)</f>
        <v/>
      </c>
      <c r="AF9" s="513">
        <f>IFERROR(__xludf.DUMMYFUNCTION("""COMPUTED_VALUE"""),93.24)</f>
        <v/>
      </c>
      <c r="AH9" s="512">
        <f>IFERROR(__xludf.DUMMYFUNCTION("""COMPUTED_VALUE"""),45875.6666666666)</f>
        <v/>
      </c>
      <c r="AI9" s="513">
        <f>IFERROR(__xludf.DUMMYFUNCTION("""COMPUTED_VALUE"""),23.03)</f>
        <v/>
      </c>
      <c r="AK9" s="512">
        <f>IFERROR(__xludf.DUMMYFUNCTION("""COMPUTED_VALUE"""),45875.6666666666)</f>
        <v/>
      </c>
      <c r="AL9" s="513">
        <f>IFERROR(__xludf.DUMMYFUNCTION("""COMPUTED_VALUE"""),80.29)</f>
        <v/>
      </c>
      <c r="AN9" s="512">
        <f>IFERROR(__xludf.DUMMYFUNCTION("""COMPUTED_VALUE"""),45875.6666666666)</f>
        <v/>
      </c>
      <c r="AO9" s="513">
        <f>IFERROR(__xludf.DUMMYFUNCTION("""COMPUTED_VALUE"""),110.3)</f>
        <v/>
      </c>
      <c r="AQ9" s="512">
        <f>IFERROR(__xludf.DUMMYFUNCTION("""COMPUTED_VALUE"""),45875.6666666666)</f>
        <v/>
      </c>
      <c r="AR9" s="513">
        <f>IFERROR(__xludf.DUMMYFUNCTION("""COMPUTED_VALUE"""),89.02)</f>
        <v/>
      </c>
      <c r="AT9" s="512">
        <f>IFERROR(__xludf.DUMMYFUNCTION("""COMPUTED_VALUE"""),45875.6666666666)</f>
        <v/>
      </c>
      <c r="AU9" s="513">
        <f>IFERROR(__xludf.DUMMYFUNCTION("""COMPUTED_VALUE"""),49.07)</f>
        <v/>
      </c>
      <c r="AW9" s="512">
        <f>IFERROR(__xludf.DUMMYFUNCTION("""COMPUTED_VALUE"""),45875.6666666666)</f>
        <v/>
      </c>
      <c r="AX9" s="513">
        <f>IFERROR(__xludf.DUMMYFUNCTION("""COMPUTED_VALUE"""),99.21)</f>
        <v/>
      </c>
      <c r="AZ9" s="512">
        <f>IFERROR(__xludf.DUMMYFUNCTION("""COMPUTED_VALUE"""),45875.6666666666)</f>
        <v/>
      </c>
      <c r="BA9" s="513">
        <f>IFERROR(__xludf.DUMMYFUNCTION("""COMPUTED_VALUE"""),109.87)</f>
        <v/>
      </c>
      <c r="BC9" s="512">
        <f>IFERROR(__xludf.DUMMYFUNCTION("""COMPUTED_VALUE"""),45875.6666666666)</f>
        <v/>
      </c>
      <c r="BD9" s="513">
        <f>IFERROR(__xludf.DUMMYFUNCTION("""COMPUTED_VALUE"""),95.67)</f>
        <v/>
      </c>
      <c r="BF9" s="512">
        <f>IFERROR(__xludf.DUMMYFUNCTION("""COMPUTED_VALUE"""),45875.6666666666)</f>
        <v/>
      </c>
      <c r="BG9" s="513">
        <f>IFERROR(__xludf.DUMMYFUNCTION("""COMPUTED_VALUE"""),82.68)</f>
        <v/>
      </c>
      <c r="BI9" s="512">
        <f>IFERROR(__xludf.DUMMYFUNCTION("""COMPUTED_VALUE"""),45875.6666666666)</f>
        <v/>
      </c>
      <c r="BJ9" s="513">
        <f>IFERROR(__xludf.DUMMYFUNCTION("""COMPUTED_VALUE"""),87.82)</f>
        <v/>
      </c>
      <c r="BL9" s="512">
        <f>IFERROR(__xludf.DUMMYFUNCTION("""COMPUTED_VALUE"""),45875.6666666666)</f>
        <v/>
      </c>
      <c r="BM9" s="513">
        <f>IFERROR(__xludf.DUMMYFUNCTION("""COMPUTED_VALUE"""),310.5)</f>
        <v/>
      </c>
      <c r="BO9" s="512">
        <f>IFERROR(__xludf.DUMMYFUNCTION("""COMPUTED_VALUE"""),45875.6666666666)</f>
        <v/>
      </c>
      <c r="BP9" s="513">
        <f>IFERROR(__xludf.DUMMYFUNCTION("""COMPUTED_VALUE"""),91.51)</f>
        <v/>
      </c>
      <c r="CB9" t="inlineStr">
        <is>
          <t>DBC</t>
        </is>
      </c>
    </row>
    <row r="10">
      <c r="A10" s="512">
        <f>IFERROR(__xludf.DUMMYFUNCTION("""COMPUTED_VALUE"""),45876.6666666666)</f>
        <v/>
      </c>
      <c r="B10" s="513">
        <f>IFERROR(__xludf.DUMMYFUNCTION("""COMPUTED_VALUE"""),632.25)</f>
        <v/>
      </c>
      <c r="D10" s="512">
        <f>IFERROR(__xludf.DUMMYFUNCTION("""COMPUTED_VALUE"""),45876.6666666666)</f>
        <v/>
      </c>
      <c r="E10" s="513">
        <f>IFERROR(__xludf.DUMMYFUNCTION("""COMPUTED_VALUE"""),89.8)</f>
        <v/>
      </c>
      <c r="G10" s="512">
        <f>IFERROR(__xludf.DUMMYFUNCTION("""COMPUTED_VALUE"""),46062.6666666666)</f>
        <v/>
      </c>
      <c r="H10" s="513">
        <f>IFERROR(__xludf.DUMMYFUNCTION("""COMPUTED_VALUE"""),68.37)</f>
        <v/>
      </c>
      <c r="J10" s="512">
        <f>IFERROR(__xludf.DUMMYFUNCTION("""COMPUTED_VALUE"""),45876.6666666666)</f>
        <v/>
      </c>
      <c r="K10" s="513">
        <f>IFERROR(__xludf.DUMMYFUNCTION("""COMPUTED_VALUE"""),76.62)</f>
        <v/>
      </c>
      <c r="M10" s="512">
        <f>IFERROR(__xludf.DUMMYFUNCTION("""COMPUTED_VALUE"""),45876.6666666666)</f>
        <v/>
      </c>
      <c r="N10" s="513">
        <f>IFERROR(__xludf.DUMMYFUNCTION("""COMPUTED_VALUE"""),219.84)</f>
        <v/>
      </c>
      <c r="P10" s="512">
        <f>IFERROR(__xludf.DUMMYFUNCTION("""COMPUTED_VALUE"""),45876.6666666666)</f>
        <v/>
      </c>
      <c r="Q10" s="513">
        <f>IFERROR(__xludf.DUMMYFUNCTION("""COMPUTED_VALUE"""),77.38)</f>
        <v/>
      </c>
      <c r="S10" s="512">
        <f>IFERROR(__xludf.DUMMYFUNCTION("""COMPUTED_VALUE"""),45146.6666666666)</f>
        <v/>
      </c>
      <c r="T10" s="513">
        <f>IFERROR(__xludf.DUMMYFUNCTION("""COMPUTED_VALUE"""),179.8)</f>
        <v/>
      </c>
      <c r="V10" s="512">
        <f>IFERROR(__xludf.DUMMYFUNCTION("""COMPUTED_VALUE"""),45876.6666666666)</f>
        <v/>
      </c>
      <c r="W10" s="513">
        <f>IFERROR(__xludf.DUMMYFUNCTION("""COMPUTED_VALUE"""),21.84)</f>
        <v/>
      </c>
      <c r="Y10" s="512">
        <f>IFERROR(__xludf.DUMMYFUNCTION("""COMPUTED_VALUE"""),45876.6666666666)</f>
        <v/>
      </c>
      <c r="Z10" s="513">
        <f>IFERROR(__xludf.DUMMYFUNCTION("""COMPUTED_VALUE"""),73.58)</f>
        <v/>
      </c>
      <c r="AB10" s="512">
        <f>IFERROR(__xludf.DUMMYFUNCTION("""COMPUTED_VALUE"""),45876.6666666666)</f>
        <v/>
      </c>
      <c r="AC10" s="513">
        <f>IFERROR(__xludf.DUMMYFUNCTION("""COMPUTED_VALUE"""),50.75)</f>
        <v/>
      </c>
      <c r="AE10" s="512">
        <f>IFERROR(__xludf.DUMMYFUNCTION("""COMPUTED_VALUE"""),45876.6666666666)</f>
        <v/>
      </c>
      <c r="AF10" s="513">
        <f>IFERROR(__xludf.DUMMYFUNCTION("""COMPUTED_VALUE"""),93.38)</f>
        <v/>
      </c>
      <c r="AH10" s="512">
        <f>IFERROR(__xludf.DUMMYFUNCTION("""COMPUTED_VALUE"""),45876.6666666666)</f>
        <v/>
      </c>
      <c r="AI10" s="513">
        <f>IFERROR(__xludf.DUMMYFUNCTION("""COMPUTED_VALUE"""),23.05)</f>
        <v/>
      </c>
      <c r="AK10" s="512">
        <f>IFERROR(__xludf.DUMMYFUNCTION("""COMPUTED_VALUE"""),45876.6666666666)</f>
        <v/>
      </c>
      <c r="AL10" s="513">
        <f>IFERROR(__xludf.DUMMYFUNCTION("""COMPUTED_VALUE"""),80.21)</f>
        <v/>
      </c>
      <c r="AN10" s="512">
        <f>IFERROR(__xludf.DUMMYFUNCTION("""COMPUTED_VALUE"""),45876.6666666666)</f>
        <v/>
      </c>
      <c r="AO10" s="513">
        <f>IFERROR(__xludf.DUMMYFUNCTION("""COMPUTED_VALUE"""),110.42)</f>
        <v/>
      </c>
      <c r="AQ10" s="512">
        <f>IFERROR(__xludf.DUMMYFUNCTION("""COMPUTED_VALUE"""),45876.6666666666)</f>
        <v/>
      </c>
      <c r="AR10" s="513">
        <f>IFERROR(__xludf.DUMMYFUNCTION("""COMPUTED_VALUE"""),89.82)</f>
        <v/>
      </c>
      <c r="AT10" s="512">
        <f>IFERROR(__xludf.DUMMYFUNCTION("""COMPUTED_VALUE"""),45876.6666666666)</f>
        <v/>
      </c>
      <c r="AU10" s="513">
        <f>IFERROR(__xludf.DUMMYFUNCTION("""COMPUTED_VALUE"""),49.48)</f>
        <v/>
      </c>
      <c r="AW10" s="512">
        <f>IFERROR(__xludf.DUMMYFUNCTION("""COMPUTED_VALUE"""),45876.6666666666)</f>
        <v/>
      </c>
      <c r="AX10" s="513">
        <f>IFERROR(__xludf.DUMMYFUNCTION("""COMPUTED_VALUE"""),99.13)</f>
        <v/>
      </c>
      <c r="AZ10" s="512">
        <f>IFERROR(__xludf.DUMMYFUNCTION("""COMPUTED_VALUE"""),45876.6666666666)</f>
        <v/>
      </c>
      <c r="BA10" s="513">
        <f>IFERROR(__xludf.DUMMYFUNCTION("""COMPUTED_VALUE"""),109.76)</f>
        <v/>
      </c>
      <c r="BC10" s="512">
        <f>IFERROR(__xludf.DUMMYFUNCTION("""COMPUTED_VALUE"""),45876.6666666666)</f>
        <v/>
      </c>
      <c r="BD10" s="513">
        <f>IFERROR(__xludf.DUMMYFUNCTION("""COMPUTED_VALUE"""),95.6)</f>
        <v/>
      </c>
      <c r="BF10" s="512">
        <f>IFERROR(__xludf.DUMMYFUNCTION("""COMPUTED_VALUE"""),45876.6666666666)</f>
        <v/>
      </c>
      <c r="BG10" s="513">
        <f>IFERROR(__xludf.DUMMYFUNCTION("""COMPUTED_VALUE"""),82.64)</f>
        <v/>
      </c>
      <c r="BI10" s="512">
        <f>IFERROR(__xludf.DUMMYFUNCTION("""COMPUTED_VALUE"""),45876.6666666666)</f>
        <v/>
      </c>
      <c r="BJ10" s="513">
        <f>IFERROR(__xludf.DUMMYFUNCTION("""COMPUTED_VALUE"""),87.67)</f>
        <v/>
      </c>
      <c r="BL10" s="512">
        <f>IFERROR(__xludf.DUMMYFUNCTION("""COMPUTED_VALUE"""),45876.6666666666)</f>
        <v/>
      </c>
      <c r="BM10" s="513">
        <f>IFERROR(__xludf.DUMMYFUNCTION("""COMPUTED_VALUE"""),313.12)</f>
        <v/>
      </c>
      <c r="BO10" s="512">
        <f>IFERROR(__xludf.DUMMYFUNCTION("""COMPUTED_VALUE"""),45876.6666666666)</f>
        <v/>
      </c>
      <c r="BP10" s="513">
        <f>IFERROR(__xludf.DUMMYFUNCTION("""COMPUTED_VALUE"""),91.51)</f>
        <v/>
      </c>
      <c r="CB10" t="inlineStr">
        <is>
          <t>GLD</t>
        </is>
      </c>
    </row>
    <row r="11">
      <c r="A11" s="512">
        <f>IFERROR(__xludf.DUMMYFUNCTION("""COMPUTED_VALUE"""),45877.6666666666)</f>
        <v/>
      </c>
      <c r="B11" s="513">
        <f>IFERROR(__xludf.DUMMYFUNCTION("""COMPUTED_VALUE"""),637.18)</f>
        <v/>
      </c>
      <c r="D11" s="512">
        <f>IFERROR(__xludf.DUMMYFUNCTION("""COMPUTED_VALUE"""),45877.6666666666)</f>
        <v/>
      </c>
      <c r="E11" s="513">
        <f>IFERROR(__xludf.DUMMYFUNCTION("""COMPUTED_VALUE"""),89.06)</f>
        <v/>
      </c>
      <c r="G11" s="512">
        <f>IFERROR(__xludf.DUMMYFUNCTION("""COMPUTED_VALUE"""),46063.6666666666)</f>
        <v/>
      </c>
      <c r="H11" s="513">
        <f>IFERROR(__xludf.DUMMYFUNCTION("""COMPUTED_VALUE"""),68.54)</f>
        <v/>
      </c>
      <c r="J11" s="512">
        <f>IFERROR(__xludf.DUMMYFUNCTION("""COMPUTED_VALUE"""),45877.6666666666)</f>
        <v/>
      </c>
      <c r="K11" s="513">
        <f>IFERROR(__xludf.DUMMYFUNCTION("""COMPUTED_VALUE"""),77.93)</f>
        <v/>
      </c>
      <c r="M11" s="512">
        <f>IFERROR(__xludf.DUMMYFUNCTION("""COMPUTED_VALUE"""),45877.6666666666)</f>
        <v/>
      </c>
      <c r="N11" s="513">
        <f>IFERROR(__xludf.DUMMYFUNCTION("""COMPUTED_VALUE"""),220.32)</f>
        <v/>
      </c>
      <c r="P11" s="512">
        <f>IFERROR(__xludf.DUMMYFUNCTION("""COMPUTED_VALUE"""),45877.6666666666)</f>
        <v/>
      </c>
      <c r="Q11" s="513">
        <f>IFERROR(__xludf.DUMMYFUNCTION("""COMPUTED_VALUE"""),77.63)</f>
        <v/>
      </c>
      <c r="S11" s="512">
        <f>IFERROR(__xludf.DUMMYFUNCTION("""COMPUTED_VALUE"""),45147.6666666666)</f>
        <v/>
      </c>
      <c r="T11" s="513">
        <f>IFERROR(__xludf.DUMMYFUNCTION("""COMPUTED_VALUE"""),178.19)</f>
        <v/>
      </c>
      <c r="V11" s="512">
        <f>IFERROR(__xludf.DUMMYFUNCTION("""COMPUTED_VALUE"""),45877.6666666666)</f>
        <v/>
      </c>
      <c r="W11" s="513">
        <f>IFERROR(__xludf.DUMMYFUNCTION("""COMPUTED_VALUE"""),21.84)</f>
        <v/>
      </c>
      <c r="Y11" s="512">
        <f>IFERROR(__xludf.DUMMYFUNCTION("""COMPUTED_VALUE"""),45877.6666666666)</f>
        <v/>
      </c>
      <c r="Z11" s="513">
        <f>IFERROR(__xludf.DUMMYFUNCTION("""COMPUTED_VALUE"""),73.42)</f>
        <v/>
      </c>
      <c r="AB11" s="512">
        <f>IFERROR(__xludf.DUMMYFUNCTION("""COMPUTED_VALUE"""),45877.6666666666)</f>
        <v/>
      </c>
      <c r="AC11" s="513">
        <f>IFERROR(__xludf.DUMMYFUNCTION("""COMPUTED_VALUE"""),50.69)</f>
        <v/>
      </c>
      <c r="AE11" s="512">
        <f>IFERROR(__xludf.DUMMYFUNCTION("""COMPUTED_VALUE"""),45877.6666666666)</f>
        <v/>
      </c>
      <c r="AF11" s="513">
        <f>IFERROR(__xludf.DUMMYFUNCTION("""COMPUTED_VALUE"""),93.38)</f>
        <v/>
      </c>
      <c r="AH11" s="512">
        <f>IFERROR(__xludf.DUMMYFUNCTION("""COMPUTED_VALUE"""),45877.6666666666)</f>
        <v/>
      </c>
      <c r="AI11" s="513">
        <f>IFERROR(__xludf.DUMMYFUNCTION("""COMPUTED_VALUE"""),22.98)</f>
        <v/>
      </c>
      <c r="AK11" s="512">
        <f>IFERROR(__xludf.DUMMYFUNCTION("""COMPUTED_VALUE"""),45877.6666666666)</f>
        <v/>
      </c>
      <c r="AL11" s="513">
        <f>IFERROR(__xludf.DUMMYFUNCTION("""COMPUTED_VALUE"""),80.22)</f>
        <v/>
      </c>
      <c r="AN11" s="512">
        <f>IFERROR(__xludf.DUMMYFUNCTION("""COMPUTED_VALUE"""),45877.6666666666)</f>
        <v/>
      </c>
      <c r="AO11" s="513">
        <f>IFERROR(__xludf.DUMMYFUNCTION("""COMPUTED_VALUE"""),110.35)</f>
        <v/>
      </c>
      <c r="AQ11" s="512">
        <f>IFERROR(__xludf.DUMMYFUNCTION("""COMPUTED_VALUE"""),45877.6666666666)</f>
        <v/>
      </c>
      <c r="AR11" s="513">
        <f>IFERROR(__xludf.DUMMYFUNCTION("""COMPUTED_VALUE"""),90.37)</f>
        <v/>
      </c>
      <c r="AT11" s="512">
        <f>IFERROR(__xludf.DUMMYFUNCTION("""COMPUTED_VALUE"""),45877.6666666666)</f>
        <v/>
      </c>
      <c r="AU11" s="513">
        <f>IFERROR(__xludf.DUMMYFUNCTION("""COMPUTED_VALUE"""),49.44)</f>
        <v/>
      </c>
      <c r="AW11" s="512">
        <f>IFERROR(__xludf.DUMMYFUNCTION("""COMPUTED_VALUE"""),45877.6666666666)</f>
        <v/>
      </c>
      <c r="AX11" s="513">
        <f>IFERROR(__xludf.DUMMYFUNCTION("""COMPUTED_VALUE"""),98.94)</f>
        <v/>
      </c>
      <c r="AZ11" s="512">
        <f>IFERROR(__xludf.DUMMYFUNCTION("""COMPUTED_VALUE"""),45877.6666666666)</f>
        <v/>
      </c>
      <c r="BA11" s="513">
        <f>IFERROR(__xludf.DUMMYFUNCTION("""COMPUTED_VALUE"""),109.41)</f>
        <v/>
      </c>
      <c r="BC11" s="512">
        <f>IFERROR(__xludf.DUMMYFUNCTION("""COMPUTED_VALUE"""),45877.6666666666)</f>
        <v/>
      </c>
      <c r="BD11" s="513">
        <f>IFERROR(__xludf.DUMMYFUNCTION("""COMPUTED_VALUE"""),95.38)</f>
        <v/>
      </c>
      <c r="BF11" s="512">
        <f>IFERROR(__xludf.DUMMYFUNCTION("""COMPUTED_VALUE"""),45877.6666666666)</f>
        <v/>
      </c>
      <c r="BG11" s="513">
        <f>IFERROR(__xludf.DUMMYFUNCTION("""COMPUTED_VALUE"""),82.62)</f>
        <v/>
      </c>
      <c r="BI11" s="512">
        <f>IFERROR(__xludf.DUMMYFUNCTION("""COMPUTED_VALUE"""),45877.6666666666)</f>
        <v/>
      </c>
      <c r="BJ11" s="513">
        <f>IFERROR(__xludf.DUMMYFUNCTION("""COMPUTED_VALUE"""),87.29)</f>
        <v/>
      </c>
      <c r="BL11" s="512">
        <f>IFERROR(__xludf.DUMMYFUNCTION("""COMPUTED_VALUE"""),45877.6666666666)</f>
        <v/>
      </c>
      <c r="BM11" s="513">
        <f>IFERROR(__xludf.DUMMYFUNCTION("""COMPUTED_VALUE"""),313.05)</f>
        <v/>
      </c>
      <c r="BO11" s="512">
        <f>IFERROR(__xludf.DUMMYFUNCTION("""COMPUTED_VALUE"""),45877.6666666666)</f>
        <v/>
      </c>
      <c r="BP11" s="513">
        <f>IFERROR(__xludf.DUMMYFUNCTION("""COMPUTED_VALUE"""),91.54)</f>
        <v/>
      </c>
      <c r="CB11" t="inlineStr">
        <is>
          <t>LQD</t>
        </is>
      </c>
    </row>
    <row r="12">
      <c r="A12" s="512">
        <f>IFERROR(__xludf.DUMMYFUNCTION("""COMPUTED_VALUE"""),45880.6666666666)</f>
        <v/>
      </c>
      <c r="B12" s="513">
        <f>IFERROR(__xludf.DUMMYFUNCTION("""COMPUTED_VALUE"""),635.92)</f>
        <v/>
      </c>
      <c r="D12" s="512">
        <f>IFERROR(__xludf.DUMMYFUNCTION("""COMPUTED_VALUE"""),45880.6666666666)</f>
        <v/>
      </c>
      <c r="E12" s="513">
        <f>IFERROR(__xludf.DUMMYFUNCTION("""COMPUTED_VALUE"""),88.47)</f>
        <v/>
      </c>
      <c r="G12" s="512">
        <f>IFERROR(__xludf.DUMMYFUNCTION("""COMPUTED_VALUE"""),46064.6666666666)</f>
        <v/>
      </c>
      <c r="H12" s="513">
        <f>IFERROR(__xludf.DUMMYFUNCTION("""COMPUTED_VALUE"""),69.05)</f>
        <v/>
      </c>
      <c r="J12" s="512">
        <f>IFERROR(__xludf.DUMMYFUNCTION("""COMPUTED_VALUE"""),45880.6666666666)</f>
        <v/>
      </c>
      <c r="K12" s="513">
        <f>IFERROR(__xludf.DUMMYFUNCTION("""COMPUTED_VALUE"""),77.79)</f>
        <v/>
      </c>
      <c r="M12" s="512">
        <f>IFERROR(__xludf.DUMMYFUNCTION("""COMPUTED_VALUE"""),45880.6666666666)</f>
        <v/>
      </c>
      <c r="N12" s="513">
        <f>IFERROR(__xludf.DUMMYFUNCTION("""COMPUTED_VALUE"""),220.27)</f>
        <v/>
      </c>
      <c r="P12" s="512">
        <f>IFERROR(__xludf.DUMMYFUNCTION("""COMPUTED_VALUE"""),45880.6666666666)</f>
        <v/>
      </c>
      <c r="Q12" s="513">
        <f>IFERROR(__xludf.DUMMYFUNCTION("""COMPUTED_VALUE"""),77.23)</f>
        <v/>
      </c>
      <c r="S12" s="512">
        <f>IFERROR(__xludf.DUMMYFUNCTION("""COMPUTED_VALUE"""),45148.6666666666)</f>
        <v/>
      </c>
      <c r="T12" s="513">
        <f>IFERROR(__xludf.DUMMYFUNCTION("""COMPUTED_VALUE"""),177.97)</f>
        <v/>
      </c>
      <c r="V12" s="512">
        <f>IFERROR(__xludf.DUMMYFUNCTION("""COMPUTED_VALUE"""),45880.6666666666)</f>
        <v/>
      </c>
      <c r="W12" s="513">
        <f>IFERROR(__xludf.DUMMYFUNCTION("""COMPUTED_VALUE"""),21.87)</f>
        <v/>
      </c>
      <c r="Y12" s="512">
        <f>IFERROR(__xludf.DUMMYFUNCTION("""COMPUTED_VALUE"""),45880.6666666666)</f>
        <v/>
      </c>
      <c r="Z12" s="513">
        <f>IFERROR(__xludf.DUMMYFUNCTION("""COMPUTED_VALUE"""),73.47)</f>
        <v/>
      </c>
      <c r="AB12" s="512">
        <f>IFERROR(__xludf.DUMMYFUNCTION("""COMPUTED_VALUE"""),45880.6666666666)</f>
        <v/>
      </c>
      <c r="AC12" s="513">
        <f>IFERROR(__xludf.DUMMYFUNCTION("""COMPUTED_VALUE"""),50.63)</f>
        <v/>
      </c>
      <c r="AE12" s="512">
        <f>IFERROR(__xludf.DUMMYFUNCTION("""COMPUTED_VALUE"""),45880.6666666666)</f>
        <v/>
      </c>
      <c r="AF12" s="513">
        <f>IFERROR(__xludf.DUMMYFUNCTION("""COMPUTED_VALUE"""),93.5)</f>
        <v/>
      </c>
      <c r="AH12" s="512">
        <f>IFERROR(__xludf.DUMMYFUNCTION("""COMPUTED_VALUE"""),45880.6666666666)</f>
        <v/>
      </c>
      <c r="AI12" s="513">
        <f>IFERROR(__xludf.DUMMYFUNCTION("""COMPUTED_VALUE"""),22.91)</f>
        <v/>
      </c>
      <c r="AK12" s="512">
        <f>IFERROR(__xludf.DUMMYFUNCTION("""COMPUTED_VALUE"""),45880.6666666666)</f>
        <v/>
      </c>
      <c r="AL12" s="513">
        <f>IFERROR(__xludf.DUMMYFUNCTION("""COMPUTED_VALUE"""),80.22)</f>
        <v/>
      </c>
      <c r="AN12" s="512">
        <f>IFERROR(__xludf.DUMMYFUNCTION("""COMPUTED_VALUE"""),45880.6666666666)</f>
        <v/>
      </c>
      <c r="AO12" s="513">
        <f>IFERROR(__xludf.DUMMYFUNCTION("""COMPUTED_VALUE"""),110.35)</f>
        <v/>
      </c>
      <c r="AQ12" s="512">
        <f>IFERROR(__xludf.DUMMYFUNCTION("""COMPUTED_VALUE"""),45880.6666666666)</f>
        <v/>
      </c>
      <c r="AR12" s="513">
        <f>IFERROR(__xludf.DUMMYFUNCTION("""COMPUTED_VALUE"""),89.99)</f>
        <v/>
      </c>
      <c r="AT12" s="512">
        <f>IFERROR(__xludf.DUMMYFUNCTION("""COMPUTED_VALUE"""),45880.6666666666)</f>
        <v/>
      </c>
      <c r="AU12" s="513">
        <f>IFERROR(__xludf.DUMMYFUNCTION("""COMPUTED_VALUE"""),49.3)</f>
        <v/>
      </c>
      <c r="AW12" s="512">
        <f>IFERROR(__xludf.DUMMYFUNCTION("""COMPUTED_VALUE"""),45880.6666666666)</f>
        <v/>
      </c>
      <c r="AX12" s="513">
        <f>IFERROR(__xludf.DUMMYFUNCTION("""COMPUTED_VALUE"""),99.01)</f>
        <v/>
      </c>
      <c r="AZ12" s="512">
        <f>IFERROR(__xludf.DUMMYFUNCTION("""COMPUTED_VALUE"""),45880.6666666666)</f>
        <v/>
      </c>
      <c r="BA12" s="513">
        <f>IFERROR(__xludf.DUMMYFUNCTION("""COMPUTED_VALUE"""),109.58)</f>
        <v/>
      </c>
      <c r="BC12" s="512">
        <f>IFERROR(__xludf.DUMMYFUNCTION("""COMPUTED_VALUE"""),45880.6666666666)</f>
        <v/>
      </c>
      <c r="BD12" s="513">
        <f>IFERROR(__xludf.DUMMYFUNCTION("""COMPUTED_VALUE"""),95.41)</f>
        <v/>
      </c>
      <c r="BF12" s="512">
        <f>IFERROR(__xludf.DUMMYFUNCTION("""COMPUTED_VALUE"""),45880.6666666666)</f>
        <v/>
      </c>
      <c r="BG12" s="513">
        <f>IFERROR(__xludf.DUMMYFUNCTION("""COMPUTED_VALUE"""),82.62)</f>
        <v/>
      </c>
      <c r="BI12" s="512">
        <f>IFERROR(__xludf.DUMMYFUNCTION("""COMPUTED_VALUE"""),45880.6666666666)</f>
        <v/>
      </c>
      <c r="BJ12" s="513">
        <f>IFERROR(__xludf.DUMMYFUNCTION("""COMPUTED_VALUE"""),87.39)</f>
        <v/>
      </c>
      <c r="BL12" s="512">
        <f>IFERROR(__xludf.DUMMYFUNCTION("""COMPUTED_VALUE"""),45880.6666666666)</f>
        <v/>
      </c>
      <c r="BM12" s="513">
        <f>IFERROR(__xludf.DUMMYFUNCTION("""COMPUTED_VALUE"""),308.55)</f>
        <v/>
      </c>
      <c r="BO12" s="512">
        <f>IFERROR(__xludf.DUMMYFUNCTION("""COMPUTED_VALUE"""),45880.6666666666)</f>
        <v/>
      </c>
      <c r="BP12" s="513">
        <f>IFERROR(__xludf.DUMMYFUNCTION("""COMPUTED_VALUE"""),91.55)</f>
        <v/>
      </c>
      <c r="CB12" t="inlineStr">
        <is>
          <t>HYG</t>
        </is>
      </c>
    </row>
    <row r="13">
      <c r="A13" s="512">
        <f>IFERROR(__xludf.DUMMYFUNCTION("""COMPUTED_VALUE"""),45881.6666666666)</f>
        <v/>
      </c>
      <c r="B13" s="513">
        <f>IFERROR(__xludf.DUMMYFUNCTION("""COMPUTED_VALUE"""),642.69)</f>
        <v/>
      </c>
      <c r="D13" s="512">
        <f>IFERROR(__xludf.DUMMYFUNCTION("""COMPUTED_VALUE"""),45881.6666666666)</f>
        <v/>
      </c>
      <c r="E13" s="513">
        <f>IFERROR(__xludf.DUMMYFUNCTION("""COMPUTED_VALUE"""),88.97)</f>
        <v/>
      </c>
      <c r="G13" s="512">
        <f>IFERROR(__xludf.DUMMYFUNCTION("""COMPUTED_VALUE"""),46065.6666666666)</f>
        <v/>
      </c>
      <c r="H13" s="513">
        <f>IFERROR(__xludf.DUMMYFUNCTION("""COMPUTED_VALUE"""),68.5)</f>
        <v/>
      </c>
      <c r="J13" s="512">
        <f>IFERROR(__xludf.DUMMYFUNCTION("""COMPUTED_VALUE"""),45881.6666666666)</f>
        <v/>
      </c>
      <c r="K13" s="513">
        <f>IFERROR(__xludf.DUMMYFUNCTION("""COMPUTED_VALUE"""),79.23)</f>
        <v/>
      </c>
      <c r="M13" s="512">
        <f>IFERROR(__xludf.DUMMYFUNCTION("""COMPUTED_VALUE"""),45881.6666666666)</f>
        <v/>
      </c>
      <c r="N13" s="513">
        <f>IFERROR(__xludf.DUMMYFUNCTION("""COMPUTED_VALUE"""),226.81)</f>
        <v/>
      </c>
      <c r="P13" s="512">
        <f>IFERROR(__xludf.DUMMYFUNCTION("""COMPUTED_VALUE"""),45881.6666666666)</f>
        <v/>
      </c>
      <c r="Q13" s="513">
        <f>IFERROR(__xludf.DUMMYFUNCTION("""COMPUTED_VALUE"""),78.02)</f>
        <v/>
      </c>
      <c r="S13" s="512">
        <f>IFERROR(__xludf.DUMMYFUNCTION("""COMPUTED_VALUE"""),45149.6666666666)</f>
        <v/>
      </c>
      <c r="T13" s="513">
        <f>IFERROR(__xludf.DUMMYFUNCTION("""COMPUTED_VALUE"""),177.79)</f>
        <v/>
      </c>
      <c r="V13" s="512">
        <f>IFERROR(__xludf.DUMMYFUNCTION("""COMPUTED_VALUE"""),45881.6666666666)</f>
        <v/>
      </c>
      <c r="W13" s="513">
        <f>IFERROR(__xludf.DUMMYFUNCTION("""COMPUTED_VALUE"""),21.78)</f>
        <v/>
      </c>
      <c r="Y13" s="512">
        <f>IFERROR(__xludf.DUMMYFUNCTION("""COMPUTED_VALUE"""),45881.6666666666)</f>
        <v/>
      </c>
      <c r="Z13" s="513">
        <f>IFERROR(__xludf.DUMMYFUNCTION("""COMPUTED_VALUE"""),73.48)</f>
        <v/>
      </c>
      <c r="AB13" s="512">
        <f>IFERROR(__xludf.DUMMYFUNCTION("""COMPUTED_VALUE"""),45881.6666666666)</f>
        <v/>
      </c>
      <c r="AC13" s="513">
        <f>IFERROR(__xludf.DUMMYFUNCTION("""COMPUTED_VALUE"""),51.21)</f>
        <v/>
      </c>
      <c r="AE13" s="512">
        <f>IFERROR(__xludf.DUMMYFUNCTION("""COMPUTED_VALUE"""),45881.6666666666)</f>
        <v/>
      </c>
      <c r="AF13" s="513">
        <f>IFERROR(__xludf.DUMMYFUNCTION("""COMPUTED_VALUE"""),93.68)</f>
        <v/>
      </c>
      <c r="AH13" s="512">
        <f>IFERROR(__xludf.DUMMYFUNCTION("""COMPUTED_VALUE"""),45881.6666666666)</f>
        <v/>
      </c>
      <c r="AI13" s="513">
        <f>IFERROR(__xludf.DUMMYFUNCTION("""COMPUTED_VALUE"""),22.97)</f>
        <v/>
      </c>
      <c r="AK13" s="512">
        <f>IFERROR(__xludf.DUMMYFUNCTION("""COMPUTED_VALUE"""),45881.6666666666)</f>
        <v/>
      </c>
      <c r="AL13" s="513">
        <f>IFERROR(__xludf.DUMMYFUNCTION("""COMPUTED_VALUE"""),80.4)</f>
        <v/>
      </c>
      <c r="AN13" s="512">
        <f>IFERROR(__xludf.DUMMYFUNCTION("""COMPUTED_VALUE"""),45881.6666666666)</f>
        <v/>
      </c>
      <c r="AO13" s="513">
        <f>IFERROR(__xludf.DUMMYFUNCTION("""COMPUTED_VALUE"""),110.16)</f>
        <v/>
      </c>
      <c r="AQ13" s="512">
        <f>IFERROR(__xludf.DUMMYFUNCTION("""COMPUTED_VALUE"""),45881.6666666666)</f>
        <v/>
      </c>
      <c r="AR13" s="513">
        <f>IFERROR(__xludf.DUMMYFUNCTION("""COMPUTED_VALUE"""),91.09)</f>
        <v/>
      </c>
      <c r="AT13" s="512">
        <f>IFERROR(__xludf.DUMMYFUNCTION("""COMPUTED_VALUE"""),45881.6666666666)</f>
        <v/>
      </c>
      <c r="AU13" s="513">
        <f>IFERROR(__xludf.DUMMYFUNCTION("""COMPUTED_VALUE"""),49.9)</f>
        <v/>
      </c>
      <c r="AW13" s="512">
        <f>IFERROR(__xludf.DUMMYFUNCTION("""COMPUTED_VALUE"""),45881.6666666666)</f>
        <v/>
      </c>
      <c r="AX13" s="513">
        <f>IFERROR(__xludf.DUMMYFUNCTION("""COMPUTED_VALUE"""),99.01)</f>
        <v/>
      </c>
      <c r="AZ13" s="512">
        <f>IFERROR(__xludf.DUMMYFUNCTION("""COMPUTED_VALUE"""),45881.6666666666)</f>
        <v/>
      </c>
      <c r="BA13" s="513">
        <f>IFERROR(__xludf.DUMMYFUNCTION("""COMPUTED_VALUE"""),109.68)</f>
        <v/>
      </c>
      <c r="BC13" s="512">
        <f>IFERROR(__xludf.DUMMYFUNCTION("""COMPUTED_VALUE"""),45881.6666666666)</f>
        <v/>
      </c>
      <c r="BD13" s="513">
        <f>IFERROR(__xludf.DUMMYFUNCTION("""COMPUTED_VALUE"""),95.39)</f>
        <v/>
      </c>
      <c r="BF13" s="512">
        <f>IFERROR(__xludf.DUMMYFUNCTION("""COMPUTED_VALUE"""),45881.6666666666)</f>
        <v/>
      </c>
      <c r="BG13" s="513">
        <f>IFERROR(__xludf.DUMMYFUNCTION("""COMPUTED_VALUE"""),82.68)</f>
        <v/>
      </c>
      <c r="BI13" s="512">
        <f>IFERROR(__xludf.DUMMYFUNCTION("""COMPUTED_VALUE"""),45881.6666666666)</f>
        <v/>
      </c>
      <c r="BJ13" s="513">
        <f>IFERROR(__xludf.DUMMYFUNCTION("""COMPUTED_VALUE"""),86.95)</f>
        <v/>
      </c>
      <c r="BL13" s="512">
        <f>IFERROR(__xludf.DUMMYFUNCTION("""COMPUTED_VALUE"""),45881.6666666666)</f>
        <v/>
      </c>
      <c r="BM13" s="513">
        <f>IFERROR(__xludf.DUMMYFUNCTION("""COMPUTED_VALUE"""),308.27)</f>
        <v/>
      </c>
      <c r="BO13" s="512">
        <f>IFERROR(__xludf.DUMMYFUNCTION("""COMPUTED_VALUE"""),45881.6666666666)</f>
        <v/>
      </c>
      <c r="BP13" s="513">
        <f>IFERROR(__xludf.DUMMYFUNCTION("""COMPUTED_VALUE"""),91.56)</f>
        <v/>
      </c>
      <c r="CB13" t="inlineStr">
        <is>
          <t>EFA</t>
        </is>
      </c>
    </row>
    <row r="14">
      <c r="A14" s="512">
        <f>IFERROR(__xludf.DUMMYFUNCTION("""COMPUTED_VALUE"""),45882.6666666666)</f>
        <v/>
      </c>
      <c r="B14" s="513">
        <f>IFERROR(__xludf.DUMMYFUNCTION("""COMPUTED_VALUE"""),644.89)</f>
        <v/>
      </c>
      <c r="D14" s="512">
        <f>IFERROR(__xludf.DUMMYFUNCTION("""COMPUTED_VALUE"""),45882.6666666666)</f>
        <v/>
      </c>
      <c r="E14" s="513">
        <f>IFERROR(__xludf.DUMMYFUNCTION("""COMPUTED_VALUE"""),89.8)</f>
        <v/>
      </c>
      <c r="G14" s="512">
        <f>IFERROR(__xludf.DUMMYFUNCTION("""COMPUTED_VALUE"""),46066.6666666666)</f>
        <v/>
      </c>
      <c r="H14" s="513">
        <f>IFERROR(__xludf.DUMMYFUNCTION("""COMPUTED_VALUE"""),68.76)</f>
        <v/>
      </c>
      <c r="J14" s="512">
        <f>IFERROR(__xludf.DUMMYFUNCTION("""COMPUTED_VALUE"""),45882.6666666666)</f>
        <v/>
      </c>
      <c r="K14" s="513">
        <f>IFERROR(__xludf.DUMMYFUNCTION("""COMPUTED_VALUE"""),79.27)</f>
        <v/>
      </c>
      <c r="M14" s="512">
        <f>IFERROR(__xludf.DUMMYFUNCTION("""COMPUTED_VALUE"""),45882.6666666666)</f>
        <v/>
      </c>
      <c r="N14" s="513">
        <f>IFERROR(__xludf.DUMMYFUNCTION("""COMPUTED_VALUE"""),231.22)</f>
        <v/>
      </c>
      <c r="P14" s="512">
        <f>IFERROR(__xludf.DUMMYFUNCTION("""COMPUTED_VALUE"""),45882.6666666666)</f>
        <v/>
      </c>
      <c r="Q14" s="513">
        <f>IFERROR(__xludf.DUMMYFUNCTION("""COMPUTED_VALUE"""),78.59)</f>
        <v/>
      </c>
      <c r="S14" s="512">
        <f>IFERROR(__xludf.DUMMYFUNCTION("""COMPUTED_VALUE"""),45152.6666666666)</f>
        <v/>
      </c>
      <c r="T14" s="513">
        <f>IFERROR(__xludf.DUMMYFUNCTION("""COMPUTED_VALUE"""),179.46)</f>
        <v/>
      </c>
      <c r="V14" s="512">
        <f>IFERROR(__xludf.DUMMYFUNCTION("""COMPUTED_VALUE"""),45882.6666666666)</f>
        <v/>
      </c>
      <c r="W14" s="513">
        <f>IFERROR(__xludf.DUMMYFUNCTION("""COMPUTED_VALUE"""),21.75)</f>
        <v/>
      </c>
      <c r="Y14" s="512">
        <f>IFERROR(__xludf.DUMMYFUNCTION("""COMPUTED_VALUE"""),45882.6666666666)</f>
        <v/>
      </c>
      <c r="Z14" s="513">
        <f>IFERROR(__xludf.DUMMYFUNCTION("""COMPUTED_VALUE"""),73.75)</f>
        <v/>
      </c>
      <c r="AB14" s="512">
        <f>IFERROR(__xludf.DUMMYFUNCTION("""COMPUTED_VALUE"""),45882.6666666666)</f>
        <v/>
      </c>
      <c r="AC14" s="513">
        <f>IFERROR(__xludf.DUMMYFUNCTION("""COMPUTED_VALUE"""),51.79)</f>
        <v/>
      </c>
      <c r="AE14" s="512">
        <f>IFERROR(__xludf.DUMMYFUNCTION("""COMPUTED_VALUE"""),45882.6666666666)</f>
        <v/>
      </c>
      <c r="AF14" s="513">
        <f>IFERROR(__xludf.DUMMYFUNCTION("""COMPUTED_VALUE"""),94.14)</f>
        <v/>
      </c>
      <c r="AH14" s="512">
        <f>IFERROR(__xludf.DUMMYFUNCTION("""COMPUTED_VALUE"""),45882.6666666666)</f>
        <v/>
      </c>
      <c r="AI14" s="513">
        <f>IFERROR(__xludf.DUMMYFUNCTION("""COMPUTED_VALUE"""),23.09)</f>
        <v/>
      </c>
      <c r="AK14" s="512">
        <f>IFERROR(__xludf.DUMMYFUNCTION("""COMPUTED_VALUE"""),45882.6666666666)</f>
        <v/>
      </c>
      <c r="AL14" s="513">
        <f>IFERROR(__xludf.DUMMYFUNCTION("""COMPUTED_VALUE"""),80.61)</f>
        <v/>
      </c>
      <c r="AN14" s="512">
        <f>IFERROR(__xludf.DUMMYFUNCTION("""COMPUTED_VALUE"""),45882.6666666666)</f>
        <v/>
      </c>
      <c r="AO14" s="513">
        <f>IFERROR(__xludf.DUMMYFUNCTION("""COMPUTED_VALUE"""),110.58)</f>
        <v/>
      </c>
      <c r="AQ14" s="512">
        <f>IFERROR(__xludf.DUMMYFUNCTION("""COMPUTED_VALUE"""),45882.6666666666)</f>
        <v/>
      </c>
      <c r="AR14" s="513">
        <f>IFERROR(__xludf.DUMMYFUNCTION("""COMPUTED_VALUE"""),91.64)</f>
        <v/>
      </c>
      <c r="AT14" s="512">
        <f>IFERROR(__xludf.DUMMYFUNCTION("""COMPUTED_VALUE"""),45882.6666666666)</f>
        <v/>
      </c>
      <c r="AU14" s="513">
        <f>IFERROR(__xludf.DUMMYFUNCTION("""COMPUTED_VALUE"""),50.5)</f>
        <v/>
      </c>
      <c r="AW14" s="512">
        <f>IFERROR(__xludf.DUMMYFUNCTION("""COMPUTED_VALUE"""),45882.6666666666)</f>
        <v/>
      </c>
      <c r="AX14" s="513">
        <f>IFERROR(__xludf.DUMMYFUNCTION("""COMPUTED_VALUE"""),99.37)</f>
        <v/>
      </c>
      <c r="AZ14" s="512">
        <f>IFERROR(__xludf.DUMMYFUNCTION("""COMPUTED_VALUE"""),45882.6666666666)</f>
        <v/>
      </c>
      <c r="BA14" s="513">
        <f>IFERROR(__xludf.DUMMYFUNCTION("""COMPUTED_VALUE"""),110.26)</f>
        <v/>
      </c>
      <c r="BC14" s="512">
        <f>IFERROR(__xludf.DUMMYFUNCTION("""COMPUTED_VALUE"""),45882.6666666666)</f>
        <v/>
      </c>
      <c r="BD14" s="513">
        <f>IFERROR(__xludf.DUMMYFUNCTION("""COMPUTED_VALUE"""),95.73)</f>
        <v/>
      </c>
      <c r="BF14" s="512">
        <f>IFERROR(__xludf.DUMMYFUNCTION("""COMPUTED_VALUE"""),45882.6666666666)</f>
        <v/>
      </c>
      <c r="BG14" s="513">
        <f>IFERROR(__xludf.DUMMYFUNCTION("""COMPUTED_VALUE"""),82.79)</f>
        <v/>
      </c>
      <c r="BI14" s="512">
        <f>IFERROR(__xludf.DUMMYFUNCTION("""COMPUTED_VALUE"""),45882.6666666666)</f>
        <v/>
      </c>
      <c r="BJ14" s="513">
        <f>IFERROR(__xludf.DUMMYFUNCTION("""COMPUTED_VALUE"""),87.67)</f>
        <v/>
      </c>
      <c r="BL14" s="512">
        <f>IFERROR(__xludf.DUMMYFUNCTION("""COMPUTED_VALUE"""),45882.6666666666)</f>
        <v/>
      </c>
      <c r="BM14" s="513">
        <f>IFERROR(__xludf.DUMMYFUNCTION("""COMPUTED_VALUE"""),309.21)</f>
        <v/>
      </c>
      <c r="BO14" s="512">
        <f>IFERROR(__xludf.DUMMYFUNCTION("""COMPUTED_VALUE"""),45882.6666666666)</f>
        <v/>
      </c>
      <c r="BP14" s="513">
        <f>IFERROR(__xludf.DUMMYFUNCTION("""COMPUTED_VALUE"""),91.57)</f>
        <v/>
      </c>
      <c r="CB14" t="inlineStr">
        <is>
          <t>EEM</t>
        </is>
      </c>
    </row>
    <row r="15">
      <c r="A15" s="512">
        <f>IFERROR(__xludf.DUMMYFUNCTION("""COMPUTED_VALUE"""),45883.6666666666)</f>
        <v/>
      </c>
      <c r="B15" s="513">
        <f>IFERROR(__xludf.DUMMYFUNCTION("""COMPUTED_VALUE"""),644.95)</f>
        <v/>
      </c>
      <c r="D15" s="512">
        <f>IFERROR(__xludf.DUMMYFUNCTION("""COMPUTED_VALUE"""),45883.6666666666)</f>
        <v/>
      </c>
      <c r="E15" s="513">
        <f>IFERROR(__xludf.DUMMYFUNCTION("""COMPUTED_VALUE"""),89.16)</f>
        <v/>
      </c>
      <c r="G15" s="512">
        <f>IFERROR(__xludf.DUMMYFUNCTION("""COMPUTED_VALUE"""),46070.6666666666)</f>
        <v/>
      </c>
      <c r="H15" s="513">
        <f>IFERROR(__xludf.DUMMYFUNCTION("""COMPUTED_VALUE"""),68.58)</f>
        <v/>
      </c>
      <c r="J15" s="512">
        <f>IFERROR(__xludf.DUMMYFUNCTION("""COMPUTED_VALUE"""),45883.6666666666)</f>
        <v/>
      </c>
      <c r="K15" s="513">
        <f>IFERROR(__xludf.DUMMYFUNCTION("""COMPUTED_VALUE"""),78.8)</f>
        <v/>
      </c>
      <c r="M15" s="512">
        <f>IFERROR(__xludf.DUMMYFUNCTION("""COMPUTED_VALUE"""),45883.6666666666)</f>
        <v/>
      </c>
      <c r="N15" s="513">
        <f>IFERROR(__xludf.DUMMYFUNCTION("""COMPUTED_VALUE"""),228.24)</f>
        <v/>
      </c>
      <c r="P15" s="512">
        <f>IFERROR(__xludf.DUMMYFUNCTION("""COMPUTED_VALUE"""),45883.6666666666)</f>
        <v/>
      </c>
      <c r="Q15" s="513">
        <f>IFERROR(__xludf.DUMMYFUNCTION("""COMPUTED_VALUE"""),78.74)</f>
        <v/>
      </c>
      <c r="S15" s="512">
        <f>IFERROR(__xludf.DUMMYFUNCTION("""COMPUTED_VALUE"""),45153.6666666666)</f>
        <v/>
      </c>
      <c r="T15" s="513">
        <f>IFERROR(__xludf.DUMMYFUNCTION("""COMPUTED_VALUE"""),177.45)</f>
        <v/>
      </c>
      <c r="V15" s="512">
        <f>IFERROR(__xludf.DUMMYFUNCTION("""COMPUTED_VALUE"""),45883.6666666666)</f>
        <v/>
      </c>
      <c r="W15" s="513">
        <f>IFERROR(__xludf.DUMMYFUNCTION("""COMPUTED_VALUE"""),21.84)</f>
        <v/>
      </c>
      <c r="Y15" s="512">
        <f>IFERROR(__xludf.DUMMYFUNCTION("""COMPUTED_VALUE"""),45883.6666666666)</f>
        <v/>
      </c>
      <c r="Z15" s="513">
        <f>IFERROR(__xludf.DUMMYFUNCTION("""COMPUTED_VALUE"""),73.54)</f>
        <v/>
      </c>
      <c r="AB15" s="512">
        <f>IFERROR(__xludf.DUMMYFUNCTION("""COMPUTED_VALUE"""),45883.6666666666)</f>
        <v/>
      </c>
      <c r="AC15" s="513">
        <f>IFERROR(__xludf.DUMMYFUNCTION("""COMPUTED_VALUE"""),51.21)</f>
        <v/>
      </c>
      <c r="AE15" s="512">
        <f>IFERROR(__xludf.DUMMYFUNCTION("""COMPUTED_VALUE"""),45883.6666666666)</f>
        <v/>
      </c>
      <c r="AF15" s="513">
        <f>IFERROR(__xludf.DUMMYFUNCTION("""COMPUTED_VALUE"""),93.93)</f>
        <v/>
      </c>
      <c r="AH15" s="512">
        <f>IFERROR(__xludf.DUMMYFUNCTION("""COMPUTED_VALUE"""),45883.6666666666)</f>
        <v/>
      </c>
      <c r="AI15" s="513">
        <f>IFERROR(__xludf.DUMMYFUNCTION("""COMPUTED_VALUE"""),22.94)</f>
        <v/>
      </c>
      <c r="AK15" s="512">
        <f>IFERROR(__xludf.DUMMYFUNCTION("""COMPUTED_VALUE"""),45883.6666666666)</f>
        <v/>
      </c>
      <c r="AL15" s="513">
        <f>IFERROR(__xludf.DUMMYFUNCTION("""COMPUTED_VALUE"""),80.4)</f>
        <v/>
      </c>
      <c r="AN15" s="512">
        <f>IFERROR(__xludf.DUMMYFUNCTION("""COMPUTED_VALUE"""),45883.6666666666)</f>
        <v/>
      </c>
      <c r="AO15" s="513">
        <f>IFERROR(__xludf.DUMMYFUNCTION("""COMPUTED_VALUE"""),110.25)</f>
        <v/>
      </c>
      <c r="AQ15" s="512">
        <f>IFERROR(__xludf.DUMMYFUNCTION("""COMPUTED_VALUE"""),45883.6666666666)</f>
        <v/>
      </c>
      <c r="AR15" s="513">
        <f>IFERROR(__xludf.DUMMYFUNCTION("""COMPUTED_VALUE"""),91.65)</f>
        <v/>
      </c>
      <c r="AT15" s="512">
        <f>IFERROR(__xludf.DUMMYFUNCTION("""COMPUTED_VALUE"""),45883.6666666666)</f>
        <v/>
      </c>
      <c r="AU15" s="513">
        <f>IFERROR(__xludf.DUMMYFUNCTION("""COMPUTED_VALUE"""),49.88)</f>
        <v/>
      </c>
      <c r="AW15" s="512">
        <f>IFERROR(__xludf.DUMMYFUNCTION("""COMPUTED_VALUE"""),45883.6666666666)</f>
        <v/>
      </c>
      <c r="AX15" s="513">
        <f>IFERROR(__xludf.DUMMYFUNCTION("""COMPUTED_VALUE"""),99.09)</f>
        <v/>
      </c>
      <c r="AZ15" s="512">
        <f>IFERROR(__xludf.DUMMYFUNCTION("""COMPUTED_VALUE"""),45883.6666666666)</f>
        <v/>
      </c>
      <c r="BA15" s="513">
        <f>IFERROR(__xludf.DUMMYFUNCTION("""COMPUTED_VALUE"""),109.88)</f>
        <v/>
      </c>
      <c r="BC15" s="512">
        <f>IFERROR(__xludf.DUMMYFUNCTION("""COMPUTED_VALUE"""),45883.6666666666)</f>
        <v/>
      </c>
      <c r="BD15" s="513">
        <f>IFERROR(__xludf.DUMMYFUNCTION("""COMPUTED_VALUE"""),95.42)</f>
        <v/>
      </c>
      <c r="BF15" s="512">
        <f>IFERROR(__xludf.DUMMYFUNCTION("""COMPUTED_VALUE"""),45883.6666666666)</f>
        <v/>
      </c>
      <c r="BG15" s="513">
        <f>IFERROR(__xludf.DUMMYFUNCTION("""COMPUTED_VALUE"""),82.7)</f>
        <v/>
      </c>
      <c r="BI15" s="512">
        <f>IFERROR(__xludf.DUMMYFUNCTION("""COMPUTED_VALUE"""),45883.6666666666)</f>
        <v/>
      </c>
      <c r="BJ15" s="513">
        <f>IFERROR(__xludf.DUMMYFUNCTION("""COMPUTED_VALUE"""),87.02)</f>
        <v/>
      </c>
      <c r="BL15" s="512">
        <f>IFERROR(__xludf.DUMMYFUNCTION("""COMPUTED_VALUE"""),45883.6666666666)</f>
        <v/>
      </c>
      <c r="BM15" s="513">
        <f>IFERROR(__xludf.DUMMYFUNCTION("""COMPUTED_VALUE"""),307.25)</f>
        <v/>
      </c>
      <c r="BO15" s="512">
        <f>IFERROR(__xludf.DUMMYFUNCTION("""COMPUTED_VALUE"""),45883.6666666666)</f>
        <v/>
      </c>
      <c r="BP15" s="513">
        <f>IFERROR(__xludf.DUMMYFUNCTION("""COMPUTED_VALUE"""),91.58)</f>
        <v/>
      </c>
      <c r="CB15" t="inlineStr">
        <is>
          <t>AGG</t>
        </is>
      </c>
    </row>
    <row r="16">
      <c r="A16" s="512">
        <f>IFERROR(__xludf.DUMMYFUNCTION("""COMPUTED_VALUE"""),45884.6666666666)</f>
        <v/>
      </c>
      <c r="B16" s="513">
        <f>IFERROR(__xludf.DUMMYFUNCTION("""COMPUTED_VALUE"""),643.44)</f>
        <v/>
      </c>
      <c r="D16" s="512">
        <f>IFERROR(__xludf.DUMMYFUNCTION("""COMPUTED_VALUE"""),45884.6666666666)</f>
        <v/>
      </c>
      <c r="E16" s="513">
        <f>IFERROR(__xludf.DUMMYFUNCTION("""COMPUTED_VALUE"""),89.67)</f>
        <v/>
      </c>
      <c r="G16" s="512">
        <f>IFERROR(__xludf.DUMMYFUNCTION("""COMPUTED_VALUE"""),46071.6666666666)</f>
        <v/>
      </c>
      <c r="H16" s="513">
        <f>IFERROR(__xludf.DUMMYFUNCTION("""COMPUTED_VALUE"""),68.81)</f>
        <v/>
      </c>
      <c r="J16" s="512">
        <f>IFERROR(__xludf.DUMMYFUNCTION("""COMPUTED_VALUE"""),45884.6666666666)</f>
        <v/>
      </c>
      <c r="K16" s="513">
        <f>IFERROR(__xludf.DUMMYFUNCTION("""COMPUTED_VALUE"""),80.15)</f>
        <v/>
      </c>
      <c r="M16" s="512">
        <f>IFERROR(__xludf.DUMMYFUNCTION("""COMPUTED_VALUE"""),45884.6666666666)</f>
        <v/>
      </c>
      <c r="N16" s="513">
        <f>IFERROR(__xludf.DUMMYFUNCTION("""COMPUTED_VALUE"""),227.13)</f>
        <v/>
      </c>
      <c r="P16" s="512">
        <f>IFERROR(__xludf.DUMMYFUNCTION("""COMPUTED_VALUE"""),45884.6666666666)</f>
        <v/>
      </c>
      <c r="Q16" s="513">
        <f>IFERROR(__xludf.DUMMYFUNCTION("""COMPUTED_VALUE"""),78.95)</f>
        <v/>
      </c>
      <c r="S16" s="512">
        <f>IFERROR(__xludf.DUMMYFUNCTION("""COMPUTED_VALUE"""),45154.6666666666)</f>
        <v/>
      </c>
      <c r="T16" s="513">
        <f>IFERROR(__xludf.DUMMYFUNCTION("""COMPUTED_VALUE"""),176.57)</f>
        <v/>
      </c>
      <c r="V16" s="512">
        <f>IFERROR(__xludf.DUMMYFUNCTION("""COMPUTED_VALUE"""),45884.6666666666)</f>
        <v/>
      </c>
      <c r="W16" s="513">
        <f>IFERROR(__xludf.DUMMYFUNCTION("""COMPUTED_VALUE"""),21.77)</f>
        <v/>
      </c>
      <c r="Y16" s="512">
        <f>IFERROR(__xludf.DUMMYFUNCTION("""COMPUTED_VALUE"""),45884.6666666666)</f>
        <v/>
      </c>
      <c r="Z16" s="513">
        <f>IFERROR(__xludf.DUMMYFUNCTION("""COMPUTED_VALUE"""),73.44)</f>
        <v/>
      </c>
      <c r="AB16" s="512">
        <f>IFERROR(__xludf.DUMMYFUNCTION("""COMPUTED_VALUE"""),45884.6666666666)</f>
        <v/>
      </c>
      <c r="AC16" s="513">
        <f>IFERROR(__xludf.DUMMYFUNCTION("""COMPUTED_VALUE"""),51.36)</f>
        <v/>
      </c>
      <c r="AE16" s="512">
        <f>IFERROR(__xludf.DUMMYFUNCTION("""COMPUTED_VALUE"""),45884.6666666666)</f>
        <v/>
      </c>
      <c r="AF16" s="513">
        <f>IFERROR(__xludf.DUMMYFUNCTION("""COMPUTED_VALUE"""),93.85)</f>
        <v/>
      </c>
      <c r="AH16" s="512">
        <f>IFERROR(__xludf.DUMMYFUNCTION("""COMPUTED_VALUE"""),45884.6666666666)</f>
        <v/>
      </c>
      <c r="AI16" s="513">
        <f>IFERROR(__xludf.DUMMYFUNCTION("""COMPUTED_VALUE"""),22.94)</f>
        <v/>
      </c>
      <c r="AK16" s="512">
        <f>IFERROR(__xludf.DUMMYFUNCTION("""COMPUTED_VALUE"""),45884.6666666666)</f>
        <v/>
      </c>
      <c r="AL16" s="513">
        <f>IFERROR(__xludf.DUMMYFUNCTION("""COMPUTED_VALUE"""),80.46)</f>
        <v/>
      </c>
      <c r="AN16" s="512">
        <f>IFERROR(__xludf.DUMMYFUNCTION("""COMPUTED_VALUE"""),45884.6666666666)</f>
        <v/>
      </c>
      <c r="AO16" s="513">
        <f>IFERROR(__xludf.DUMMYFUNCTION("""COMPUTED_VALUE"""),110.04)</f>
        <v/>
      </c>
      <c r="AQ16" s="512">
        <f>IFERROR(__xludf.DUMMYFUNCTION("""COMPUTED_VALUE"""),45884.6666666666)</f>
        <v/>
      </c>
      <c r="AR16" s="513">
        <f>IFERROR(__xludf.DUMMYFUNCTION("""COMPUTED_VALUE"""),92.19)</f>
        <v/>
      </c>
      <c r="AT16" s="512">
        <f>IFERROR(__xludf.DUMMYFUNCTION("""COMPUTED_VALUE"""),45884.6666666666)</f>
        <v/>
      </c>
      <c r="AU16" s="513">
        <f>IFERROR(__xludf.DUMMYFUNCTION("""COMPUTED_VALUE"""),49.94)</f>
        <v/>
      </c>
      <c r="AW16" s="512">
        <f>IFERROR(__xludf.DUMMYFUNCTION("""COMPUTED_VALUE"""),45884.6666666666)</f>
        <v/>
      </c>
      <c r="AX16" s="513">
        <f>IFERROR(__xludf.DUMMYFUNCTION("""COMPUTED_VALUE"""),98.94)</f>
        <v/>
      </c>
      <c r="AZ16" s="512">
        <f>IFERROR(__xludf.DUMMYFUNCTION("""COMPUTED_VALUE"""),45884.6666666666)</f>
        <v/>
      </c>
      <c r="BA16" s="513">
        <f>IFERROR(__xludf.DUMMYFUNCTION("""COMPUTED_VALUE"""),109.74)</f>
        <v/>
      </c>
      <c r="BC16" s="512">
        <f>IFERROR(__xludf.DUMMYFUNCTION("""COMPUTED_VALUE"""),45884.6666666666)</f>
        <v/>
      </c>
      <c r="BD16" s="513">
        <f>IFERROR(__xludf.DUMMYFUNCTION("""COMPUTED_VALUE"""),95.23)</f>
        <v/>
      </c>
      <c r="BF16" s="512">
        <f>IFERROR(__xludf.DUMMYFUNCTION("""COMPUTED_VALUE"""),45884.6666666666)</f>
        <v/>
      </c>
      <c r="BG16" s="513">
        <f>IFERROR(__xludf.DUMMYFUNCTION("""COMPUTED_VALUE"""),82.67)</f>
        <v/>
      </c>
      <c r="BI16" s="512">
        <f>IFERROR(__xludf.DUMMYFUNCTION("""COMPUTED_VALUE"""),45884.6666666666)</f>
        <v/>
      </c>
      <c r="BJ16" s="513">
        <f>IFERROR(__xludf.DUMMYFUNCTION("""COMPUTED_VALUE"""),86.4)</f>
        <v/>
      </c>
      <c r="BL16" s="512">
        <f>IFERROR(__xludf.DUMMYFUNCTION("""COMPUTED_VALUE"""),45884.6666666666)</f>
        <v/>
      </c>
      <c r="BM16" s="513">
        <f>IFERROR(__xludf.DUMMYFUNCTION("""COMPUTED_VALUE"""),307.43)</f>
        <v/>
      </c>
      <c r="BO16" s="512">
        <f>IFERROR(__xludf.DUMMYFUNCTION("""COMPUTED_VALUE"""),45884.6666666666)</f>
        <v/>
      </c>
      <c r="BP16" s="513">
        <f>IFERROR(__xludf.DUMMYFUNCTION("""COMPUTED_VALUE"""),91.62)</f>
        <v/>
      </c>
      <c r="CB16" t="inlineStr">
        <is>
          <t>IEF</t>
        </is>
      </c>
    </row>
    <row r="17">
      <c r="A17" s="512">
        <f>IFERROR(__xludf.DUMMYFUNCTION("""COMPUTED_VALUE"""),45887.6666666666)</f>
        <v/>
      </c>
      <c r="B17" s="513">
        <f>IFERROR(__xludf.DUMMYFUNCTION("""COMPUTED_VALUE"""),643.3)</f>
        <v/>
      </c>
      <c r="D17" s="512">
        <f>IFERROR(__xludf.DUMMYFUNCTION("""COMPUTED_VALUE"""),45887.6666666666)</f>
        <v/>
      </c>
      <c r="E17" s="513">
        <f>IFERROR(__xludf.DUMMYFUNCTION("""COMPUTED_VALUE"""),88.91)</f>
        <v/>
      </c>
      <c r="G17" s="512">
        <f>IFERROR(__xludf.DUMMYFUNCTION("""COMPUTED_VALUE"""),46072.6666666666)</f>
        <v/>
      </c>
      <c r="H17" s="513">
        <f>IFERROR(__xludf.DUMMYFUNCTION("""COMPUTED_VALUE"""),68.79)</f>
        <v/>
      </c>
      <c r="J17" s="512">
        <f>IFERROR(__xludf.DUMMYFUNCTION("""COMPUTED_VALUE"""),45887.6666666666)</f>
        <v/>
      </c>
      <c r="K17" s="513">
        <f>IFERROR(__xludf.DUMMYFUNCTION("""COMPUTED_VALUE"""),80.3)</f>
        <v/>
      </c>
      <c r="M17" s="512">
        <f>IFERROR(__xludf.DUMMYFUNCTION("""COMPUTED_VALUE"""),45887.6666666666)</f>
        <v/>
      </c>
      <c r="N17" s="513">
        <f>IFERROR(__xludf.DUMMYFUNCTION("""COMPUTED_VALUE"""),227.96)</f>
        <v/>
      </c>
      <c r="P17" s="512">
        <f>IFERROR(__xludf.DUMMYFUNCTION("""COMPUTED_VALUE"""),45887.6666666666)</f>
        <v/>
      </c>
      <c r="Q17" s="513">
        <f>IFERROR(__xludf.DUMMYFUNCTION("""COMPUTED_VALUE"""),78.8)</f>
        <v/>
      </c>
      <c r="S17" s="512">
        <f>IFERROR(__xludf.DUMMYFUNCTION("""COMPUTED_VALUE"""),45155.6666666666)</f>
        <v/>
      </c>
      <c r="T17" s="513">
        <f>IFERROR(__xludf.DUMMYFUNCTION("""COMPUTED_VALUE"""),174)</f>
        <v/>
      </c>
      <c r="V17" s="512">
        <f>IFERROR(__xludf.DUMMYFUNCTION("""COMPUTED_VALUE"""),45887.6666666666)</f>
        <v/>
      </c>
      <c r="W17" s="513">
        <f>IFERROR(__xludf.DUMMYFUNCTION("""COMPUTED_VALUE"""),21.79)</f>
        <v/>
      </c>
      <c r="Y17" s="512">
        <f>IFERROR(__xludf.DUMMYFUNCTION("""COMPUTED_VALUE"""),45887.6666666666)</f>
        <v/>
      </c>
      <c r="Z17" s="513">
        <f>IFERROR(__xludf.DUMMYFUNCTION("""COMPUTED_VALUE"""),73.36)</f>
        <v/>
      </c>
      <c r="AB17" s="512">
        <f>IFERROR(__xludf.DUMMYFUNCTION("""COMPUTED_VALUE"""),45887.6666666666)</f>
        <v/>
      </c>
      <c r="AC17" s="513">
        <f>IFERROR(__xludf.DUMMYFUNCTION("""COMPUTED_VALUE"""),51.75)</f>
        <v/>
      </c>
      <c r="AE17" s="512">
        <f>IFERROR(__xludf.DUMMYFUNCTION("""COMPUTED_VALUE"""),45887.6666666666)</f>
        <v/>
      </c>
      <c r="AF17" s="513">
        <f>IFERROR(__xludf.DUMMYFUNCTION("""COMPUTED_VALUE"""),93.94)</f>
        <v/>
      </c>
      <c r="AH17" s="512">
        <f>IFERROR(__xludf.DUMMYFUNCTION("""COMPUTED_VALUE"""),45887.6666666666)</f>
        <v/>
      </c>
      <c r="AI17" s="513">
        <f>IFERROR(__xludf.DUMMYFUNCTION("""COMPUTED_VALUE"""),22.89)</f>
        <v/>
      </c>
      <c r="AK17" s="512">
        <f>IFERROR(__xludf.DUMMYFUNCTION("""COMPUTED_VALUE"""),45887.6666666666)</f>
        <v/>
      </c>
      <c r="AL17" s="513">
        <f>IFERROR(__xludf.DUMMYFUNCTION("""COMPUTED_VALUE"""),80.4)</f>
        <v/>
      </c>
      <c r="AN17" s="512">
        <f>IFERROR(__xludf.DUMMYFUNCTION("""COMPUTED_VALUE"""),45887.6666666666)</f>
        <v/>
      </c>
      <c r="AO17" s="513">
        <f>IFERROR(__xludf.DUMMYFUNCTION("""COMPUTED_VALUE"""),109.92)</f>
        <v/>
      </c>
      <c r="AQ17" s="512">
        <f>IFERROR(__xludf.DUMMYFUNCTION("""COMPUTED_VALUE"""),45887.6666666666)</f>
        <v/>
      </c>
      <c r="AR17" s="513">
        <f>IFERROR(__xludf.DUMMYFUNCTION("""COMPUTED_VALUE"""),92.09)</f>
        <v/>
      </c>
      <c r="AT17" s="512">
        <f>IFERROR(__xludf.DUMMYFUNCTION("""COMPUTED_VALUE"""),45887.6666666666)</f>
        <v/>
      </c>
      <c r="AU17" s="513">
        <f>IFERROR(__xludf.DUMMYFUNCTION("""COMPUTED_VALUE"""),50.23)</f>
        <v/>
      </c>
      <c r="AW17" s="512">
        <f>IFERROR(__xludf.DUMMYFUNCTION("""COMPUTED_VALUE"""),45887.6666666666)</f>
        <v/>
      </c>
      <c r="AX17" s="513">
        <f>IFERROR(__xludf.DUMMYFUNCTION("""COMPUTED_VALUE"""),98.83)</f>
        <v/>
      </c>
      <c r="AZ17" s="512">
        <f>IFERROR(__xludf.DUMMYFUNCTION("""COMPUTED_VALUE"""),45887.6666666666)</f>
        <v/>
      </c>
      <c r="BA17" s="513">
        <f>IFERROR(__xludf.DUMMYFUNCTION("""COMPUTED_VALUE"""),109.54)</f>
        <v/>
      </c>
      <c r="BC17" s="512">
        <f>IFERROR(__xludf.DUMMYFUNCTION("""COMPUTED_VALUE"""),45887.6666666666)</f>
        <v/>
      </c>
      <c r="BD17" s="513">
        <f>IFERROR(__xludf.DUMMYFUNCTION("""COMPUTED_VALUE"""),95.14)</f>
        <v/>
      </c>
      <c r="BF17" s="512">
        <f>IFERROR(__xludf.DUMMYFUNCTION("""COMPUTED_VALUE"""),45887.6666666666)</f>
        <v/>
      </c>
      <c r="BG17" s="513">
        <f>IFERROR(__xludf.DUMMYFUNCTION("""COMPUTED_VALUE"""),82.67)</f>
        <v/>
      </c>
      <c r="BI17" s="512">
        <f>IFERROR(__xludf.DUMMYFUNCTION("""COMPUTED_VALUE"""),45887.6666666666)</f>
        <v/>
      </c>
      <c r="BJ17" s="513">
        <f>IFERROR(__xludf.DUMMYFUNCTION("""COMPUTED_VALUE"""),86.15)</f>
        <v/>
      </c>
      <c r="BL17" s="512">
        <f>IFERROR(__xludf.DUMMYFUNCTION("""COMPUTED_VALUE"""),45887.6666666666)</f>
        <v/>
      </c>
      <c r="BM17" s="513">
        <f>IFERROR(__xludf.DUMMYFUNCTION("""COMPUTED_VALUE"""),306.95)</f>
        <v/>
      </c>
      <c r="BO17" s="512">
        <f>IFERROR(__xludf.DUMMYFUNCTION("""COMPUTED_VALUE"""),45887.6666666666)</f>
        <v/>
      </c>
      <c r="BP17" s="513">
        <f>IFERROR(__xludf.DUMMYFUNCTION("""COMPUTED_VALUE"""),91.62)</f>
        <v/>
      </c>
      <c r="CB17" t="inlineStr">
        <is>
          <t>BIL</t>
        </is>
      </c>
    </row>
    <row r="18">
      <c r="A18" s="512">
        <f>IFERROR(__xludf.DUMMYFUNCTION("""COMPUTED_VALUE"""),45888.6666666666)</f>
        <v/>
      </c>
      <c r="B18" s="513">
        <f>IFERROR(__xludf.DUMMYFUNCTION("""COMPUTED_VALUE"""),639.81)</f>
        <v/>
      </c>
      <c r="D18" s="512">
        <f>IFERROR(__xludf.DUMMYFUNCTION("""COMPUTED_VALUE"""),45888.6666666666)</f>
        <v/>
      </c>
      <c r="E18" s="513">
        <f>IFERROR(__xludf.DUMMYFUNCTION("""COMPUTED_VALUE"""),90.44)</f>
        <v/>
      </c>
      <c r="G18" s="512">
        <f>IFERROR(__xludf.DUMMYFUNCTION("""COMPUTED_VALUE"""),46073.6666666666)</f>
        <v/>
      </c>
      <c r="H18" s="513">
        <f>IFERROR(__xludf.DUMMYFUNCTION("""COMPUTED_VALUE"""),69.52)</f>
        <v/>
      </c>
      <c r="J18" s="512">
        <f>IFERROR(__xludf.DUMMYFUNCTION("""COMPUTED_VALUE"""),45888.6666666666)</f>
        <v/>
      </c>
      <c r="K18" s="513">
        <f>IFERROR(__xludf.DUMMYFUNCTION("""COMPUTED_VALUE"""),80.02)</f>
        <v/>
      </c>
      <c r="M18" s="512">
        <f>IFERROR(__xludf.DUMMYFUNCTION("""COMPUTED_VALUE"""),45888.6666666666)</f>
        <v/>
      </c>
      <c r="N18" s="513">
        <f>IFERROR(__xludf.DUMMYFUNCTION("""COMPUTED_VALUE"""),226.21)</f>
        <v/>
      </c>
      <c r="P18" s="512">
        <f>IFERROR(__xludf.DUMMYFUNCTION("""COMPUTED_VALUE"""),45888.6666666666)</f>
        <v/>
      </c>
      <c r="Q18" s="513">
        <f>IFERROR(__xludf.DUMMYFUNCTION("""COMPUTED_VALUE"""),78.97)</f>
        <v/>
      </c>
      <c r="S18" s="512">
        <f>IFERROR(__xludf.DUMMYFUNCTION("""COMPUTED_VALUE"""),45156.6666666666)</f>
        <v/>
      </c>
      <c r="T18" s="513">
        <f>IFERROR(__xludf.DUMMYFUNCTION("""COMPUTED_VALUE"""),174.49)</f>
        <v/>
      </c>
      <c r="V18" s="512">
        <f>IFERROR(__xludf.DUMMYFUNCTION("""COMPUTED_VALUE"""),45888.6666666666)</f>
        <v/>
      </c>
      <c r="W18" s="513">
        <f>IFERROR(__xludf.DUMMYFUNCTION("""COMPUTED_VALUE"""),21.62)</f>
        <v/>
      </c>
      <c r="Y18" s="512">
        <f>IFERROR(__xludf.DUMMYFUNCTION("""COMPUTED_VALUE"""),45888.6666666666)</f>
        <v/>
      </c>
      <c r="Z18" s="513">
        <f>IFERROR(__xludf.DUMMYFUNCTION("""COMPUTED_VALUE"""),73.5)</f>
        <v/>
      </c>
      <c r="AB18" s="512">
        <f>IFERROR(__xludf.DUMMYFUNCTION("""COMPUTED_VALUE"""),45888.6666666666)</f>
        <v/>
      </c>
      <c r="AC18" s="513">
        <f>IFERROR(__xludf.DUMMYFUNCTION("""COMPUTED_VALUE"""),51.38)</f>
        <v/>
      </c>
      <c r="AE18" s="512">
        <f>IFERROR(__xludf.DUMMYFUNCTION("""COMPUTED_VALUE"""),45888.6666666666)</f>
        <v/>
      </c>
      <c r="AF18" s="513">
        <f>IFERROR(__xludf.DUMMYFUNCTION("""COMPUTED_VALUE"""),93.98)</f>
        <v/>
      </c>
      <c r="AH18" s="512">
        <f>IFERROR(__xludf.DUMMYFUNCTION("""COMPUTED_VALUE"""),45888.6666666666)</f>
        <v/>
      </c>
      <c r="AI18" s="513">
        <f>IFERROR(__xludf.DUMMYFUNCTION("""COMPUTED_VALUE"""),22.87)</f>
        <v/>
      </c>
      <c r="AK18" s="512">
        <f>IFERROR(__xludf.DUMMYFUNCTION("""COMPUTED_VALUE"""),45888.6666666666)</f>
        <v/>
      </c>
      <c r="AL18" s="513">
        <f>IFERROR(__xludf.DUMMYFUNCTION("""COMPUTED_VALUE"""),80.38)</f>
        <v/>
      </c>
      <c r="AN18" s="512">
        <f>IFERROR(__xludf.DUMMYFUNCTION("""COMPUTED_VALUE"""),45888.6666666666)</f>
        <v/>
      </c>
      <c r="AO18" s="513">
        <f>IFERROR(__xludf.DUMMYFUNCTION("""COMPUTED_VALUE"""),110.03)</f>
        <v/>
      </c>
      <c r="AQ18" s="512">
        <f>IFERROR(__xludf.DUMMYFUNCTION("""COMPUTED_VALUE"""),45888.6666666666)</f>
        <v/>
      </c>
      <c r="AR18" s="513">
        <f>IFERROR(__xludf.DUMMYFUNCTION("""COMPUTED_VALUE"""),92.1)</f>
        <v/>
      </c>
      <c r="AT18" s="512">
        <f>IFERROR(__xludf.DUMMYFUNCTION("""COMPUTED_VALUE"""),45888.6666666666)</f>
        <v/>
      </c>
      <c r="AU18" s="513">
        <f>IFERROR(__xludf.DUMMYFUNCTION("""COMPUTED_VALUE"""),49.82)</f>
        <v/>
      </c>
      <c r="AW18" s="512">
        <f>IFERROR(__xludf.DUMMYFUNCTION("""COMPUTED_VALUE"""),45888.6666666666)</f>
        <v/>
      </c>
      <c r="AX18" s="513">
        <f>IFERROR(__xludf.DUMMYFUNCTION("""COMPUTED_VALUE"""),99.02)</f>
        <v/>
      </c>
      <c r="AZ18" s="512">
        <f>IFERROR(__xludf.DUMMYFUNCTION("""COMPUTED_VALUE"""),45888.6666666666)</f>
        <v/>
      </c>
      <c r="BA18" s="513">
        <f>IFERROR(__xludf.DUMMYFUNCTION("""COMPUTED_VALUE"""),109.71)</f>
        <v/>
      </c>
      <c r="BC18" s="512">
        <f>IFERROR(__xludf.DUMMYFUNCTION("""COMPUTED_VALUE"""),45888.6666666666)</f>
        <v/>
      </c>
      <c r="BD18" s="513">
        <f>IFERROR(__xludf.DUMMYFUNCTION("""COMPUTED_VALUE"""),95.38)</f>
        <v/>
      </c>
      <c r="BF18" s="512">
        <f>IFERROR(__xludf.DUMMYFUNCTION("""COMPUTED_VALUE"""),45888.6666666666)</f>
        <v/>
      </c>
      <c r="BG18" s="513">
        <f>IFERROR(__xludf.DUMMYFUNCTION("""COMPUTED_VALUE"""),82.71)</f>
        <v/>
      </c>
      <c r="BI18" s="512">
        <f>IFERROR(__xludf.DUMMYFUNCTION("""COMPUTED_VALUE"""),45888.6666666666)</f>
        <v/>
      </c>
      <c r="BJ18" s="513">
        <f>IFERROR(__xludf.DUMMYFUNCTION("""COMPUTED_VALUE"""),86.65)</f>
        <v/>
      </c>
      <c r="BL18" s="512">
        <f>IFERROR(__xludf.DUMMYFUNCTION("""COMPUTED_VALUE"""),45888.6666666666)</f>
        <v/>
      </c>
      <c r="BM18" s="513">
        <f>IFERROR(__xludf.DUMMYFUNCTION("""COMPUTED_VALUE"""),305.27)</f>
        <v/>
      </c>
      <c r="BO18" s="512">
        <f>IFERROR(__xludf.DUMMYFUNCTION("""COMPUTED_VALUE"""),45888.6666666666)</f>
        <v/>
      </c>
      <c r="BP18" s="513">
        <f>IFERROR(__xludf.DUMMYFUNCTION("""COMPUTED_VALUE"""),91.64)</f>
        <v/>
      </c>
      <c r="CB18" t="inlineStr">
        <is>
          <t>TLT</t>
        </is>
      </c>
    </row>
    <row r="19">
      <c r="A19" s="512">
        <f>IFERROR(__xludf.DUMMYFUNCTION("""COMPUTED_VALUE"""),45889.6666666666)</f>
        <v/>
      </c>
      <c r="B19" s="513">
        <f>IFERROR(__xludf.DUMMYFUNCTION("""COMPUTED_VALUE"""),638.11)</f>
        <v/>
      </c>
      <c r="D19" s="512">
        <f>IFERROR(__xludf.DUMMYFUNCTION("""COMPUTED_VALUE"""),45889.6666666666)</f>
        <v/>
      </c>
      <c r="E19" s="513">
        <f>IFERROR(__xludf.DUMMYFUNCTION("""COMPUTED_VALUE"""),90.7)</f>
        <v/>
      </c>
      <c r="G19" s="512">
        <f>IFERROR(__xludf.DUMMYFUNCTION("""COMPUTED_VALUE"""),46076.6666666666)</f>
        <v/>
      </c>
      <c r="H19" s="513">
        <f>IFERROR(__xludf.DUMMYFUNCTION("""COMPUTED_VALUE"""),69.18)</f>
        <v/>
      </c>
      <c r="J19" s="512">
        <f>IFERROR(__xludf.DUMMYFUNCTION("""COMPUTED_VALUE"""),45889.6666666666)</f>
        <v/>
      </c>
      <c r="K19" s="513">
        <f>IFERROR(__xludf.DUMMYFUNCTION("""COMPUTED_VALUE"""),79.64)</f>
        <v/>
      </c>
      <c r="M19" s="512">
        <f>IFERROR(__xludf.DUMMYFUNCTION("""COMPUTED_VALUE"""),45889.6666666666)</f>
        <v/>
      </c>
      <c r="N19" s="513">
        <f>IFERROR(__xludf.DUMMYFUNCTION("""COMPUTED_VALUE"""),225.41)</f>
        <v/>
      </c>
      <c r="P19" s="512">
        <f>IFERROR(__xludf.DUMMYFUNCTION("""COMPUTED_VALUE"""),45889.6666666666)</f>
        <v/>
      </c>
      <c r="Q19" s="513">
        <f>IFERROR(__xludf.DUMMYFUNCTION("""COMPUTED_VALUE"""),79.4)</f>
        <v/>
      </c>
      <c r="S19" s="512">
        <f>IFERROR(__xludf.DUMMYFUNCTION("""COMPUTED_VALUE"""),45159.6666666666)</f>
        <v/>
      </c>
      <c r="T19" s="513">
        <f>IFERROR(__xludf.DUMMYFUNCTION("""COMPUTED_VALUE"""),175.84)</f>
        <v/>
      </c>
      <c r="V19" s="512">
        <f>IFERROR(__xludf.DUMMYFUNCTION("""COMPUTED_VALUE"""),45889.6666666666)</f>
        <v/>
      </c>
      <c r="W19" s="513">
        <f>IFERROR(__xludf.DUMMYFUNCTION("""COMPUTED_VALUE"""),21.86)</f>
        <v/>
      </c>
      <c r="Y19" s="512">
        <f>IFERROR(__xludf.DUMMYFUNCTION("""COMPUTED_VALUE"""),45889.6666666666)</f>
        <v/>
      </c>
      <c r="Z19" s="513">
        <f>IFERROR(__xludf.DUMMYFUNCTION("""COMPUTED_VALUE"""),73.55)</f>
        <v/>
      </c>
      <c r="AB19" s="512">
        <f>IFERROR(__xludf.DUMMYFUNCTION("""COMPUTED_VALUE"""),45889.6666666666)</f>
        <v/>
      </c>
      <c r="AC19" s="513">
        <f>IFERROR(__xludf.DUMMYFUNCTION("""COMPUTED_VALUE"""),51.36)</f>
        <v/>
      </c>
      <c r="AE19" s="512">
        <f>IFERROR(__xludf.DUMMYFUNCTION("""COMPUTED_VALUE"""),45889.6666666666)</f>
        <v/>
      </c>
      <c r="AF19" s="513">
        <f>IFERROR(__xludf.DUMMYFUNCTION("""COMPUTED_VALUE"""),93.83)</f>
        <v/>
      </c>
      <c r="AH19" s="512">
        <f>IFERROR(__xludf.DUMMYFUNCTION("""COMPUTED_VALUE"""),45889.6666666666)</f>
        <v/>
      </c>
      <c r="AI19" s="513">
        <f>IFERROR(__xludf.DUMMYFUNCTION("""COMPUTED_VALUE"""),22.9)</f>
        <v/>
      </c>
      <c r="AK19" s="512">
        <f>IFERROR(__xludf.DUMMYFUNCTION("""COMPUTED_VALUE"""),45889.6666666666)</f>
        <v/>
      </c>
      <c r="AL19" s="513">
        <f>IFERROR(__xludf.DUMMYFUNCTION("""COMPUTED_VALUE"""),80.35)</f>
        <v/>
      </c>
      <c r="AN19" s="512">
        <f>IFERROR(__xludf.DUMMYFUNCTION("""COMPUTED_VALUE"""),45889.6666666666)</f>
        <v/>
      </c>
      <c r="AO19" s="513">
        <f>IFERROR(__xludf.DUMMYFUNCTION("""COMPUTED_VALUE"""),110.15)</f>
        <v/>
      </c>
      <c r="AQ19" s="512">
        <f>IFERROR(__xludf.DUMMYFUNCTION("""COMPUTED_VALUE"""),45889.6666666666)</f>
        <v/>
      </c>
      <c r="AR19" s="513">
        <f>IFERROR(__xludf.DUMMYFUNCTION("""COMPUTED_VALUE"""),92.43)</f>
        <v/>
      </c>
      <c r="AT19" s="512">
        <f>IFERROR(__xludf.DUMMYFUNCTION("""COMPUTED_VALUE"""),45889.6666666666)</f>
        <v/>
      </c>
      <c r="AU19" s="513">
        <f>IFERROR(__xludf.DUMMYFUNCTION("""COMPUTED_VALUE"""),49.75)</f>
        <v/>
      </c>
      <c r="AW19" s="512">
        <f>IFERROR(__xludf.DUMMYFUNCTION("""COMPUTED_VALUE"""),45889.6666666666)</f>
        <v/>
      </c>
      <c r="AX19" s="513">
        <f>IFERROR(__xludf.DUMMYFUNCTION("""COMPUTED_VALUE"""),99.08)</f>
        <v/>
      </c>
      <c r="AZ19" s="512">
        <f>IFERROR(__xludf.DUMMYFUNCTION("""COMPUTED_VALUE"""),45889.6666666666)</f>
        <v/>
      </c>
      <c r="BA19" s="513">
        <f>IFERROR(__xludf.DUMMYFUNCTION("""COMPUTED_VALUE"""),109.76)</f>
        <v/>
      </c>
      <c r="BC19" s="512">
        <f>IFERROR(__xludf.DUMMYFUNCTION("""COMPUTED_VALUE"""),45889.6666666666)</f>
        <v/>
      </c>
      <c r="BD19" s="513">
        <f>IFERROR(__xludf.DUMMYFUNCTION("""COMPUTED_VALUE"""),95.52)</f>
        <v/>
      </c>
      <c r="BF19" s="512">
        <f>IFERROR(__xludf.DUMMYFUNCTION("""COMPUTED_VALUE"""),45889.6666666666)</f>
        <v/>
      </c>
      <c r="BG19" s="513">
        <f>IFERROR(__xludf.DUMMYFUNCTION("""COMPUTED_VALUE"""),82.74)</f>
        <v/>
      </c>
      <c r="BI19" s="512">
        <f>IFERROR(__xludf.DUMMYFUNCTION("""COMPUTED_VALUE"""),45889.6666666666)</f>
        <v/>
      </c>
      <c r="BJ19" s="513">
        <f>IFERROR(__xludf.DUMMYFUNCTION("""COMPUTED_VALUE"""),86.84)</f>
        <v/>
      </c>
      <c r="BL19" s="512">
        <f>IFERROR(__xludf.DUMMYFUNCTION("""COMPUTED_VALUE"""),45889.6666666666)</f>
        <v/>
      </c>
      <c r="BM19" s="513">
        <f>IFERROR(__xludf.DUMMYFUNCTION("""COMPUTED_VALUE"""),308.36)</f>
        <v/>
      </c>
      <c r="BO19" s="512">
        <f>IFERROR(__xludf.DUMMYFUNCTION("""COMPUTED_VALUE"""),45889.6666666666)</f>
        <v/>
      </c>
      <c r="BP19" s="513">
        <f>IFERROR(__xludf.DUMMYFUNCTION("""COMPUTED_VALUE"""),91.66)</f>
        <v/>
      </c>
      <c r="CB19" t="inlineStr">
        <is>
          <t>TIP</t>
        </is>
      </c>
    </row>
    <row r="20">
      <c r="A20" s="512">
        <f>IFERROR(__xludf.DUMMYFUNCTION("""COMPUTED_VALUE"""),45890.6666666666)</f>
        <v/>
      </c>
      <c r="B20" s="513">
        <f>IFERROR(__xludf.DUMMYFUNCTION("""COMPUTED_VALUE"""),635.55)</f>
        <v/>
      </c>
      <c r="D20" s="512">
        <f>IFERROR(__xludf.DUMMYFUNCTION("""COMPUTED_VALUE"""),45890.6666666666)</f>
        <v/>
      </c>
      <c r="E20" s="513">
        <f>IFERROR(__xludf.DUMMYFUNCTION("""COMPUTED_VALUE"""),90.43)</f>
        <v/>
      </c>
      <c r="G20" s="512">
        <f>IFERROR(__xludf.DUMMYFUNCTION("""COMPUTED_VALUE"""),46077.6666666666)</f>
        <v/>
      </c>
      <c r="H20" s="513">
        <f>IFERROR(__xludf.DUMMYFUNCTION("""COMPUTED_VALUE"""),69.46)</f>
        <v/>
      </c>
      <c r="J20" s="512">
        <f>IFERROR(__xludf.DUMMYFUNCTION("""COMPUTED_VALUE"""),45890.6666666666)</f>
        <v/>
      </c>
      <c r="K20" s="513">
        <f>IFERROR(__xludf.DUMMYFUNCTION("""COMPUTED_VALUE"""),78.7)</f>
        <v/>
      </c>
      <c r="M20" s="512">
        <f>IFERROR(__xludf.DUMMYFUNCTION("""COMPUTED_VALUE"""),45890.6666666666)</f>
        <v/>
      </c>
      <c r="N20" s="513">
        <f>IFERROR(__xludf.DUMMYFUNCTION("""COMPUTED_VALUE"""),225.97)</f>
        <v/>
      </c>
      <c r="P20" s="512">
        <f>IFERROR(__xludf.DUMMYFUNCTION("""COMPUTED_VALUE"""),45890.6666666666)</f>
        <v/>
      </c>
      <c r="Q20" s="513">
        <f>IFERROR(__xludf.DUMMYFUNCTION("""COMPUTED_VALUE"""),78.92)</f>
        <v/>
      </c>
      <c r="S20" s="512">
        <f>IFERROR(__xludf.DUMMYFUNCTION("""COMPUTED_VALUE"""),45160.6666666666)</f>
        <v/>
      </c>
      <c r="T20" s="513">
        <f>IFERROR(__xludf.DUMMYFUNCTION("""COMPUTED_VALUE"""),177.23)</f>
        <v/>
      </c>
      <c r="V20" s="512">
        <f>IFERROR(__xludf.DUMMYFUNCTION("""COMPUTED_VALUE"""),45890.6666666666)</f>
        <v/>
      </c>
      <c r="W20" s="513">
        <f>IFERROR(__xludf.DUMMYFUNCTION("""COMPUTED_VALUE"""),21.99)</f>
        <v/>
      </c>
      <c r="Y20" s="512">
        <f>IFERROR(__xludf.DUMMYFUNCTION("""COMPUTED_VALUE"""),45890.6666666666)</f>
        <v/>
      </c>
      <c r="Z20" s="513">
        <f>IFERROR(__xludf.DUMMYFUNCTION("""COMPUTED_VALUE"""),73.37)</f>
        <v/>
      </c>
      <c r="AB20" s="512">
        <f>IFERROR(__xludf.DUMMYFUNCTION("""COMPUTED_VALUE"""),45890.6666666666)</f>
        <v/>
      </c>
      <c r="AC20" s="513">
        <f>IFERROR(__xludf.DUMMYFUNCTION("""COMPUTED_VALUE"""),51.27)</f>
        <v/>
      </c>
      <c r="AE20" s="512">
        <f>IFERROR(__xludf.DUMMYFUNCTION("""COMPUTED_VALUE"""),45890.6666666666)</f>
        <v/>
      </c>
      <c r="AF20" s="513">
        <f>IFERROR(__xludf.DUMMYFUNCTION("""COMPUTED_VALUE"""),93.53)</f>
        <v/>
      </c>
      <c r="AH20" s="512">
        <f>IFERROR(__xludf.DUMMYFUNCTION("""COMPUTED_VALUE"""),45890.6666666666)</f>
        <v/>
      </c>
      <c r="AI20" s="513">
        <f>IFERROR(__xludf.DUMMYFUNCTION("""COMPUTED_VALUE"""),22.76)</f>
        <v/>
      </c>
      <c r="AK20" s="512">
        <f>IFERROR(__xludf.DUMMYFUNCTION("""COMPUTED_VALUE"""),45890.6666666666)</f>
        <v/>
      </c>
      <c r="AL20" s="513">
        <f>IFERROR(__xludf.DUMMYFUNCTION("""COMPUTED_VALUE"""),80.2)</f>
        <v/>
      </c>
      <c r="AN20" s="512">
        <f>IFERROR(__xludf.DUMMYFUNCTION("""COMPUTED_VALUE"""),45890.6666666666)</f>
        <v/>
      </c>
      <c r="AO20" s="513">
        <f>IFERROR(__xludf.DUMMYFUNCTION("""COMPUTED_VALUE"""),110.17)</f>
        <v/>
      </c>
      <c r="AQ20" s="512">
        <f>IFERROR(__xludf.DUMMYFUNCTION("""COMPUTED_VALUE"""),45890.6666666666)</f>
        <v/>
      </c>
      <c r="AR20" s="513">
        <f>IFERROR(__xludf.DUMMYFUNCTION("""COMPUTED_VALUE"""),91.85)</f>
        <v/>
      </c>
      <c r="AT20" s="512">
        <f>IFERROR(__xludf.DUMMYFUNCTION("""COMPUTED_VALUE"""),45890.6666666666)</f>
        <v/>
      </c>
      <c r="AU20" s="513">
        <f>IFERROR(__xludf.DUMMYFUNCTION("""COMPUTED_VALUE"""),49.64)</f>
        <v/>
      </c>
      <c r="AW20" s="512">
        <f>IFERROR(__xludf.DUMMYFUNCTION("""COMPUTED_VALUE"""),45890.6666666666)</f>
        <v/>
      </c>
      <c r="AX20" s="513">
        <f>IFERROR(__xludf.DUMMYFUNCTION("""COMPUTED_VALUE"""),98.85)</f>
        <v/>
      </c>
      <c r="AZ20" s="512">
        <f>IFERROR(__xludf.DUMMYFUNCTION("""COMPUTED_VALUE"""),45890.6666666666)</f>
        <v/>
      </c>
      <c r="BA20" s="513">
        <f>IFERROR(__xludf.DUMMYFUNCTION("""COMPUTED_VALUE"""),109.34)</f>
        <v/>
      </c>
      <c r="BC20" s="512">
        <f>IFERROR(__xludf.DUMMYFUNCTION("""COMPUTED_VALUE"""),45890.6666666666)</f>
        <v/>
      </c>
      <c r="BD20" s="513">
        <f>IFERROR(__xludf.DUMMYFUNCTION("""COMPUTED_VALUE"""),95.24)</f>
        <v/>
      </c>
      <c r="BF20" s="512">
        <f>IFERROR(__xludf.DUMMYFUNCTION("""COMPUTED_VALUE"""),45890.6666666666)</f>
        <v/>
      </c>
      <c r="BG20" s="513">
        <f>IFERROR(__xludf.DUMMYFUNCTION("""COMPUTED_VALUE"""),82.67)</f>
        <v/>
      </c>
      <c r="BI20" s="512">
        <f>IFERROR(__xludf.DUMMYFUNCTION("""COMPUTED_VALUE"""),45890.6666666666)</f>
        <v/>
      </c>
      <c r="BJ20" s="513">
        <f>IFERROR(__xludf.DUMMYFUNCTION("""COMPUTED_VALUE"""),86.41)</f>
        <v/>
      </c>
      <c r="BL20" s="512">
        <f>IFERROR(__xludf.DUMMYFUNCTION("""COMPUTED_VALUE"""),45890.6666666666)</f>
        <v/>
      </c>
      <c r="BM20" s="513">
        <f>IFERROR(__xludf.DUMMYFUNCTION("""COMPUTED_VALUE"""),307.29)</f>
        <v/>
      </c>
      <c r="BO20" s="512">
        <f>IFERROR(__xludf.DUMMYFUNCTION("""COMPUTED_VALUE"""),45890.6666666666)</f>
        <v/>
      </c>
      <c r="BP20" s="513">
        <f>IFERROR(__xludf.DUMMYFUNCTION("""COMPUTED_VALUE"""),91.66)</f>
        <v/>
      </c>
      <c r="CB20" t="inlineStr">
        <is>
          <t>BND</t>
        </is>
      </c>
    </row>
    <row r="21">
      <c r="A21" s="512">
        <f>IFERROR(__xludf.DUMMYFUNCTION("""COMPUTED_VALUE"""),45891.6666666666)</f>
        <v/>
      </c>
      <c r="B21" s="513">
        <f>IFERROR(__xludf.DUMMYFUNCTION("""COMPUTED_VALUE"""),645.31)</f>
        <v/>
      </c>
      <c r="D21" s="512">
        <f>IFERROR(__xludf.DUMMYFUNCTION("""COMPUTED_VALUE"""),45891.6666666666)</f>
        <v/>
      </c>
      <c r="E21" s="513">
        <f>IFERROR(__xludf.DUMMYFUNCTION("""COMPUTED_VALUE"""),92.18)</f>
        <v/>
      </c>
      <c r="G21" s="512">
        <f>IFERROR(__xludf.DUMMYFUNCTION("""COMPUTED_VALUE"""),46078.6666666666)</f>
        <v/>
      </c>
      <c r="H21" s="513">
        <f>IFERROR(__xludf.DUMMYFUNCTION("""COMPUTED_VALUE"""),70.26)</f>
        <v/>
      </c>
      <c r="J21" s="512">
        <f>IFERROR(__xludf.DUMMYFUNCTION("""COMPUTED_VALUE"""),45891.6666666666)</f>
        <v/>
      </c>
      <c r="K21" s="513">
        <f>IFERROR(__xludf.DUMMYFUNCTION("""COMPUTED_VALUE"""),80.02)</f>
        <v/>
      </c>
      <c r="M21" s="512">
        <f>IFERROR(__xludf.DUMMYFUNCTION("""COMPUTED_VALUE"""),45891.6666666666)</f>
        <v/>
      </c>
      <c r="N21" s="513">
        <f>IFERROR(__xludf.DUMMYFUNCTION("""COMPUTED_VALUE"""),234.83)</f>
        <v/>
      </c>
      <c r="P21" s="512">
        <f>IFERROR(__xludf.DUMMYFUNCTION("""COMPUTED_VALUE"""),45891.6666666666)</f>
        <v/>
      </c>
      <c r="Q21" s="513">
        <f>IFERROR(__xludf.DUMMYFUNCTION("""COMPUTED_VALUE"""),80.19)</f>
        <v/>
      </c>
      <c r="S21" s="512">
        <f>IFERROR(__xludf.DUMMYFUNCTION("""COMPUTED_VALUE"""),45161.6666666666)</f>
        <v/>
      </c>
      <c r="T21" s="513">
        <f>IFERROR(__xludf.DUMMYFUNCTION("""COMPUTED_VALUE"""),181.12)</f>
        <v/>
      </c>
      <c r="V21" s="512">
        <f>IFERROR(__xludf.DUMMYFUNCTION("""COMPUTED_VALUE"""),45891.6666666666)</f>
        <v/>
      </c>
      <c r="W21" s="513">
        <f>IFERROR(__xludf.DUMMYFUNCTION("""COMPUTED_VALUE"""),22.08)</f>
        <v/>
      </c>
      <c r="Y21" s="512">
        <f>IFERROR(__xludf.DUMMYFUNCTION("""COMPUTED_VALUE"""),45891.6666666666)</f>
        <v/>
      </c>
      <c r="Z21" s="513">
        <f>IFERROR(__xludf.DUMMYFUNCTION("""COMPUTED_VALUE"""),73.74)</f>
        <v/>
      </c>
      <c r="AB21" s="512">
        <f>IFERROR(__xludf.DUMMYFUNCTION("""COMPUTED_VALUE"""),45891.6666666666)</f>
        <v/>
      </c>
      <c r="AC21" s="513">
        <f>IFERROR(__xludf.DUMMYFUNCTION("""COMPUTED_VALUE"""),52.17)</f>
        <v/>
      </c>
      <c r="AE21" s="512">
        <f>IFERROR(__xludf.DUMMYFUNCTION("""COMPUTED_VALUE"""),45891.6666666666)</f>
        <v/>
      </c>
      <c r="AF21" s="513">
        <f>IFERROR(__xludf.DUMMYFUNCTION("""COMPUTED_VALUE"""),94.21)</f>
        <v/>
      </c>
      <c r="AH21" s="512">
        <f>IFERROR(__xludf.DUMMYFUNCTION("""COMPUTED_VALUE"""),45891.6666666666)</f>
        <v/>
      </c>
      <c r="AI21" s="513">
        <f>IFERROR(__xludf.DUMMYFUNCTION("""COMPUTED_VALUE"""),23)</f>
        <v/>
      </c>
      <c r="AK21" s="512">
        <f>IFERROR(__xludf.DUMMYFUNCTION("""COMPUTED_VALUE"""),45891.6666666666)</f>
        <v/>
      </c>
      <c r="AL21" s="513">
        <f>IFERROR(__xludf.DUMMYFUNCTION("""COMPUTED_VALUE"""),80.85)</f>
        <v/>
      </c>
      <c r="AN21" s="512">
        <f>IFERROR(__xludf.DUMMYFUNCTION("""COMPUTED_VALUE"""),45891.6666666666)</f>
        <v/>
      </c>
      <c r="AO21" s="513">
        <f>IFERROR(__xludf.DUMMYFUNCTION("""COMPUTED_VALUE"""),110.92)</f>
        <v/>
      </c>
      <c r="AQ21" s="512">
        <f>IFERROR(__xludf.DUMMYFUNCTION("""COMPUTED_VALUE"""),45891.6666666666)</f>
        <v/>
      </c>
      <c r="AR21" s="513">
        <f>IFERROR(__xludf.DUMMYFUNCTION("""COMPUTED_VALUE"""),93.23)</f>
        <v/>
      </c>
      <c r="AT21" s="512">
        <f>IFERROR(__xludf.DUMMYFUNCTION("""COMPUTED_VALUE"""),45891.6666666666)</f>
        <v/>
      </c>
      <c r="AU21" s="513">
        <f>IFERROR(__xludf.DUMMYFUNCTION("""COMPUTED_VALUE"""),50.63)</f>
        <v/>
      </c>
      <c r="AW21" s="512">
        <f>IFERROR(__xludf.DUMMYFUNCTION("""COMPUTED_VALUE"""),45891.6666666666)</f>
        <v/>
      </c>
      <c r="AX21" s="513">
        <f>IFERROR(__xludf.DUMMYFUNCTION("""COMPUTED_VALUE"""),99.4)</f>
        <v/>
      </c>
      <c r="AZ21" s="512">
        <f>IFERROR(__xludf.DUMMYFUNCTION("""COMPUTED_VALUE"""),45891.6666666666)</f>
        <v/>
      </c>
      <c r="BA21" s="513">
        <f>IFERROR(__xludf.DUMMYFUNCTION("""COMPUTED_VALUE"""),110.2)</f>
        <v/>
      </c>
      <c r="BC21" s="512">
        <f>IFERROR(__xludf.DUMMYFUNCTION("""COMPUTED_VALUE"""),45891.6666666666)</f>
        <v/>
      </c>
      <c r="BD21" s="513">
        <f>IFERROR(__xludf.DUMMYFUNCTION("""COMPUTED_VALUE"""),95.77)</f>
        <v/>
      </c>
      <c r="BF21" s="512">
        <f>IFERROR(__xludf.DUMMYFUNCTION("""COMPUTED_VALUE"""),45891.6666666666)</f>
        <v/>
      </c>
      <c r="BG21" s="513">
        <f>IFERROR(__xludf.DUMMYFUNCTION("""COMPUTED_VALUE"""),82.85)</f>
        <v/>
      </c>
      <c r="BI21" s="512">
        <f>IFERROR(__xludf.DUMMYFUNCTION("""COMPUTED_VALUE"""),45891.6666666666)</f>
        <v/>
      </c>
      <c r="BJ21" s="513">
        <f>IFERROR(__xludf.DUMMYFUNCTION("""COMPUTED_VALUE"""),87.05)</f>
        <v/>
      </c>
      <c r="BL21" s="512">
        <f>IFERROR(__xludf.DUMMYFUNCTION("""COMPUTED_VALUE"""),45891.6666666666)</f>
        <v/>
      </c>
      <c r="BM21" s="513">
        <f>IFERROR(__xludf.DUMMYFUNCTION("""COMPUTED_VALUE"""),310.58)</f>
        <v/>
      </c>
      <c r="BO21" s="512">
        <f>IFERROR(__xludf.DUMMYFUNCTION("""COMPUTED_VALUE"""),45891.6666666666)</f>
        <v/>
      </c>
      <c r="BP21" s="513">
        <f>IFERROR(__xludf.DUMMYFUNCTION("""COMPUTED_VALUE"""),91.69)</f>
        <v/>
      </c>
      <c r="CB21" t="inlineStr">
        <is>
          <t>SHY</t>
        </is>
      </c>
    </row>
    <row r="22">
      <c r="A22" s="512">
        <f>IFERROR(__xludf.DUMMYFUNCTION("""COMPUTED_VALUE"""),45894.6666666666)</f>
        <v/>
      </c>
      <c r="B22" s="513">
        <f>IFERROR(__xludf.DUMMYFUNCTION("""COMPUTED_VALUE"""),642.47)</f>
        <v/>
      </c>
      <c r="D22" s="512">
        <f>IFERROR(__xludf.DUMMYFUNCTION("""COMPUTED_VALUE"""),45894.6666666666)</f>
        <v/>
      </c>
      <c r="E22" s="513">
        <f>IFERROR(__xludf.DUMMYFUNCTION("""COMPUTED_VALUE"""),91.65)</f>
        <v/>
      </c>
      <c r="G22" s="512">
        <f>IFERROR(__xludf.DUMMYFUNCTION("""COMPUTED_VALUE"""),46079.6666666666)</f>
        <v/>
      </c>
      <c r="H22" s="513">
        <f>IFERROR(__xludf.DUMMYFUNCTION("""COMPUTED_VALUE"""),70.31)</f>
        <v/>
      </c>
      <c r="J22" s="512">
        <f>IFERROR(__xludf.DUMMYFUNCTION("""COMPUTED_VALUE"""),45894.6666666666)</f>
        <v/>
      </c>
      <c r="K22" s="513">
        <f>IFERROR(__xludf.DUMMYFUNCTION("""COMPUTED_VALUE"""),79.05)</f>
        <v/>
      </c>
      <c r="M22" s="512">
        <f>IFERROR(__xludf.DUMMYFUNCTION("""COMPUTED_VALUE"""),45894.6666666666)</f>
        <v/>
      </c>
      <c r="N22" s="513">
        <f>IFERROR(__xludf.DUMMYFUNCTION("""COMPUTED_VALUE"""),232.36)</f>
        <v/>
      </c>
      <c r="P22" s="512">
        <f>IFERROR(__xludf.DUMMYFUNCTION("""COMPUTED_VALUE"""),45894.6666666666)</f>
        <v/>
      </c>
      <c r="Q22" s="513">
        <f>IFERROR(__xludf.DUMMYFUNCTION("""COMPUTED_VALUE"""),79)</f>
        <v/>
      </c>
      <c r="S22" s="512">
        <f>IFERROR(__xludf.DUMMYFUNCTION("""COMPUTED_VALUE"""),45162.6666666666)</f>
        <v/>
      </c>
      <c r="T22" s="513">
        <f>IFERROR(__xludf.DUMMYFUNCTION("""COMPUTED_VALUE"""),176.38)</f>
        <v/>
      </c>
      <c r="V22" s="512">
        <f>IFERROR(__xludf.DUMMYFUNCTION("""COMPUTED_VALUE"""),45894.6666666666)</f>
        <v/>
      </c>
      <c r="W22" s="513">
        <f>IFERROR(__xludf.DUMMYFUNCTION("""COMPUTED_VALUE"""),22.19)</f>
        <v/>
      </c>
      <c r="Y22" s="512">
        <f>IFERROR(__xludf.DUMMYFUNCTION("""COMPUTED_VALUE"""),45894.6666666666)</f>
        <v/>
      </c>
      <c r="Z22" s="513">
        <f>IFERROR(__xludf.DUMMYFUNCTION("""COMPUTED_VALUE"""),73.64)</f>
        <v/>
      </c>
      <c r="AB22" s="512">
        <f>IFERROR(__xludf.DUMMYFUNCTION("""COMPUTED_VALUE"""),45894.6666666666)</f>
        <v/>
      </c>
      <c r="AC22" s="513">
        <f>IFERROR(__xludf.DUMMYFUNCTION("""COMPUTED_VALUE"""),51.95)</f>
        <v/>
      </c>
      <c r="AE22" s="512">
        <f>IFERROR(__xludf.DUMMYFUNCTION("""COMPUTED_VALUE"""),45894.6666666666)</f>
        <v/>
      </c>
      <c r="AF22" s="513">
        <f>IFERROR(__xludf.DUMMYFUNCTION("""COMPUTED_VALUE"""),93.84)</f>
        <v/>
      </c>
      <c r="AH22" s="512">
        <f>IFERROR(__xludf.DUMMYFUNCTION("""COMPUTED_VALUE"""),45894.6666666666)</f>
        <v/>
      </c>
      <c r="AI22" s="513">
        <f>IFERROR(__xludf.DUMMYFUNCTION("""COMPUTED_VALUE"""),22.82)</f>
        <v/>
      </c>
      <c r="AK22" s="512">
        <f>IFERROR(__xludf.DUMMYFUNCTION("""COMPUTED_VALUE"""),45894.6666666666)</f>
        <v/>
      </c>
      <c r="AL22" s="513">
        <f>IFERROR(__xludf.DUMMYFUNCTION("""COMPUTED_VALUE"""),80.69)</f>
        <v/>
      </c>
      <c r="AN22" s="512">
        <f>IFERROR(__xludf.DUMMYFUNCTION("""COMPUTED_VALUE"""),45894.6666666666)</f>
        <v/>
      </c>
      <c r="AO22" s="513">
        <f>IFERROR(__xludf.DUMMYFUNCTION("""COMPUTED_VALUE"""),110.71)</f>
        <v/>
      </c>
      <c r="AQ22" s="512">
        <f>IFERROR(__xludf.DUMMYFUNCTION("""COMPUTED_VALUE"""),45894.6666666666)</f>
        <v/>
      </c>
      <c r="AR22" s="513">
        <f>IFERROR(__xludf.DUMMYFUNCTION("""COMPUTED_VALUE"""),92)</f>
        <v/>
      </c>
      <c r="AT22" s="512">
        <f>IFERROR(__xludf.DUMMYFUNCTION("""COMPUTED_VALUE"""),45894.6666666666)</f>
        <v/>
      </c>
      <c r="AU22" s="513">
        <f>IFERROR(__xludf.DUMMYFUNCTION("""COMPUTED_VALUE"""),50.34)</f>
        <v/>
      </c>
      <c r="AW22" s="512">
        <f>IFERROR(__xludf.DUMMYFUNCTION("""COMPUTED_VALUE"""),45894.6666666666)</f>
        <v/>
      </c>
      <c r="AX22" s="513">
        <f>IFERROR(__xludf.DUMMYFUNCTION("""COMPUTED_VALUE"""),99.25)</f>
        <v/>
      </c>
      <c r="AZ22" s="512">
        <f>IFERROR(__xludf.DUMMYFUNCTION("""COMPUTED_VALUE"""),45894.6666666666)</f>
        <v/>
      </c>
      <c r="BA22" s="513">
        <f>IFERROR(__xludf.DUMMYFUNCTION("""COMPUTED_VALUE"""),109.91)</f>
        <v/>
      </c>
      <c r="BC22" s="512">
        <f>IFERROR(__xludf.DUMMYFUNCTION("""COMPUTED_VALUE"""),45894.6666666666)</f>
        <v/>
      </c>
      <c r="BD22" s="513">
        <f>IFERROR(__xludf.DUMMYFUNCTION("""COMPUTED_VALUE"""),95.58)</f>
        <v/>
      </c>
      <c r="BF22" s="512">
        <f>IFERROR(__xludf.DUMMYFUNCTION("""COMPUTED_VALUE"""),45894.6666666666)</f>
        <v/>
      </c>
      <c r="BG22" s="513">
        <f>IFERROR(__xludf.DUMMYFUNCTION("""COMPUTED_VALUE"""),82.81)</f>
        <v/>
      </c>
      <c r="BI22" s="512">
        <f>IFERROR(__xludf.DUMMYFUNCTION("""COMPUTED_VALUE"""),45894.6666666666)</f>
        <v/>
      </c>
      <c r="BJ22" s="513">
        <f>IFERROR(__xludf.DUMMYFUNCTION("""COMPUTED_VALUE"""),86.8)</f>
        <v/>
      </c>
      <c r="BL22" s="512">
        <f>IFERROR(__xludf.DUMMYFUNCTION("""COMPUTED_VALUE"""),45894.6666666666)</f>
        <v/>
      </c>
      <c r="BM22" s="513">
        <f>IFERROR(__xludf.DUMMYFUNCTION("""COMPUTED_VALUE"""),309.83)</f>
        <v/>
      </c>
      <c r="BO22" s="512">
        <f>IFERROR(__xludf.DUMMYFUNCTION("""COMPUTED_VALUE"""),45894.6666666666)</f>
        <v/>
      </c>
      <c r="BP22" s="513">
        <f>IFERROR(__xludf.DUMMYFUNCTION("""COMPUTED_VALUE"""),91.7)</f>
        <v/>
      </c>
      <c r="CB22" t="inlineStr">
        <is>
          <t>BWX</t>
        </is>
      </c>
    </row>
    <row r="23">
      <c r="A23" s="512">
        <f>IFERROR(__xludf.DUMMYFUNCTION("""COMPUTED_VALUE"""),45895.6666666666)</f>
        <v/>
      </c>
      <c r="B23" s="513">
        <f>IFERROR(__xludf.DUMMYFUNCTION("""COMPUTED_VALUE"""),645.16)</f>
        <v/>
      </c>
      <c r="D23" s="512">
        <f>IFERROR(__xludf.DUMMYFUNCTION("""COMPUTED_VALUE"""),45895.6666666666)</f>
        <v/>
      </c>
      <c r="E23" s="513">
        <f>IFERROR(__xludf.DUMMYFUNCTION("""COMPUTED_VALUE"""),91.41)</f>
        <v/>
      </c>
      <c r="G23" s="512">
        <f>IFERROR(__xludf.DUMMYFUNCTION("""COMPUTED_VALUE"""),46080.6666666666)</f>
        <v/>
      </c>
      <c r="H23" s="513">
        <f>IFERROR(__xludf.DUMMYFUNCTION("""COMPUTED_VALUE"""),70.24)</f>
        <v/>
      </c>
      <c r="J23" s="512">
        <f>IFERROR(__xludf.DUMMYFUNCTION("""COMPUTED_VALUE"""),45895.6666666666)</f>
        <v/>
      </c>
      <c r="K23" s="513">
        <f>IFERROR(__xludf.DUMMYFUNCTION("""COMPUTED_VALUE"""),78.92)</f>
        <v/>
      </c>
      <c r="M23" s="512">
        <f>IFERROR(__xludf.DUMMYFUNCTION("""COMPUTED_VALUE"""),45895.6666666666)</f>
        <v/>
      </c>
      <c r="N23" s="513">
        <f>IFERROR(__xludf.DUMMYFUNCTION("""COMPUTED_VALUE"""),234.28)</f>
        <v/>
      </c>
      <c r="P23" s="512">
        <f>IFERROR(__xludf.DUMMYFUNCTION("""COMPUTED_VALUE"""),45895.6666666666)</f>
        <v/>
      </c>
      <c r="Q23" s="513">
        <f>IFERROR(__xludf.DUMMYFUNCTION("""COMPUTED_VALUE"""),78.88)</f>
        <v/>
      </c>
      <c r="S23" s="512">
        <f>IFERROR(__xludf.DUMMYFUNCTION("""COMPUTED_VALUE"""),45163.6666666666)</f>
        <v/>
      </c>
      <c r="T23" s="513">
        <f>IFERROR(__xludf.DUMMYFUNCTION("""COMPUTED_VALUE"""),178.61)</f>
        <v/>
      </c>
      <c r="V23" s="512">
        <f>IFERROR(__xludf.DUMMYFUNCTION("""COMPUTED_VALUE"""),45895.6666666666)</f>
        <v/>
      </c>
      <c r="W23" s="513">
        <f>IFERROR(__xludf.DUMMYFUNCTION("""COMPUTED_VALUE"""),22.02)</f>
        <v/>
      </c>
      <c r="Y23" s="512">
        <f>IFERROR(__xludf.DUMMYFUNCTION("""COMPUTED_VALUE"""),45895.6666666666)</f>
        <v/>
      </c>
      <c r="Z23" s="513">
        <f>IFERROR(__xludf.DUMMYFUNCTION("""COMPUTED_VALUE"""),73.73)</f>
        <v/>
      </c>
      <c r="AB23" s="512">
        <f>IFERROR(__xludf.DUMMYFUNCTION("""COMPUTED_VALUE"""),45895.6666666666)</f>
        <v/>
      </c>
      <c r="AC23" s="513">
        <f>IFERROR(__xludf.DUMMYFUNCTION("""COMPUTED_VALUE"""),51.84)</f>
        <v/>
      </c>
      <c r="AE23" s="512">
        <f>IFERROR(__xludf.DUMMYFUNCTION("""COMPUTED_VALUE"""),45895.6666666666)</f>
        <v/>
      </c>
      <c r="AF23" s="513">
        <f>IFERROR(__xludf.DUMMYFUNCTION("""COMPUTED_VALUE"""),93.82)</f>
        <v/>
      </c>
      <c r="AH23" s="512">
        <f>IFERROR(__xludf.DUMMYFUNCTION("""COMPUTED_VALUE"""),45895.6666666666)</f>
        <v/>
      </c>
      <c r="AI23" s="513">
        <f>IFERROR(__xludf.DUMMYFUNCTION("""COMPUTED_VALUE"""),22.91)</f>
        <v/>
      </c>
      <c r="AK23" s="512">
        <f>IFERROR(__xludf.DUMMYFUNCTION("""COMPUTED_VALUE"""),45895.6666666666)</f>
        <v/>
      </c>
      <c r="AL23" s="513">
        <f>IFERROR(__xludf.DUMMYFUNCTION("""COMPUTED_VALUE"""),80.87)</f>
        <v/>
      </c>
      <c r="AN23" s="512">
        <f>IFERROR(__xludf.DUMMYFUNCTION("""COMPUTED_VALUE"""),45895.6666666666)</f>
        <v/>
      </c>
      <c r="AO23" s="513">
        <f>IFERROR(__xludf.DUMMYFUNCTION("""COMPUTED_VALUE"""),110.97)</f>
        <v/>
      </c>
      <c r="AQ23" s="512">
        <f>IFERROR(__xludf.DUMMYFUNCTION("""COMPUTED_VALUE"""),45895.6666666666)</f>
        <v/>
      </c>
      <c r="AR23" s="513">
        <f>IFERROR(__xludf.DUMMYFUNCTION("""COMPUTED_VALUE"""),91.9)</f>
        <v/>
      </c>
      <c r="AT23" s="512">
        <f>IFERROR(__xludf.DUMMYFUNCTION("""COMPUTED_VALUE"""),45895.6666666666)</f>
        <v/>
      </c>
      <c r="AU23" s="513">
        <f>IFERROR(__xludf.DUMMYFUNCTION("""COMPUTED_VALUE"""),50.21)</f>
        <v/>
      </c>
      <c r="AW23" s="512">
        <f>IFERROR(__xludf.DUMMYFUNCTION("""COMPUTED_VALUE"""),45895.6666666666)</f>
        <v/>
      </c>
      <c r="AX23" s="513">
        <f>IFERROR(__xludf.DUMMYFUNCTION("""COMPUTED_VALUE"""),99.37)</f>
        <v/>
      </c>
      <c r="AZ23" s="512">
        <f>IFERROR(__xludf.DUMMYFUNCTION("""COMPUTED_VALUE"""),45895.6666666666)</f>
        <v/>
      </c>
      <c r="BA23" s="513">
        <f>IFERROR(__xludf.DUMMYFUNCTION("""COMPUTED_VALUE"""),109.99)</f>
        <v/>
      </c>
      <c r="BC23" s="512">
        <f>IFERROR(__xludf.DUMMYFUNCTION("""COMPUTED_VALUE"""),45895.6666666666)</f>
        <v/>
      </c>
      <c r="BD23" s="513">
        <f>IFERROR(__xludf.DUMMYFUNCTION("""COMPUTED_VALUE"""),95.83)</f>
        <v/>
      </c>
      <c r="BF23" s="512">
        <f>IFERROR(__xludf.DUMMYFUNCTION("""COMPUTED_VALUE"""),45895.6666666666)</f>
        <v/>
      </c>
      <c r="BG23" s="513">
        <f>IFERROR(__xludf.DUMMYFUNCTION("""COMPUTED_VALUE"""),82.88)</f>
        <v/>
      </c>
      <c r="BI23" s="512">
        <f>IFERROR(__xludf.DUMMYFUNCTION("""COMPUTED_VALUE"""),45895.6666666666)</f>
        <v/>
      </c>
      <c r="BJ23" s="513">
        <f>IFERROR(__xludf.DUMMYFUNCTION("""COMPUTED_VALUE"""),86.75)</f>
        <v/>
      </c>
      <c r="BL23" s="512">
        <f>IFERROR(__xludf.DUMMYFUNCTION("""COMPUTED_VALUE"""),45895.6666666666)</f>
        <v/>
      </c>
      <c r="BM23" s="513">
        <f>IFERROR(__xludf.DUMMYFUNCTION("""COMPUTED_VALUE"""),312.08)</f>
        <v/>
      </c>
      <c r="BO23" s="512">
        <f>IFERROR(__xludf.DUMMYFUNCTION("""COMPUTED_VALUE"""),45895.6666666666)</f>
        <v/>
      </c>
      <c r="BP23" s="513">
        <f>IFERROR(__xludf.DUMMYFUNCTION("""COMPUTED_VALUE"""),91.71)</f>
        <v/>
      </c>
      <c r="CB23" t="inlineStr">
        <is>
          <t>EMB</t>
        </is>
      </c>
    </row>
    <row r="24">
      <c r="A24" s="512">
        <f>IFERROR(__xludf.DUMMYFUNCTION("""COMPUTED_VALUE"""),45896.6666666666)</f>
        <v/>
      </c>
      <c r="B24" s="513">
        <f>IFERROR(__xludf.DUMMYFUNCTION("""COMPUTED_VALUE"""),646.63)</f>
        <v/>
      </c>
      <c r="D24" s="512">
        <f>IFERROR(__xludf.DUMMYFUNCTION("""COMPUTED_VALUE"""),45896.6666666666)</f>
        <v/>
      </c>
      <c r="E24" s="513">
        <f>IFERROR(__xludf.DUMMYFUNCTION("""COMPUTED_VALUE"""),91.98)</f>
        <v/>
      </c>
      <c r="G24" s="512">
        <f>IFERROR(__xludf.DUMMYFUNCTION("""COMPUTED_VALUE"""),46083.6666666666)</f>
        <v/>
      </c>
      <c r="H24" s="513">
        <f>IFERROR(__xludf.DUMMYFUNCTION("""COMPUTED_VALUE"""),69.01)</f>
        <v/>
      </c>
      <c r="J24" s="512">
        <f>IFERROR(__xludf.DUMMYFUNCTION("""COMPUTED_VALUE"""),45896.6666666666)</f>
        <v/>
      </c>
      <c r="K24" s="513">
        <f>IFERROR(__xludf.DUMMYFUNCTION("""COMPUTED_VALUE"""),78.63)</f>
        <v/>
      </c>
      <c r="M24" s="512">
        <f>IFERROR(__xludf.DUMMYFUNCTION("""COMPUTED_VALUE"""),45896.6666666666)</f>
        <v/>
      </c>
      <c r="N24" s="513">
        <f>IFERROR(__xludf.DUMMYFUNCTION("""COMPUTED_VALUE"""),235.94)</f>
        <v/>
      </c>
      <c r="P24" s="512">
        <f>IFERROR(__xludf.DUMMYFUNCTION("""COMPUTED_VALUE"""),45896.6666666666)</f>
        <v/>
      </c>
      <c r="Q24" s="513">
        <f>IFERROR(__xludf.DUMMYFUNCTION("""COMPUTED_VALUE"""),78.66)</f>
        <v/>
      </c>
      <c r="S24" s="512">
        <f>IFERROR(__xludf.DUMMYFUNCTION("""COMPUTED_VALUE"""),45166.6666666666)</f>
        <v/>
      </c>
      <c r="T24" s="513">
        <f>IFERROR(__xludf.DUMMYFUNCTION("""COMPUTED_VALUE"""),180.19)</f>
        <v/>
      </c>
      <c r="V24" s="512">
        <f>IFERROR(__xludf.DUMMYFUNCTION("""COMPUTED_VALUE"""),45896.6666666666)</f>
        <v/>
      </c>
      <c r="W24" s="513">
        <f>IFERROR(__xludf.DUMMYFUNCTION("""COMPUTED_VALUE"""),22.04)</f>
        <v/>
      </c>
      <c r="Y24" s="512">
        <f>IFERROR(__xludf.DUMMYFUNCTION("""COMPUTED_VALUE"""),45896.6666666666)</f>
        <v/>
      </c>
      <c r="Z24" s="513">
        <f>IFERROR(__xludf.DUMMYFUNCTION("""COMPUTED_VALUE"""),73.8)</f>
        <v/>
      </c>
      <c r="AB24" s="512">
        <f>IFERROR(__xludf.DUMMYFUNCTION("""COMPUTED_VALUE"""),45896.6666666666)</f>
        <v/>
      </c>
      <c r="AC24" s="513">
        <f>IFERROR(__xludf.DUMMYFUNCTION("""COMPUTED_VALUE"""),51.49)</f>
        <v/>
      </c>
      <c r="AE24" s="512">
        <f>IFERROR(__xludf.DUMMYFUNCTION("""COMPUTED_VALUE"""),45896.6666666666)</f>
        <v/>
      </c>
      <c r="AF24" s="513">
        <f>IFERROR(__xludf.DUMMYFUNCTION("""COMPUTED_VALUE"""),93.71)</f>
        <v/>
      </c>
      <c r="AH24" s="512">
        <f>IFERROR(__xludf.DUMMYFUNCTION("""COMPUTED_VALUE"""),45896.6666666666)</f>
        <v/>
      </c>
      <c r="AI24" s="513">
        <f>IFERROR(__xludf.DUMMYFUNCTION("""COMPUTED_VALUE"""),22.92)</f>
        <v/>
      </c>
      <c r="AK24" s="512">
        <f>IFERROR(__xludf.DUMMYFUNCTION("""COMPUTED_VALUE"""),45896.6666666666)</f>
        <v/>
      </c>
      <c r="AL24" s="513">
        <f>IFERROR(__xludf.DUMMYFUNCTION("""COMPUTED_VALUE"""),80.97)</f>
        <v/>
      </c>
      <c r="AN24" s="512">
        <f>IFERROR(__xludf.DUMMYFUNCTION("""COMPUTED_VALUE"""),45896.6666666666)</f>
        <v/>
      </c>
      <c r="AO24" s="513">
        <f>IFERROR(__xludf.DUMMYFUNCTION("""COMPUTED_VALUE"""),111.22)</f>
        <v/>
      </c>
      <c r="AQ24" s="512">
        <f>IFERROR(__xludf.DUMMYFUNCTION("""COMPUTED_VALUE"""),45896.6666666666)</f>
        <v/>
      </c>
      <c r="AR24" s="513">
        <f>IFERROR(__xludf.DUMMYFUNCTION("""COMPUTED_VALUE"""),91.68)</f>
        <v/>
      </c>
      <c r="AT24" s="512">
        <f>IFERROR(__xludf.DUMMYFUNCTION("""COMPUTED_VALUE"""),45896.6666666666)</f>
        <v/>
      </c>
      <c r="AU24" s="513">
        <f>IFERROR(__xludf.DUMMYFUNCTION("""COMPUTED_VALUE"""),49.91)</f>
        <v/>
      </c>
      <c r="AW24" s="512">
        <f>IFERROR(__xludf.DUMMYFUNCTION("""COMPUTED_VALUE"""),45896.6666666666)</f>
        <v/>
      </c>
      <c r="AX24" s="513">
        <f>IFERROR(__xludf.DUMMYFUNCTION("""COMPUTED_VALUE"""),99.47)</f>
        <v/>
      </c>
      <c r="AZ24" s="512">
        <f>IFERROR(__xludf.DUMMYFUNCTION("""COMPUTED_VALUE"""),45896.6666666666)</f>
        <v/>
      </c>
      <c r="BA24" s="513">
        <f>IFERROR(__xludf.DUMMYFUNCTION("""COMPUTED_VALUE"""),110.03)</f>
        <v/>
      </c>
      <c r="BC24" s="512">
        <f>IFERROR(__xludf.DUMMYFUNCTION("""COMPUTED_VALUE"""),45896.6666666666)</f>
        <v/>
      </c>
      <c r="BD24" s="513">
        <f>IFERROR(__xludf.DUMMYFUNCTION("""COMPUTED_VALUE"""),96.01)</f>
        <v/>
      </c>
      <c r="BF24" s="512">
        <f>IFERROR(__xludf.DUMMYFUNCTION("""COMPUTED_VALUE"""),45896.6666666666)</f>
        <v/>
      </c>
      <c r="BG24" s="513">
        <f>IFERROR(__xludf.DUMMYFUNCTION("""COMPUTED_VALUE"""),82.94)</f>
        <v/>
      </c>
      <c r="BI24" s="512">
        <f>IFERROR(__xludf.DUMMYFUNCTION("""COMPUTED_VALUE"""),45896.6666666666)</f>
        <v/>
      </c>
      <c r="BJ24" s="513">
        <f>IFERROR(__xludf.DUMMYFUNCTION("""COMPUTED_VALUE"""),86.65)</f>
        <v/>
      </c>
      <c r="BL24" s="512">
        <f>IFERROR(__xludf.DUMMYFUNCTION("""COMPUTED_VALUE"""),45896.6666666666)</f>
        <v/>
      </c>
      <c r="BM24" s="513">
        <f>IFERROR(__xludf.DUMMYFUNCTION("""COMPUTED_VALUE"""),312.71)</f>
        <v/>
      </c>
      <c r="BO24" s="512">
        <f>IFERROR(__xludf.DUMMYFUNCTION("""COMPUTED_VALUE"""),45896.6666666666)</f>
        <v/>
      </c>
      <c r="BP24" s="513">
        <f>IFERROR(__xludf.DUMMYFUNCTION("""COMPUTED_VALUE"""),91.72)</f>
        <v/>
      </c>
    </row>
    <row r="25">
      <c r="A25" s="512">
        <f>IFERROR(__xludf.DUMMYFUNCTION("""COMPUTED_VALUE"""),45897.6666666666)</f>
        <v/>
      </c>
      <c r="B25" s="513">
        <f>IFERROR(__xludf.DUMMYFUNCTION("""COMPUTED_VALUE"""),648.92)</f>
        <v/>
      </c>
      <c r="D25" s="512">
        <f>IFERROR(__xludf.DUMMYFUNCTION("""COMPUTED_VALUE"""),45897.6666666666)</f>
        <v/>
      </c>
      <c r="E25" s="513">
        <f>IFERROR(__xludf.DUMMYFUNCTION("""COMPUTED_VALUE"""),91.74)</f>
        <v/>
      </c>
      <c r="G25" s="512">
        <f>IFERROR(__xludf.DUMMYFUNCTION("""COMPUTED_VALUE"""),46084.6666666666)</f>
        <v/>
      </c>
      <c r="H25" s="513">
        <f>IFERROR(__xludf.DUMMYFUNCTION("""COMPUTED_VALUE"""),66.61)</f>
        <v/>
      </c>
      <c r="J25" s="512">
        <f>IFERROR(__xludf.DUMMYFUNCTION("""COMPUTED_VALUE"""),45897.6666666666)</f>
        <v/>
      </c>
      <c r="K25" s="513">
        <f>IFERROR(__xludf.DUMMYFUNCTION("""COMPUTED_VALUE"""),79.29)</f>
        <v/>
      </c>
      <c r="M25" s="512">
        <f>IFERROR(__xludf.DUMMYFUNCTION("""COMPUTED_VALUE"""),45897.6666666666)</f>
        <v/>
      </c>
      <c r="N25" s="513">
        <f>IFERROR(__xludf.DUMMYFUNCTION("""COMPUTED_VALUE"""),236.22)</f>
        <v/>
      </c>
      <c r="P25" s="512">
        <f>IFERROR(__xludf.DUMMYFUNCTION("""COMPUTED_VALUE"""),45897.6666666666)</f>
        <v/>
      </c>
      <c r="Q25" s="513">
        <f>IFERROR(__xludf.DUMMYFUNCTION("""COMPUTED_VALUE"""),78.85)</f>
        <v/>
      </c>
      <c r="S25" s="512">
        <f>IFERROR(__xludf.DUMMYFUNCTION("""COMPUTED_VALUE"""),45167.6666666666)</f>
        <v/>
      </c>
      <c r="T25" s="513">
        <f>IFERROR(__xludf.DUMMYFUNCTION("""COMPUTED_VALUE"""),184.12)</f>
        <v/>
      </c>
      <c r="V25" s="512">
        <f>IFERROR(__xludf.DUMMYFUNCTION("""COMPUTED_VALUE"""),45897.6666666666)</f>
        <v/>
      </c>
      <c r="W25" s="513">
        <f>IFERROR(__xludf.DUMMYFUNCTION("""COMPUTED_VALUE"""),22.18)</f>
        <v/>
      </c>
      <c r="Y25" s="512">
        <f>IFERROR(__xludf.DUMMYFUNCTION("""COMPUTED_VALUE"""),45897.6666666666)</f>
        <v/>
      </c>
      <c r="Z25" s="513">
        <f>IFERROR(__xludf.DUMMYFUNCTION("""COMPUTED_VALUE"""),73.89)</f>
        <v/>
      </c>
      <c r="AB25" s="512">
        <f>IFERROR(__xludf.DUMMYFUNCTION("""COMPUTED_VALUE"""),45897.6666666666)</f>
        <v/>
      </c>
      <c r="AC25" s="513">
        <f>IFERROR(__xludf.DUMMYFUNCTION("""COMPUTED_VALUE"""),51.68)</f>
        <v/>
      </c>
      <c r="AE25" s="512">
        <f>IFERROR(__xludf.DUMMYFUNCTION("""COMPUTED_VALUE"""),45897.6666666666)</f>
        <v/>
      </c>
      <c r="AF25" s="513">
        <f>IFERROR(__xludf.DUMMYFUNCTION("""COMPUTED_VALUE"""),94.26)</f>
        <v/>
      </c>
      <c r="AH25" s="512">
        <f>IFERROR(__xludf.DUMMYFUNCTION("""COMPUTED_VALUE"""),45897.6666666666)</f>
        <v/>
      </c>
      <c r="AI25" s="513">
        <f>IFERROR(__xludf.DUMMYFUNCTION("""COMPUTED_VALUE"""),23)</f>
        <v/>
      </c>
      <c r="AK25" s="512">
        <f>IFERROR(__xludf.DUMMYFUNCTION("""COMPUTED_VALUE"""),45897.6666666666)</f>
        <v/>
      </c>
      <c r="AL25" s="513">
        <f>IFERROR(__xludf.DUMMYFUNCTION("""COMPUTED_VALUE"""),81.01)</f>
        <v/>
      </c>
      <c r="AN25" s="512">
        <f>IFERROR(__xludf.DUMMYFUNCTION("""COMPUTED_VALUE"""),45897.6666666666)</f>
        <v/>
      </c>
      <c r="AO25" s="513">
        <f>IFERROR(__xludf.DUMMYFUNCTION("""COMPUTED_VALUE"""),111.29)</f>
        <v/>
      </c>
      <c r="AQ25" s="512">
        <f>IFERROR(__xludf.DUMMYFUNCTION("""COMPUTED_VALUE"""),45897.6666666666)</f>
        <v/>
      </c>
      <c r="AR25" s="513">
        <f>IFERROR(__xludf.DUMMYFUNCTION("""COMPUTED_VALUE"""),92.02)</f>
        <v/>
      </c>
      <c r="AT25" s="512">
        <f>IFERROR(__xludf.DUMMYFUNCTION("""COMPUTED_VALUE"""),45897.6666666666)</f>
        <v/>
      </c>
      <c r="AU25" s="513">
        <f>IFERROR(__xludf.DUMMYFUNCTION("""COMPUTED_VALUE"""),50.1)</f>
        <v/>
      </c>
      <c r="AW25" s="512">
        <f>IFERROR(__xludf.DUMMYFUNCTION("""COMPUTED_VALUE"""),45897.6666666666)</f>
        <v/>
      </c>
      <c r="AX25" s="513">
        <f>IFERROR(__xludf.DUMMYFUNCTION("""COMPUTED_VALUE"""),99.59)</f>
        <v/>
      </c>
      <c r="AZ25" s="512">
        <f>IFERROR(__xludf.DUMMYFUNCTION("""COMPUTED_VALUE"""),45897.6666666666)</f>
        <v/>
      </c>
      <c r="BA25" s="513">
        <f>IFERROR(__xludf.DUMMYFUNCTION("""COMPUTED_VALUE"""),110.2)</f>
        <v/>
      </c>
      <c r="BC25" s="512">
        <f>IFERROR(__xludf.DUMMYFUNCTION("""COMPUTED_VALUE"""),45897.6666666666)</f>
        <v/>
      </c>
      <c r="BD25" s="513">
        <f>IFERROR(__xludf.DUMMYFUNCTION("""COMPUTED_VALUE"""),96.23)</f>
        <v/>
      </c>
      <c r="BF25" s="512">
        <f>IFERROR(__xludf.DUMMYFUNCTION("""COMPUTED_VALUE"""),45897.6666666666)</f>
        <v/>
      </c>
      <c r="BG25" s="513">
        <f>IFERROR(__xludf.DUMMYFUNCTION("""COMPUTED_VALUE"""),82.91)</f>
        <v/>
      </c>
      <c r="BI25" s="512">
        <f>IFERROR(__xludf.DUMMYFUNCTION("""COMPUTED_VALUE"""),45897.6666666666)</f>
        <v/>
      </c>
      <c r="BJ25" s="513">
        <f>IFERROR(__xludf.DUMMYFUNCTION("""COMPUTED_VALUE"""),87.22)</f>
        <v/>
      </c>
      <c r="BL25" s="512">
        <f>IFERROR(__xludf.DUMMYFUNCTION("""COMPUTED_VALUE"""),45897.6666666666)</f>
        <v/>
      </c>
      <c r="BM25" s="513">
        <f>IFERROR(__xludf.DUMMYFUNCTION("""COMPUTED_VALUE"""),315.03)</f>
        <v/>
      </c>
      <c r="BO25" s="512">
        <f>IFERROR(__xludf.DUMMYFUNCTION("""COMPUTED_VALUE"""),45897.6666666666)</f>
        <v/>
      </c>
      <c r="BP25" s="513">
        <f>IFERROR(__xludf.DUMMYFUNCTION("""COMPUTED_VALUE"""),91.73)</f>
        <v/>
      </c>
    </row>
    <row r="26">
      <c r="A26" s="512">
        <f>IFERROR(__xludf.DUMMYFUNCTION("""COMPUTED_VALUE"""),45898.6666666666)</f>
        <v/>
      </c>
      <c r="B26" s="513">
        <f>IFERROR(__xludf.DUMMYFUNCTION("""COMPUTED_VALUE"""),645.05)</f>
        <v/>
      </c>
      <c r="D26" s="512">
        <f>IFERROR(__xludf.DUMMYFUNCTION("""COMPUTED_VALUE"""),45898.6666666666)</f>
        <v/>
      </c>
      <c r="E26" s="513">
        <f>IFERROR(__xludf.DUMMYFUNCTION("""COMPUTED_VALUE"""),92.24)</f>
        <v/>
      </c>
      <c r="G26" s="512">
        <f>IFERROR(__xludf.DUMMYFUNCTION("""COMPUTED_VALUE"""),46085.6666666666)</f>
        <v/>
      </c>
      <c r="H26" s="513">
        <f>IFERROR(__xludf.DUMMYFUNCTION("""COMPUTED_VALUE"""),67.38)</f>
        <v/>
      </c>
      <c r="J26" s="512">
        <f>IFERROR(__xludf.DUMMYFUNCTION("""COMPUTED_VALUE"""),45898.6666666666)</f>
        <v/>
      </c>
      <c r="K26" s="513">
        <f>IFERROR(__xludf.DUMMYFUNCTION("""COMPUTED_VALUE"""),78.28)</f>
        <v/>
      </c>
      <c r="M26" s="512">
        <f>IFERROR(__xludf.DUMMYFUNCTION("""COMPUTED_VALUE"""),45898.6666666666)</f>
        <v/>
      </c>
      <c r="N26" s="513">
        <f>IFERROR(__xludf.DUMMYFUNCTION("""COMPUTED_VALUE"""),235.17)</f>
        <v/>
      </c>
      <c r="P26" s="512">
        <f>IFERROR(__xludf.DUMMYFUNCTION("""COMPUTED_VALUE"""),45898.6666666666)</f>
        <v/>
      </c>
      <c r="Q26" s="513">
        <f>IFERROR(__xludf.DUMMYFUNCTION("""COMPUTED_VALUE"""),78.5)</f>
        <v/>
      </c>
      <c r="S26" s="512">
        <f>IFERROR(__xludf.DUMMYFUNCTION("""COMPUTED_VALUE"""),45168.6666666666)</f>
        <v/>
      </c>
      <c r="T26" s="513">
        <f>IFERROR(__xludf.DUMMYFUNCTION("""COMPUTED_VALUE"""),187.65)</f>
        <v/>
      </c>
      <c r="V26" s="512">
        <f>IFERROR(__xludf.DUMMYFUNCTION("""COMPUTED_VALUE"""),45898.6666666666)</f>
        <v/>
      </c>
      <c r="W26" s="513">
        <f>IFERROR(__xludf.DUMMYFUNCTION("""COMPUTED_VALUE"""),22.21)</f>
        <v/>
      </c>
      <c r="Y26" s="512">
        <f>IFERROR(__xludf.DUMMYFUNCTION("""COMPUTED_VALUE"""),45898.6666666666)</f>
        <v/>
      </c>
      <c r="Z26" s="513">
        <f>IFERROR(__xludf.DUMMYFUNCTION("""COMPUTED_VALUE"""),73.8)</f>
        <v/>
      </c>
      <c r="AB26" s="512">
        <f>IFERROR(__xludf.DUMMYFUNCTION("""COMPUTED_VALUE"""),45898.6666666666)</f>
        <v/>
      </c>
      <c r="AC26" s="513">
        <f>IFERROR(__xludf.DUMMYFUNCTION("""COMPUTED_VALUE"""),51.53)</f>
        <v/>
      </c>
      <c r="AE26" s="512">
        <f>IFERROR(__xludf.DUMMYFUNCTION("""COMPUTED_VALUE"""),45898.6666666666)</f>
        <v/>
      </c>
      <c r="AF26" s="513">
        <f>IFERROR(__xludf.DUMMYFUNCTION("""COMPUTED_VALUE"""),94.12)</f>
        <v/>
      </c>
      <c r="AH26" s="512">
        <f>IFERROR(__xludf.DUMMYFUNCTION("""COMPUTED_VALUE"""),45898.6666666666)</f>
        <v/>
      </c>
      <c r="AI26" s="513">
        <f>IFERROR(__xludf.DUMMYFUNCTION("""COMPUTED_VALUE"""),23)</f>
        <v/>
      </c>
      <c r="AK26" s="512">
        <f>IFERROR(__xludf.DUMMYFUNCTION("""COMPUTED_VALUE"""),45898.6666666666)</f>
        <v/>
      </c>
      <c r="AL26" s="513">
        <f>IFERROR(__xludf.DUMMYFUNCTION("""COMPUTED_VALUE"""),80.86)</f>
        <v/>
      </c>
      <c r="AN26" s="512">
        <f>IFERROR(__xludf.DUMMYFUNCTION("""COMPUTED_VALUE"""),45898.6666666666)</f>
        <v/>
      </c>
      <c r="AO26" s="513">
        <f>IFERROR(__xludf.DUMMYFUNCTION("""COMPUTED_VALUE"""),111.17)</f>
        <v/>
      </c>
      <c r="AQ26" s="512">
        <f>IFERROR(__xludf.DUMMYFUNCTION("""COMPUTED_VALUE"""),45898.6666666666)</f>
        <v/>
      </c>
      <c r="AR26" s="513">
        <f>IFERROR(__xludf.DUMMYFUNCTION("""COMPUTED_VALUE"""),91.48)</f>
        <v/>
      </c>
      <c r="AT26" s="512">
        <f>IFERROR(__xludf.DUMMYFUNCTION("""COMPUTED_VALUE"""),45898.6666666666)</f>
        <v/>
      </c>
      <c r="AU26" s="513">
        <f>IFERROR(__xludf.DUMMYFUNCTION("""COMPUTED_VALUE"""),49.86)</f>
        <v/>
      </c>
      <c r="AW26" s="512">
        <f>IFERROR(__xludf.DUMMYFUNCTION("""COMPUTED_VALUE"""),45898.6666666666)</f>
        <v/>
      </c>
      <c r="AX26" s="513">
        <f>IFERROR(__xludf.DUMMYFUNCTION("""COMPUTED_VALUE"""),99.46)</f>
        <v/>
      </c>
      <c r="AZ26" s="512">
        <f>IFERROR(__xludf.DUMMYFUNCTION("""COMPUTED_VALUE"""),45898.6666666666)</f>
        <v/>
      </c>
      <c r="BA26" s="513">
        <f>IFERROR(__xludf.DUMMYFUNCTION("""COMPUTED_VALUE"""),109.8)</f>
        <v/>
      </c>
      <c r="BC26" s="512">
        <f>IFERROR(__xludf.DUMMYFUNCTION("""COMPUTED_VALUE"""),45898.6666666666)</f>
        <v/>
      </c>
      <c r="BD26" s="513">
        <f>IFERROR(__xludf.DUMMYFUNCTION("""COMPUTED_VALUE"""),96.15)</f>
        <v/>
      </c>
      <c r="BF26" s="512">
        <f>IFERROR(__xludf.DUMMYFUNCTION("""COMPUTED_VALUE"""),45898.6666666666)</f>
        <v/>
      </c>
      <c r="BG26" s="513">
        <f>IFERROR(__xludf.DUMMYFUNCTION("""COMPUTED_VALUE"""),82.98)</f>
        <v/>
      </c>
      <c r="BI26" s="512">
        <f>IFERROR(__xludf.DUMMYFUNCTION("""COMPUTED_VALUE"""),45898.6666666666)</f>
        <v/>
      </c>
      <c r="BJ26" s="513">
        <f>IFERROR(__xludf.DUMMYFUNCTION("""COMPUTED_VALUE"""),86.6)</f>
        <v/>
      </c>
      <c r="BL26" s="512">
        <f>IFERROR(__xludf.DUMMYFUNCTION("""COMPUTED_VALUE"""),45898.6666666666)</f>
        <v/>
      </c>
      <c r="BM26" s="513">
        <f>IFERROR(__xludf.DUMMYFUNCTION("""COMPUTED_VALUE"""),318.07)</f>
        <v/>
      </c>
      <c r="BO26" s="512">
        <f>IFERROR(__xludf.DUMMYFUNCTION("""COMPUTED_VALUE"""),45898.6666666666)</f>
        <v/>
      </c>
      <c r="BP26" s="513">
        <f>IFERROR(__xludf.DUMMYFUNCTION("""COMPUTED_VALUE"""),91.77)</f>
        <v/>
      </c>
    </row>
    <row r="27">
      <c r="A27" s="512">
        <f>IFERROR(__xludf.DUMMYFUNCTION("""COMPUTED_VALUE"""),45902.6666666666)</f>
        <v/>
      </c>
      <c r="B27" s="513">
        <f>IFERROR(__xludf.DUMMYFUNCTION("""COMPUTED_VALUE"""),640.27)</f>
        <v/>
      </c>
      <c r="D27" s="512">
        <f>IFERROR(__xludf.DUMMYFUNCTION("""COMPUTED_VALUE"""),45902.6666666666)</f>
        <v/>
      </c>
      <c r="E27" s="513">
        <f>IFERROR(__xludf.DUMMYFUNCTION("""COMPUTED_VALUE"""),90.71)</f>
        <v/>
      </c>
      <c r="G27" s="512">
        <f>IFERROR(__xludf.DUMMYFUNCTION("""COMPUTED_VALUE"""),46086.6666666666)</f>
        <v/>
      </c>
      <c r="H27" s="513">
        <f>IFERROR(__xludf.DUMMYFUNCTION("""COMPUTED_VALUE"""),65.79)</f>
        <v/>
      </c>
      <c r="J27" s="512">
        <f>IFERROR(__xludf.DUMMYFUNCTION("""COMPUTED_VALUE"""),45902.6666666666)</f>
        <v/>
      </c>
      <c r="K27" s="513">
        <f>IFERROR(__xludf.DUMMYFUNCTION("""COMPUTED_VALUE"""),78.15)</f>
        <v/>
      </c>
      <c r="M27" s="512">
        <f>IFERROR(__xludf.DUMMYFUNCTION("""COMPUTED_VALUE"""),45902.6666666666)</f>
        <v/>
      </c>
      <c r="N27" s="513">
        <f>IFERROR(__xludf.DUMMYFUNCTION("""COMPUTED_VALUE"""),233.9)</f>
        <v/>
      </c>
      <c r="P27" s="512">
        <f>IFERROR(__xludf.DUMMYFUNCTION("""COMPUTED_VALUE"""),45902.6666666666)</f>
        <v/>
      </c>
      <c r="Q27" s="513">
        <f>IFERROR(__xludf.DUMMYFUNCTION("""COMPUTED_VALUE"""),77.41)</f>
        <v/>
      </c>
      <c r="S27" s="512">
        <f>IFERROR(__xludf.DUMMYFUNCTION("""COMPUTED_VALUE"""),45169.6666666666)</f>
        <v/>
      </c>
      <c r="T27" s="513">
        <f>IFERROR(__xludf.DUMMYFUNCTION("""COMPUTED_VALUE"""),187.87)</f>
        <v/>
      </c>
      <c r="V27" s="512">
        <f>IFERROR(__xludf.DUMMYFUNCTION("""COMPUTED_VALUE"""),45902.6666666666)</f>
        <v/>
      </c>
      <c r="W27" s="513">
        <f>IFERROR(__xludf.DUMMYFUNCTION("""COMPUTED_VALUE"""),22.57)</f>
        <v/>
      </c>
      <c r="Y27" s="512">
        <f>IFERROR(__xludf.DUMMYFUNCTION("""COMPUTED_VALUE"""),45902.6666666666)</f>
        <v/>
      </c>
      <c r="Z27" s="513">
        <f>IFERROR(__xludf.DUMMYFUNCTION("""COMPUTED_VALUE"""),73.4)</f>
        <v/>
      </c>
      <c r="AB27" s="512">
        <f>IFERROR(__xludf.DUMMYFUNCTION("""COMPUTED_VALUE"""),45902.6666666666)</f>
        <v/>
      </c>
      <c r="AC27" s="513">
        <f>IFERROR(__xludf.DUMMYFUNCTION("""COMPUTED_VALUE"""),51.46)</f>
        <v/>
      </c>
      <c r="AE27" s="512">
        <f>IFERROR(__xludf.DUMMYFUNCTION("""COMPUTED_VALUE"""),45902.6666666666)</f>
        <v/>
      </c>
      <c r="AF27" s="513">
        <f>IFERROR(__xludf.DUMMYFUNCTION("""COMPUTED_VALUE"""),93.36)</f>
        <v/>
      </c>
      <c r="AH27" s="512">
        <f>IFERROR(__xludf.DUMMYFUNCTION("""COMPUTED_VALUE"""),45902.6666666666)</f>
        <v/>
      </c>
      <c r="AI27" s="513">
        <f>IFERROR(__xludf.DUMMYFUNCTION("""COMPUTED_VALUE"""),22.76)</f>
        <v/>
      </c>
      <c r="AK27" s="512">
        <f>IFERROR(__xludf.DUMMYFUNCTION("""COMPUTED_VALUE"""),45902.6666666666)</f>
        <v/>
      </c>
      <c r="AL27" s="513">
        <f>IFERROR(__xludf.DUMMYFUNCTION("""COMPUTED_VALUE"""),80.39)</f>
        <v/>
      </c>
      <c r="AN27" s="512">
        <f>IFERROR(__xludf.DUMMYFUNCTION("""COMPUTED_VALUE"""),45902.6666666666)</f>
        <v/>
      </c>
      <c r="AO27" s="513">
        <f>IFERROR(__xludf.DUMMYFUNCTION("""COMPUTED_VALUE"""),110.55)</f>
        <v/>
      </c>
      <c r="AQ27" s="512">
        <f>IFERROR(__xludf.DUMMYFUNCTION("""COMPUTED_VALUE"""),45902.6666666666)</f>
        <v/>
      </c>
      <c r="AR27" s="513">
        <f>IFERROR(__xludf.DUMMYFUNCTION("""COMPUTED_VALUE"""),90.58)</f>
        <v/>
      </c>
      <c r="AT27" s="512">
        <f>IFERROR(__xludf.DUMMYFUNCTION("""COMPUTED_VALUE"""),45902.6666666666)</f>
        <v/>
      </c>
      <c r="AU27" s="513">
        <f>IFERROR(__xludf.DUMMYFUNCTION("""COMPUTED_VALUE"""),49.82)</f>
        <v/>
      </c>
      <c r="AW27" s="512">
        <f>IFERROR(__xludf.DUMMYFUNCTION("""COMPUTED_VALUE"""),45902.6666666666)</f>
        <v/>
      </c>
      <c r="AX27" s="513">
        <f>IFERROR(__xludf.DUMMYFUNCTION("""COMPUTED_VALUE"""),98.87)</f>
        <v/>
      </c>
      <c r="AZ27" s="512">
        <f>IFERROR(__xludf.DUMMYFUNCTION("""COMPUTED_VALUE"""),45902.6666666666)</f>
        <v/>
      </c>
      <c r="BA27" s="513">
        <f>IFERROR(__xludf.DUMMYFUNCTION("""COMPUTED_VALUE"""),109.05)</f>
        <v/>
      </c>
      <c r="BC27" s="512">
        <f>IFERROR(__xludf.DUMMYFUNCTION("""COMPUTED_VALUE"""),45902.6666666666)</f>
        <v/>
      </c>
      <c r="BD27" s="513">
        <f>IFERROR(__xludf.DUMMYFUNCTION("""COMPUTED_VALUE"""),95.55)</f>
        <v/>
      </c>
      <c r="BF27" s="512">
        <f>IFERROR(__xludf.DUMMYFUNCTION("""COMPUTED_VALUE"""),45902.6666666666)</f>
        <v/>
      </c>
      <c r="BG27" s="513">
        <f>IFERROR(__xludf.DUMMYFUNCTION("""COMPUTED_VALUE"""),82.68)</f>
        <v/>
      </c>
      <c r="BI27" s="512">
        <f>IFERROR(__xludf.DUMMYFUNCTION("""COMPUTED_VALUE"""),45902.6666666666)</f>
        <v/>
      </c>
      <c r="BJ27" s="513">
        <f>IFERROR(__xludf.DUMMYFUNCTION("""COMPUTED_VALUE"""),85.63)</f>
        <v/>
      </c>
      <c r="BL27" s="512">
        <f>IFERROR(__xludf.DUMMYFUNCTION("""COMPUTED_VALUE"""),45902.6666666666)</f>
        <v/>
      </c>
      <c r="BM27" s="513">
        <f>IFERROR(__xludf.DUMMYFUNCTION("""COMPUTED_VALUE"""),325.59)</f>
        <v/>
      </c>
      <c r="BO27" s="512">
        <f>IFERROR(__xludf.DUMMYFUNCTION("""COMPUTED_VALUE"""),45902.6666666666)</f>
        <v/>
      </c>
      <c r="BP27" s="513">
        <f>IFERROR(__xludf.DUMMYFUNCTION("""COMPUTED_VALUE"""),91.47)</f>
        <v/>
      </c>
    </row>
    <row r="28">
      <c r="A28" s="512">
        <f>IFERROR(__xludf.DUMMYFUNCTION("""COMPUTED_VALUE"""),45903.6666666666)</f>
        <v/>
      </c>
      <c r="B28" s="513">
        <f>IFERROR(__xludf.DUMMYFUNCTION("""COMPUTED_VALUE"""),643.74)</f>
        <v/>
      </c>
      <c r="D28" s="512">
        <f>IFERROR(__xludf.DUMMYFUNCTION("""COMPUTED_VALUE"""),45903.6666666666)</f>
        <v/>
      </c>
      <c r="E28" s="513">
        <f>IFERROR(__xludf.DUMMYFUNCTION("""COMPUTED_VALUE"""),90.76)</f>
        <v/>
      </c>
      <c r="G28" s="512">
        <f>IFERROR(__xludf.DUMMYFUNCTION("""COMPUTED_VALUE"""),46087.6666666666)</f>
        <v/>
      </c>
      <c r="H28" s="513">
        <f>IFERROR(__xludf.DUMMYFUNCTION("""COMPUTED_VALUE"""),65.28)</f>
        <v/>
      </c>
      <c r="J28" s="512">
        <f>IFERROR(__xludf.DUMMYFUNCTION("""COMPUTED_VALUE"""),45903.6666666666)</f>
        <v/>
      </c>
      <c r="K28" s="513">
        <f>IFERROR(__xludf.DUMMYFUNCTION("""COMPUTED_VALUE"""),77.93)</f>
        <v/>
      </c>
      <c r="M28" s="512">
        <f>IFERROR(__xludf.DUMMYFUNCTION("""COMPUTED_VALUE"""),45903.6666666666)</f>
        <v/>
      </c>
      <c r="N28" s="513">
        <f>IFERROR(__xludf.DUMMYFUNCTION("""COMPUTED_VALUE"""),233.67)</f>
        <v/>
      </c>
      <c r="P28" s="512">
        <f>IFERROR(__xludf.DUMMYFUNCTION("""COMPUTED_VALUE"""),45903.6666666666)</f>
        <v/>
      </c>
      <c r="Q28" s="513">
        <f>IFERROR(__xludf.DUMMYFUNCTION("""COMPUTED_VALUE"""),77.73)</f>
        <v/>
      </c>
      <c r="S28" s="512">
        <f>IFERROR(__xludf.DUMMYFUNCTION("""COMPUTED_VALUE"""),45170.6666666666)</f>
        <v/>
      </c>
      <c r="T28" s="513">
        <f>IFERROR(__xludf.DUMMYFUNCTION("""COMPUTED_VALUE"""),189.46)</f>
        <v/>
      </c>
      <c r="V28" s="512">
        <f>IFERROR(__xludf.DUMMYFUNCTION("""COMPUTED_VALUE"""),45903.6666666666)</f>
        <v/>
      </c>
      <c r="W28" s="513">
        <f>IFERROR(__xludf.DUMMYFUNCTION("""COMPUTED_VALUE"""),22.37)</f>
        <v/>
      </c>
      <c r="Y28" s="512">
        <f>IFERROR(__xludf.DUMMYFUNCTION("""COMPUTED_VALUE"""),45903.6666666666)</f>
        <v/>
      </c>
      <c r="Z28" s="513">
        <f>IFERROR(__xludf.DUMMYFUNCTION("""COMPUTED_VALUE"""),73.64)</f>
        <v/>
      </c>
      <c r="AB28" s="512">
        <f>IFERROR(__xludf.DUMMYFUNCTION("""COMPUTED_VALUE"""),45903.6666666666)</f>
        <v/>
      </c>
      <c r="AC28" s="513">
        <f>IFERROR(__xludf.DUMMYFUNCTION("""COMPUTED_VALUE"""),51.6)</f>
        <v/>
      </c>
      <c r="AE28" s="512">
        <f>IFERROR(__xludf.DUMMYFUNCTION("""COMPUTED_VALUE"""),45903.6666666666)</f>
        <v/>
      </c>
      <c r="AF28" s="513">
        <f>IFERROR(__xludf.DUMMYFUNCTION("""COMPUTED_VALUE"""),93.76)</f>
        <v/>
      </c>
      <c r="AH28" s="512">
        <f>IFERROR(__xludf.DUMMYFUNCTION("""COMPUTED_VALUE"""),45903.6666666666)</f>
        <v/>
      </c>
      <c r="AI28" s="513">
        <f>IFERROR(__xludf.DUMMYFUNCTION("""COMPUTED_VALUE"""),22.82)</f>
        <v/>
      </c>
      <c r="AK28" s="512">
        <f>IFERROR(__xludf.DUMMYFUNCTION("""COMPUTED_VALUE"""),45903.6666666666)</f>
        <v/>
      </c>
      <c r="AL28" s="513">
        <f>IFERROR(__xludf.DUMMYFUNCTION("""COMPUTED_VALUE"""),80.61)</f>
        <v/>
      </c>
      <c r="AN28" s="512">
        <f>IFERROR(__xludf.DUMMYFUNCTION("""COMPUTED_VALUE"""),45903.6666666666)</f>
        <v/>
      </c>
      <c r="AO28" s="513">
        <f>IFERROR(__xludf.DUMMYFUNCTION("""COMPUTED_VALUE"""),110.8)</f>
        <v/>
      </c>
      <c r="AQ28" s="512">
        <f>IFERROR(__xludf.DUMMYFUNCTION("""COMPUTED_VALUE"""),45903.6666666666)</f>
        <v/>
      </c>
      <c r="AR28" s="513">
        <f>IFERROR(__xludf.DUMMYFUNCTION("""COMPUTED_VALUE"""),90.72)</f>
        <v/>
      </c>
      <c r="AT28" s="512">
        <f>IFERROR(__xludf.DUMMYFUNCTION("""COMPUTED_VALUE"""),45903.6666666666)</f>
        <v/>
      </c>
      <c r="AU28" s="513">
        <f>IFERROR(__xludf.DUMMYFUNCTION("""COMPUTED_VALUE"""),50.01)</f>
        <v/>
      </c>
      <c r="AW28" s="512">
        <f>IFERROR(__xludf.DUMMYFUNCTION("""COMPUTED_VALUE"""),45903.6666666666)</f>
        <v/>
      </c>
      <c r="AX28" s="513">
        <f>IFERROR(__xludf.DUMMYFUNCTION("""COMPUTED_VALUE"""),99.23)</f>
        <v/>
      </c>
      <c r="AZ28" s="512">
        <f>IFERROR(__xludf.DUMMYFUNCTION("""COMPUTED_VALUE"""),45903.6666666666)</f>
        <v/>
      </c>
      <c r="BA28" s="513">
        <f>IFERROR(__xludf.DUMMYFUNCTION("""COMPUTED_VALUE"""),109.7)</f>
        <v/>
      </c>
      <c r="BC28" s="512">
        <f>IFERROR(__xludf.DUMMYFUNCTION("""COMPUTED_VALUE"""),45903.6666666666)</f>
        <v/>
      </c>
      <c r="BD28" s="513">
        <f>IFERROR(__xludf.DUMMYFUNCTION("""COMPUTED_VALUE"""),95.88)</f>
        <v/>
      </c>
      <c r="BF28" s="512">
        <f>IFERROR(__xludf.DUMMYFUNCTION("""COMPUTED_VALUE"""),45903.6666666666)</f>
        <v/>
      </c>
      <c r="BG28" s="513">
        <f>IFERROR(__xludf.DUMMYFUNCTION("""COMPUTED_VALUE"""),82.74)</f>
        <v/>
      </c>
      <c r="BI28" s="512">
        <f>IFERROR(__xludf.DUMMYFUNCTION("""COMPUTED_VALUE"""),45903.6666666666)</f>
        <v/>
      </c>
      <c r="BJ28" s="513">
        <f>IFERROR(__xludf.DUMMYFUNCTION("""COMPUTED_VALUE"""),86.57)</f>
        <v/>
      </c>
      <c r="BL28" s="512">
        <f>IFERROR(__xludf.DUMMYFUNCTION("""COMPUTED_VALUE"""),45903.6666666666)</f>
        <v/>
      </c>
      <c r="BM28" s="513">
        <f>IFERROR(__xludf.DUMMYFUNCTION("""COMPUTED_VALUE"""),328.14)</f>
        <v/>
      </c>
      <c r="BO28" s="512">
        <f>IFERROR(__xludf.DUMMYFUNCTION("""COMPUTED_VALUE"""),45903.6666666666)</f>
        <v/>
      </c>
      <c r="BP28" s="513">
        <f>IFERROR(__xludf.DUMMYFUNCTION("""COMPUTED_VALUE"""),91.48)</f>
        <v/>
      </c>
    </row>
    <row r="29">
      <c r="A29" s="512">
        <f>IFERROR(__xludf.DUMMYFUNCTION("""COMPUTED_VALUE"""),45904.6666666666)</f>
        <v/>
      </c>
      <c r="B29" s="513">
        <f>IFERROR(__xludf.DUMMYFUNCTION("""COMPUTED_VALUE"""),649.12)</f>
        <v/>
      </c>
      <c r="D29" s="512">
        <f>IFERROR(__xludf.DUMMYFUNCTION("""COMPUTED_VALUE"""),45904.6666666666)</f>
        <v/>
      </c>
      <c r="E29" s="513">
        <f>IFERROR(__xludf.DUMMYFUNCTION("""COMPUTED_VALUE"""),91.44)</f>
        <v/>
      </c>
      <c r="G29" s="512">
        <f>IFERROR(__xludf.DUMMYFUNCTION("""COMPUTED_VALUE"""),46090.6666666666)</f>
        <v/>
      </c>
      <c r="H29" s="513">
        <f>IFERROR(__xludf.DUMMYFUNCTION("""COMPUTED_VALUE"""),65.91)</f>
        <v/>
      </c>
      <c r="J29" s="512">
        <f>IFERROR(__xludf.DUMMYFUNCTION("""COMPUTED_VALUE"""),45904.6666666666)</f>
        <v/>
      </c>
      <c r="K29" s="513">
        <f>IFERROR(__xludf.DUMMYFUNCTION("""COMPUTED_VALUE"""),78.73)</f>
        <v/>
      </c>
      <c r="M29" s="512">
        <f>IFERROR(__xludf.DUMMYFUNCTION("""COMPUTED_VALUE"""),45904.6666666666)</f>
        <v/>
      </c>
      <c r="N29" s="513">
        <f>IFERROR(__xludf.DUMMYFUNCTION("""COMPUTED_VALUE"""),236.59)</f>
        <v/>
      </c>
      <c r="P29" s="512">
        <f>IFERROR(__xludf.DUMMYFUNCTION("""COMPUTED_VALUE"""),45904.6666666666)</f>
        <v/>
      </c>
      <c r="Q29" s="513">
        <f>IFERROR(__xludf.DUMMYFUNCTION("""COMPUTED_VALUE"""),78.19)</f>
        <v/>
      </c>
      <c r="S29" s="512">
        <f>IFERROR(__xludf.DUMMYFUNCTION("""COMPUTED_VALUE"""),45174.6666666666)</f>
        <v/>
      </c>
      <c r="T29" s="513">
        <f>IFERROR(__xludf.DUMMYFUNCTION("""COMPUTED_VALUE"""),189.7)</f>
        <v/>
      </c>
      <c r="V29" s="512">
        <f>IFERROR(__xludf.DUMMYFUNCTION("""COMPUTED_VALUE"""),45904.6666666666)</f>
        <v/>
      </c>
      <c r="W29" s="513">
        <f>IFERROR(__xludf.DUMMYFUNCTION("""COMPUTED_VALUE"""),22.21)</f>
        <v/>
      </c>
      <c r="Y29" s="512">
        <f>IFERROR(__xludf.DUMMYFUNCTION("""COMPUTED_VALUE"""),45904.6666666666)</f>
        <v/>
      </c>
      <c r="Z29" s="513">
        <f>IFERROR(__xludf.DUMMYFUNCTION("""COMPUTED_VALUE"""),73.92)</f>
        <v/>
      </c>
      <c r="AB29" s="512">
        <f>IFERROR(__xludf.DUMMYFUNCTION("""COMPUTED_VALUE"""),45904.6666666666)</f>
        <v/>
      </c>
      <c r="AC29" s="513">
        <f>IFERROR(__xludf.DUMMYFUNCTION("""COMPUTED_VALUE"""),51.38)</f>
        <v/>
      </c>
      <c r="AE29" s="512">
        <f>IFERROR(__xludf.DUMMYFUNCTION("""COMPUTED_VALUE"""),45904.6666666666)</f>
        <v/>
      </c>
      <c r="AF29" s="513">
        <f>IFERROR(__xludf.DUMMYFUNCTION("""COMPUTED_VALUE"""),94.13)</f>
        <v/>
      </c>
      <c r="AH29" s="512">
        <f>IFERROR(__xludf.DUMMYFUNCTION("""COMPUTED_VALUE"""),45904.6666666666)</f>
        <v/>
      </c>
      <c r="AI29" s="513">
        <f>IFERROR(__xludf.DUMMYFUNCTION("""COMPUTED_VALUE"""),22.86)</f>
        <v/>
      </c>
      <c r="AK29" s="512">
        <f>IFERROR(__xludf.DUMMYFUNCTION("""COMPUTED_VALUE"""),45904.6666666666)</f>
        <v/>
      </c>
      <c r="AL29" s="513">
        <f>IFERROR(__xludf.DUMMYFUNCTION("""COMPUTED_VALUE"""),80.83)</f>
        <v/>
      </c>
      <c r="AN29" s="512">
        <f>IFERROR(__xludf.DUMMYFUNCTION("""COMPUTED_VALUE"""),45904.6666666666)</f>
        <v/>
      </c>
      <c r="AO29" s="513">
        <f>IFERROR(__xludf.DUMMYFUNCTION("""COMPUTED_VALUE"""),110.97)</f>
        <v/>
      </c>
      <c r="AQ29" s="512">
        <f>IFERROR(__xludf.DUMMYFUNCTION("""COMPUTED_VALUE"""),45904.6666666666)</f>
        <v/>
      </c>
      <c r="AR29" s="513">
        <f>IFERROR(__xludf.DUMMYFUNCTION("""COMPUTED_VALUE"""),91.38)</f>
        <v/>
      </c>
      <c r="AT29" s="512">
        <f>IFERROR(__xludf.DUMMYFUNCTION("""COMPUTED_VALUE"""),45904.6666666666)</f>
        <v/>
      </c>
      <c r="AU29" s="513">
        <f>IFERROR(__xludf.DUMMYFUNCTION("""COMPUTED_VALUE"""),49.85)</f>
        <v/>
      </c>
      <c r="AW29" s="512">
        <f>IFERROR(__xludf.DUMMYFUNCTION("""COMPUTED_VALUE"""),45904.6666666666)</f>
        <v/>
      </c>
      <c r="AX29" s="513">
        <f>IFERROR(__xludf.DUMMYFUNCTION("""COMPUTED_VALUE"""),99.63)</f>
        <v/>
      </c>
      <c r="AZ29" s="512">
        <f>IFERROR(__xludf.DUMMYFUNCTION("""COMPUTED_VALUE"""),45904.6666666666)</f>
        <v/>
      </c>
      <c r="BA29" s="513">
        <f>IFERROR(__xludf.DUMMYFUNCTION("""COMPUTED_VALUE"""),110.45)</f>
        <v/>
      </c>
      <c r="BC29" s="512">
        <f>IFERROR(__xludf.DUMMYFUNCTION("""COMPUTED_VALUE"""),45904.6666666666)</f>
        <v/>
      </c>
      <c r="BD29" s="513">
        <f>IFERROR(__xludf.DUMMYFUNCTION("""COMPUTED_VALUE"""),96.31)</f>
        <v/>
      </c>
      <c r="BF29" s="512">
        <f>IFERROR(__xludf.DUMMYFUNCTION("""COMPUTED_VALUE"""),45904.6666666666)</f>
        <v/>
      </c>
      <c r="BG29" s="513">
        <f>IFERROR(__xludf.DUMMYFUNCTION("""COMPUTED_VALUE"""),82.8)</f>
        <v/>
      </c>
      <c r="BI29" s="512">
        <f>IFERROR(__xludf.DUMMYFUNCTION("""COMPUTED_VALUE"""),45904.6666666666)</f>
        <v/>
      </c>
      <c r="BJ29" s="513">
        <f>IFERROR(__xludf.DUMMYFUNCTION("""COMPUTED_VALUE"""),87.23)</f>
        <v/>
      </c>
      <c r="BL29" s="512">
        <f>IFERROR(__xludf.DUMMYFUNCTION("""COMPUTED_VALUE"""),45904.6666666666)</f>
        <v/>
      </c>
      <c r="BM29" s="513">
        <f>IFERROR(__xludf.DUMMYFUNCTION("""COMPUTED_VALUE"""),326.69)</f>
        <v/>
      </c>
      <c r="BO29" s="512">
        <f>IFERROR(__xludf.DUMMYFUNCTION("""COMPUTED_VALUE"""),45904.6666666666)</f>
        <v/>
      </c>
      <c r="BP29" s="513">
        <f>IFERROR(__xludf.DUMMYFUNCTION("""COMPUTED_VALUE"""),91.5)</f>
        <v/>
      </c>
    </row>
    <row r="30">
      <c r="A30" s="512">
        <f>IFERROR(__xludf.DUMMYFUNCTION("""COMPUTED_VALUE"""),45905.6666666666)</f>
        <v/>
      </c>
      <c r="B30" s="513">
        <f>IFERROR(__xludf.DUMMYFUNCTION("""COMPUTED_VALUE"""),647.24)</f>
        <v/>
      </c>
      <c r="D30" s="512">
        <f>IFERROR(__xludf.DUMMYFUNCTION("""COMPUTED_VALUE"""),45905.6666666666)</f>
        <v/>
      </c>
      <c r="E30" s="513">
        <f>IFERROR(__xludf.DUMMYFUNCTION("""COMPUTED_VALUE"""),92.47)</f>
        <v/>
      </c>
      <c r="G30" s="512">
        <f>IFERROR(__xludf.DUMMYFUNCTION("""COMPUTED_VALUE"""),46091.6666666666)</f>
        <v/>
      </c>
      <c r="H30" s="513">
        <f>IFERROR(__xludf.DUMMYFUNCTION("""COMPUTED_VALUE"""),65.97)</f>
        <v/>
      </c>
      <c r="J30" s="512">
        <f>IFERROR(__xludf.DUMMYFUNCTION("""COMPUTED_VALUE"""),45905.6666666666)</f>
        <v/>
      </c>
      <c r="K30" s="513">
        <f>IFERROR(__xludf.DUMMYFUNCTION("""COMPUTED_VALUE"""),79.18)</f>
        <v/>
      </c>
      <c r="M30" s="512">
        <f>IFERROR(__xludf.DUMMYFUNCTION("""COMPUTED_VALUE"""),45905.6666666666)</f>
        <v/>
      </c>
      <c r="N30" s="513">
        <f>IFERROR(__xludf.DUMMYFUNCTION("""COMPUTED_VALUE"""),237.77)</f>
        <v/>
      </c>
      <c r="P30" s="512">
        <f>IFERROR(__xludf.DUMMYFUNCTION("""COMPUTED_VALUE"""),45905.6666666666)</f>
        <v/>
      </c>
      <c r="Q30" s="513">
        <f>IFERROR(__xludf.DUMMYFUNCTION("""COMPUTED_VALUE"""),78.57)</f>
        <v/>
      </c>
      <c r="S30" s="512">
        <f>IFERROR(__xludf.DUMMYFUNCTION("""COMPUTED_VALUE"""),45175.6666666666)</f>
        <v/>
      </c>
      <c r="T30" s="513">
        <f>IFERROR(__xludf.DUMMYFUNCTION("""COMPUTED_VALUE"""),182.91)</f>
        <v/>
      </c>
      <c r="V30" s="512">
        <f>IFERROR(__xludf.DUMMYFUNCTION("""COMPUTED_VALUE"""),45905.6666666666)</f>
        <v/>
      </c>
      <c r="W30" s="513">
        <f>IFERROR(__xludf.DUMMYFUNCTION("""COMPUTED_VALUE"""),22.03)</f>
        <v/>
      </c>
      <c r="Y30" s="512">
        <f>IFERROR(__xludf.DUMMYFUNCTION("""COMPUTED_VALUE"""),45905.6666666666)</f>
        <v/>
      </c>
      <c r="Z30" s="513">
        <f>IFERROR(__xludf.DUMMYFUNCTION("""COMPUTED_VALUE"""),74.27)</f>
        <v/>
      </c>
      <c r="AB30" s="512">
        <f>IFERROR(__xludf.DUMMYFUNCTION("""COMPUTED_VALUE"""),45905.6666666666)</f>
        <v/>
      </c>
      <c r="AC30" s="513">
        <f>IFERROR(__xludf.DUMMYFUNCTION("""COMPUTED_VALUE"""),51.97)</f>
        <v/>
      </c>
      <c r="AE30" s="512">
        <f>IFERROR(__xludf.DUMMYFUNCTION("""COMPUTED_VALUE"""),45905.6666666666)</f>
        <v/>
      </c>
      <c r="AF30" s="513">
        <f>IFERROR(__xludf.DUMMYFUNCTION("""COMPUTED_VALUE"""),94.76)</f>
        <v/>
      </c>
      <c r="AH30" s="512">
        <f>IFERROR(__xludf.DUMMYFUNCTION("""COMPUTED_VALUE"""),45905.6666666666)</f>
        <v/>
      </c>
      <c r="AI30" s="513">
        <f>IFERROR(__xludf.DUMMYFUNCTION("""COMPUTED_VALUE"""),23.06)</f>
        <v/>
      </c>
      <c r="AK30" s="512">
        <f>IFERROR(__xludf.DUMMYFUNCTION("""COMPUTED_VALUE"""),45905.6666666666)</f>
        <v/>
      </c>
      <c r="AL30" s="513">
        <f>IFERROR(__xludf.DUMMYFUNCTION("""COMPUTED_VALUE"""),80.87)</f>
        <v/>
      </c>
      <c r="AN30" s="512">
        <f>IFERROR(__xludf.DUMMYFUNCTION("""COMPUTED_VALUE"""),45905.6666666666)</f>
        <v/>
      </c>
      <c r="AO30" s="513">
        <f>IFERROR(__xludf.DUMMYFUNCTION("""COMPUTED_VALUE"""),111.46)</f>
        <v/>
      </c>
      <c r="AQ30" s="512">
        <f>IFERROR(__xludf.DUMMYFUNCTION("""COMPUTED_VALUE"""),45905.6666666666)</f>
        <v/>
      </c>
      <c r="AR30" s="513">
        <f>IFERROR(__xludf.DUMMYFUNCTION("""COMPUTED_VALUE"""),91.79)</f>
        <v/>
      </c>
      <c r="AT30" s="512">
        <f>IFERROR(__xludf.DUMMYFUNCTION("""COMPUTED_VALUE"""),45905.6666666666)</f>
        <v/>
      </c>
      <c r="AU30" s="513">
        <f>IFERROR(__xludf.DUMMYFUNCTION("""COMPUTED_VALUE"""),50.45)</f>
        <v/>
      </c>
      <c r="AW30" s="512">
        <f>IFERROR(__xludf.DUMMYFUNCTION("""COMPUTED_VALUE"""),45905.6666666666)</f>
        <v/>
      </c>
      <c r="AX30" s="513">
        <f>IFERROR(__xludf.DUMMYFUNCTION("""COMPUTED_VALUE"""),100.1)</f>
        <v/>
      </c>
      <c r="AZ30" s="512">
        <f>IFERROR(__xludf.DUMMYFUNCTION("""COMPUTED_VALUE"""),45905.6666666666)</f>
        <v/>
      </c>
      <c r="BA30" s="513">
        <f>IFERROR(__xludf.DUMMYFUNCTION("""COMPUTED_VALUE"""),111.17)</f>
        <v/>
      </c>
      <c r="BC30" s="512">
        <f>IFERROR(__xludf.DUMMYFUNCTION("""COMPUTED_VALUE"""),45905.6666666666)</f>
        <v/>
      </c>
      <c r="BD30" s="513">
        <f>IFERROR(__xludf.DUMMYFUNCTION("""COMPUTED_VALUE"""),96.78)</f>
        <v/>
      </c>
      <c r="BF30" s="512">
        <f>IFERROR(__xludf.DUMMYFUNCTION("""COMPUTED_VALUE"""),45905.6666666666)</f>
        <v/>
      </c>
      <c r="BG30" s="513">
        <f>IFERROR(__xludf.DUMMYFUNCTION("""COMPUTED_VALUE"""),82.92)</f>
        <v/>
      </c>
      <c r="BI30" s="512">
        <f>IFERROR(__xludf.DUMMYFUNCTION("""COMPUTED_VALUE"""),45905.6666666666)</f>
        <v/>
      </c>
      <c r="BJ30" s="513">
        <f>IFERROR(__xludf.DUMMYFUNCTION("""COMPUTED_VALUE"""),88.56)</f>
        <v/>
      </c>
      <c r="BL30" s="512">
        <f>IFERROR(__xludf.DUMMYFUNCTION("""COMPUTED_VALUE"""),45905.6666666666)</f>
        <v/>
      </c>
      <c r="BM30" s="513">
        <f>IFERROR(__xludf.DUMMYFUNCTION("""COMPUTED_VALUE"""),331.05)</f>
        <v/>
      </c>
      <c r="BO30" s="512">
        <f>IFERROR(__xludf.DUMMYFUNCTION("""COMPUTED_VALUE"""),45905.6666666666)</f>
        <v/>
      </c>
      <c r="BP30" s="513">
        <f>IFERROR(__xludf.DUMMYFUNCTION("""COMPUTED_VALUE"""),91.53)</f>
        <v/>
      </c>
    </row>
    <row r="31">
      <c r="A31" s="512">
        <f>IFERROR(__xludf.DUMMYFUNCTION("""COMPUTED_VALUE"""),45908.6666666666)</f>
        <v/>
      </c>
      <c r="B31" s="513">
        <f>IFERROR(__xludf.DUMMYFUNCTION("""COMPUTED_VALUE"""),648.83)</f>
        <v/>
      </c>
      <c r="D31" s="512">
        <f>IFERROR(__xludf.DUMMYFUNCTION("""COMPUTED_VALUE"""),45908.6666666666)</f>
        <v/>
      </c>
      <c r="E31" s="513">
        <f>IFERROR(__xludf.DUMMYFUNCTION("""COMPUTED_VALUE"""),91.93)</f>
        <v/>
      </c>
      <c r="G31" s="512">
        <f>IFERROR(__xludf.DUMMYFUNCTION("""COMPUTED_VALUE"""),46092.6666666666)</f>
        <v/>
      </c>
      <c r="H31" s="513">
        <f>IFERROR(__xludf.DUMMYFUNCTION("""COMPUTED_VALUE"""),65.86)</f>
        <v/>
      </c>
      <c r="J31" s="512">
        <f>IFERROR(__xludf.DUMMYFUNCTION("""COMPUTED_VALUE"""),45908.6666666666)</f>
        <v/>
      </c>
      <c r="K31" s="513">
        <f>IFERROR(__xludf.DUMMYFUNCTION("""COMPUTED_VALUE"""),80.96)</f>
        <v/>
      </c>
      <c r="M31" s="512">
        <f>IFERROR(__xludf.DUMMYFUNCTION("""COMPUTED_VALUE"""),45908.6666666666)</f>
        <v/>
      </c>
      <c r="N31" s="513">
        <f>IFERROR(__xludf.DUMMYFUNCTION("""COMPUTED_VALUE"""),238.25)</f>
        <v/>
      </c>
      <c r="P31" s="512">
        <f>IFERROR(__xludf.DUMMYFUNCTION("""COMPUTED_VALUE"""),45908.6666666666)</f>
        <v/>
      </c>
      <c r="Q31" s="513">
        <f>IFERROR(__xludf.DUMMYFUNCTION("""COMPUTED_VALUE"""),79.13)</f>
        <v/>
      </c>
      <c r="S31" s="512">
        <f>IFERROR(__xludf.DUMMYFUNCTION("""COMPUTED_VALUE"""),45176.6666666666)</f>
        <v/>
      </c>
      <c r="T31" s="513">
        <f>IFERROR(__xludf.DUMMYFUNCTION("""COMPUTED_VALUE"""),177.56)</f>
        <v/>
      </c>
      <c r="V31" s="512">
        <f>IFERROR(__xludf.DUMMYFUNCTION("""COMPUTED_VALUE"""),45908.6666666666)</f>
        <v/>
      </c>
      <c r="W31" s="513">
        <f>IFERROR(__xludf.DUMMYFUNCTION("""COMPUTED_VALUE"""),22.18)</f>
        <v/>
      </c>
      <c r="Y31" s="512">
        <f>IFERROR(__xludf.DUMMYFUNCTION("""COMPUTED_VALUE"""),45908.6666666666)</f>
        <v/>
      </c>
      <c r="Z31" s="513">
        <f>IFERROR(__xludf.DUMMYFUNCTION("""COMPUTED_VALUE"""),74.51)</f>
        <v/>
      </c>
      <c r="AB31" s="512">
        <f>IFERROR(__xludf.DUMMYFUNCTION("""COMPUTED_VALUE"""),45908.6666666666)</f>
        <v/>
      </c>
      <c r="AC31" s="513">
        <f>IFERROR(__xludf.DUMMYFUNCTION("""COMPUTED_VALUE"""),52.48)</f>
        <v/>
      </c>
      <c r="AE31" s="512">
        <f>IFERROR(__xludf.DUMMYFUNCTION("""COMPUTED_VALUE"""),45908.6666666666)</f>
        <v/>
      </c>
      <c r="AF31" s="513">
        <f>IFERROR(__xludf.DUMMYFUNCTION("""COMPUTED_VALUE"""),94.75)</f>
        <v/>
      </c>
      <c r="AH31" s="512">
        <f>IFERROR(__xludf.DUMMYFUNCTION("""COMPUTED_VALUE"""),45908.6666666666)</f>
        <v/>
      </c>
      <c r="AI31" s="513">
        <f>IFERROR(__xludf.DUMMYFUNCTION("""COMPUTED_VALUE"""),23.11)</f>
        <v/>
      </c>
      <c r="AK31" s="512">
        <f>IFERROR(__xludf.DUMMYFUNCTION("""COMPUTED_VALUE"""),45908.6666666666)</f>
        <v/>
      </c>
      <c r="AL31" s="513">
        <f>IFERROR(__xludf.DUMMYFUNCTION("""COMPUTED_VALUE"""),80.87)</f>
        <v/>
      </c>
      <c r="AN31" s="512">
        <f>IFERROR(__xludf.DUMMYFUNCTION("""COMPUTED_VALUE"""),45908.6666666666)</f>
        <v/>
      </c>
      <c r="AO31" s="513">
        <f>IFERROR(__xludf.DUMMYFUNCTION("""COMPUTED_VALUE"""),111.69)</f>
        <v/>
      </c>
      <c r="AQ31" s="512">
        <f>IFERROR(__xludf.DUMMYFUNCTION("""COMPUTED_VALUE"""),45908.6666666666)</f>
        <v/>
      </c>
      <c r="AR31" s="513">
        <f>IFERROR(__xludf.DUMMYFUNCTION("""COMPUTED_VALUE"""),92.71)</f>
        <v/>
      </c>
      <c r="AT31" s="512">
        <f>IFERROR(__xludf.DUMMYFUNCTION("""COMPUTED_VALUE"""),45908.6666666666)</f>
        <v/>
      </c>
      <c r="AU31" s="513">
        <f>IFERROR(__xludf.DUMMYFUNCTION("""COMPUTED_VALUE"""),50.91)</f>
        <v/>
      </c>
      <c r="AW31" s="512">
        <f>IFERROR(__xludf.DUMMYFUNCTION("""COMPUTED_VALUE"""),45908.6666666666)</f>
        <v/>
      </c>
      <c r="AX31" s="513">
        <f>IFERROR(__xludf.DUMMYFUNCTION("""COMPUTED_VALUE"""),100.44)</f>
        <v/>
      </c>
      <c r="AZ31" s="512">
        <f>IFERROR(__xludf.DUMMYFUNCTION("""COMPUTED_VALUE"""),45908.6666666666)</f>
        <v/>
      </c>
      <c r="BA31" s="513">
        <f>IFERROR(__xludf.DUMMYFUNCTION("""COMPUTED_VALUE"""),111.56)</f>
        <v/>
      </c>
      <c r="BC31" s="512">
        <f>IFERROR(__xludf.DUMMYFUNCTION("""COMPUTED_VALUE"""),45908.6666666666)</f>
        <v/>
      </c>
      <c r="BD31" s="513">
        <f>IFERROR(__xludf.DUMMYFUNCTION("""COMPUTED_VALUE"""),97.08)</f>
        <v/>
      </c>
      <c r="BF31" s="512">
        <f>IFERROR(__xludf.DUMMYFUNCTION("""COMPUTED_VALUE"""),45908.6666666666)</f>
        <v/>
      </c>
      <c r="BG31" s="513">
        <f>IFERROR(__xludf.DUMMYFUNCTION("""COMPUTED_VALUE"""),82.97)</f>
        <v/>
      </c>
      <c r="BI31" s="512">
        <f>IFERROR(__xludf.DUMMYFUNCTION("""COMPUTED_VALUE"""),45908.6666666666)</f>
        <v/>
      </c>
      <c r="BJ31" s="513">
        <f>IFERROR(__xludf.DUMMYFUNCTION("""COMPUTED_VALUE"""),89.74)</f>
        <v/>
      </c>
      <c r="BL31" s="512">
        <f>IFERROR(__xludf.DUMMYFUNCTION("""COMPUTED_VALUE"""),45908.6666666666)</f>
        <v/>
      </c>
      <c r="BM31" s="513">
        <f>IFERROR(__xludf.DUMMYFUNCTION("""COMPUTED_VALUE"""),334.82)</f>
        <v/>
      </c>
      <c r="BO31" s="512">
        <f>IFERROR(__xludf.DUMMYFUNCTION("""COMPUTED_VALUE"""),45908.6666666666)</f>
        <v/>
      </c>
      <c r="BP31" s="513">
        <f>IFERROR(__xludf.DUMMYFUNCTION("""COMPUTED_VALUE"""),91.54)</f>
        <v/>
      </c>
    </row>
    <row r="32">
      <c r="A32" s="512">
        <f>IFERROR(__xludf.DUMMYFUNCTION("""COMPUTED_VALUE"""),45909.6666666666)</f>
        <v/>
      </c>
      <c r="B32" s="513">
        <f>IFERROR(__xludf.DUMMYFUNCTION("""COMPUTED_VALUE"""),650.33)</f>
        <v/>
      </c>
      <c r="D32" s="512">
        <f>IFERROR(__xludf.DUMMYFUNCTION("""COMPUTED_VALUE"""),45909.6666666666)</f>
        <v/>
      </c>
      <c r="E32" s="513">
        <f>IFERROR(__xludf.DUMMYFUNCTION("""COMPUTED_VALUE"""),91.72)</f>
        <v/>
      </c>
      <c r="G32" s="512">
        <f>IFERROR(__xludf.DUMMYFUNCTION("""COMPUTED_VALUE"""),46093.6666666666)</f>
        <v/>
      </c>
      <c r="H32" s="513">
        <f>IFERROR(__xludf.DUMMYFUNCTION("""COMPUTED_VALUE"""),64.57)</f>
        <v/>
      </c>
      <c r="J32" s="512">
        <f>IFERROR(__xludf.DUMMYFUNCTION("""COMPUTED_VALUE"""),45909.6666666666)</f>
        <v/>
      </c>
      <c r="K32" s="513">
        <f>IFERROR(__xludf.DUMMYFUNCTION("""COMPUTED_VALUE"""),80.06)</f>
        <v/>
      </c>
      <c r="M32" s="512">
        <f>IFERROR(__xludf.DUMMYFUNCTION("""COMPUTED_VALUE"""),45909.6666666666)</f>
        <v/>
      </c>
      <c r="N32" s="513">
        <f>IFERROR(__xludf.DUMMYFUNCTION("""COMPUTED_VALUE"""),236.85)</f>
        <v/>
      </c>
      <c r="P32" s="512">
        <f>IFERROR(__xludf.DUMMYFUNCTION("""COMPUTED_VALUE"""),45909.6666666666)</f>
        <v/>
      </c>
      <c r="Q32" s="513">
        <f>IFERROR(__xludf.DUMMYFUNCTION("""COMPUTED_VALUE"""),78.99)</f>
        <v/>
      </c>
      <c r="S32" s="512">
        <f>IFERROR(__xludf.DUMMYFUNCTION("""COMPUTED_VALUE"""),45177.6666666666)</f>
        <v/>
      </c>
      <c r="T32" s="513">
        <f>IFERROR(__xludf.DUMMYFUNCTION("""COMPUTED_VALUE"""),178.18)</f>
        <v/>
      </c>
      <c r="V32" s="512">
        <f>IFERROR(__xludf.DUMMYFUNCTION("""COMPUTED_VALUE"""),45909.6666666666)</f>
        <v/>
      </c>
      <c r="W32" s="513">
        <f>IFERROR(__xludf.DUMMYFUNCTION("""COMPUTED_VALUE"""),22.24)</f>
        <v/>
      </c>
      <c r="Y32" s="512">
        <f>IFERROR(__xludf.DUMMYFUNCTION("""COMPUTED_VALUE"""),45909.6666666666)</f>
        <v/>
      </c>
      <c r="Z32" s="513">
        <f>IFERROR(__xludf.DUMMYFUNCTION("""COMPUTED_VALUE"""),74.37)</f>
        <v/>
      </c>
      <c r="AB32" s="512">
        <f>IFERROR(__xludf.DUMMYFUNCTION("""COMPUTED_VALUE"""),45909.6666666666)</f>
        <v/>
      </c>
      <c r="AC32" s="513">
        <f>IFERROR(__xludf.DUMMYFUNCTION("""COMPUTED_VALUE"""),52.68)</f>
        <v/>
      </c>
      <c r="AE32" s="512">
        <f>IFERROR(__xludf.DUMMYFUNCTION("""COMPUTED_VALUE"""),45909.6666666666)</f>
        <v/>
      </c>
      <c r="AF32" s="513">
        <f>IFERROR(__xludf.DUMMYFUNCTION("""COMPUTED_VALUE"""),94.66)</f>
        <v/>
      </c>
      <c r="AH32" s="512">
        <f>IFERROR(__xludf.DUMMYFUNCTION("""COMPUTED_VALUE"""),45909.6666666666)</f>
        <v/>
      </c>
      <c r="AI32" s="513">
        <f>IFERROR(__xludf.DUMMYFUNCTION("""COMPUTED_VALUE"""),23.06)</f>
        <v/>
      </c>
      <c r="AK32" s="512">
        <f>IFERROR(__xludf.DUMMYFUNCTION("""COMPUTED_VALUE"""),45909.6666666666)</f>
        <v/>
      </c>
      <c r="AL32" s="513">
        <f>IFERROR(__xludf.DUMMYFUNCTION("""COMPUTED_VALUE"""),80.78)</f>
        <v/>
      </c>
      <c r="AN32" s="512">
        <f>IFERROR(__xludf.DUMMYFUNCTION("""COMPUTED_VALUE"""),45909.6666666666)</f>
        <v/>
      </c>
      <c r="AO32" s="513">
        <f>IFERROR(__xludf.DUMMYFUNCTION("""COMPUTED_VALUE"""),111.47)</f>
        <v/>
      </c>
      <c r="AQ32" s="512">
        <f>IFERROR(__xludf.DUMMYFUNCTION("""COMPUTED_VALUE"""),45909.6666666666)</f>
        <v/>
      </c>
      <c r="AR32" s="513">
        <f>IFERROR(__xludf.DUMMYFUNCTION("""COMPUTED_VALUE"""),92.4)</f>
        <v/>
      </c>
      <c r="AT32" s="512">
        <f>IFERROR(__xludf.DUMMYFUNCTION("""COMPUTED_VALUE"""),45909.6666666666)</f>
        <v/>
      </c>
      <c r="AU32" s="513">
        <f>IFERROR(__xludf.DUMMYFUNCTION("""COMPUTED_VALUE"""),51.19)</f>
        <v/>
      </c>
      <c r="AW32" s="512">
        <f>IFERROR(__xludf.DUMMYFUNCTION("""COMPUTED_VALUE"""),45909.6666666666)</f>
        <v/>
      </c>
      <c r="AX32" s="513">
        <f>IFERROR(__xludf.DUMMYFUNCTION("""COMPUTED_VALUE"""),100.24)</f>
        <v/>
      </c>
      <c r="AZ32" s="512">
        <f>IFERROR(__xludf.DUMMYFUNCTION("""COMPUTED_VALUE"""),45909.6666666666)</f>
        <v/>
      </c>
      <c r="BA32" s="513">
        <f>IFERROR(__xludf.DUMMYFUNCTION("""COMPUTED_VALUE"""),111.36)</f>
        <v/>
      </c>
      <c r="BC32" s="512">
        <f>IFERROR(__xludf.DUMMYFUNCTION("""COMPUTED_VALUE"""),45909.6666666666)</f>
        <v/>
      </c>
      <c r="BD32" s="513">
        <f>IFERROR(__xludf.DUMMYFUNCTION("""COMPUTED_VALUE"""),96.85)</f>
        <v/>
      </c>
      <c r="BF32" s="512">
        <f>IFERROR(__xludf.DUMMYFUNCTION("""COMPUTED_VALUE"""),45909.6666666666)</f>
        <v/>
      </c>
      <c r="BG32" s="513">
        <f>IFERROR(__xludf.DUMMYFUNCTION("""COMPUTED_VALUE"""),82.9)</f>
        <v/>
      </c>
      <c r="BI32" s="512">
        <f>IFERROR(__xludf.DUMMYFUNCTION("""COMPUTED_VALUE"""),45909.6666666666)</f>
        <v/>
      </c>
      <c r="BJ32" s="513">
        <f>IFERROR(__xludf.DUMMYFUNCTION("""COMPUTED_VALUE"""),89.23)</f>
        <v/>
      </c>
      <c r="BL32" s="512">
        <f>IFERROR(__xludf.DUMMYFUNCTION("""COMPUTED_VALUE"""),45909.6666666666)</f>
        <v/>
      </c>
      <c r="BM32" s="513">
        <f>IFERROR(__xludf.DUMMYFUNCTION("""COMPUTED_VALUE"""),334.06)</f>
        <v/>
      </c>
      <c r="BO32" s="512">
        <f>IFERROR(__xludf.DUMMYFUNCTION("""COMPUTED_VALUE"""),45909.6666666666)</f>
        <v/>
      </c>
      <c r="BP32" s="513">
        <f>IFERROR(__xludf.DUMMYFUNCTION("""COMPUTED_VALUE"""),91.55)</f>
        <v/>
      </c>
    </row>
    <row r="33">
      <c r="A33" s="512">
        <f>IFERROR(__xludf.DUMMYFUNCTION("""COMPUTED_VALUE"""),45910.6666666666)</f>
        <v/>
      </c>
      <c r="B33" s="513">
        <f>IFERROR(__xludf.DUMMYFUNCTION("""COMPUTED_VALUE"""),652.21)</f>
        <v/>
      </c>
      <c r="D33" s="512">
        <f>IFERROR(__xludf.DUMMYFUNCTION("""COMPUTED_VALUE"""),45910.6666666666)</f>
        <v/>
      </c>
      <c r="E33" s="513">
        <f>IFERROR(__xludf.DUMMYFUNCTION("""COMPUTED_VALUE"""),91.57)</f>
        <v/>
      </c>
      <c r="G33" s="512">
        <f>IFERROR(__xludf.DUMMYFUNCTION("""COMPUTED_VALUE"""),46094.6666666666)</f>
        <v/>
      </c>
      <c r="H33" s="513">
        <f>IFERROR(__xludf.DUMMYFUNCTION("""COMPUTED_VALUE"""),63.82)</f>
        <v/>
      </c>
      <c r="J33" s="512">
        <f>IFERROR(__xludf.DUMMYFUNCTION("""COMPUTED_VALUE"""),45910.6666666666)</f>
        <v/>
      </c>
      <c r="K33" s="513">
        <f>IFERROR(__xludf.DUMMYFUNCTION("""COMPUTED_VALUE"""),80.36)</f>
        <v/>
      </c>
      <c r="M33" s="512">
        <f>IFERROR(__xludf.DUMMYFUNCTION("""COMPUTED_VALUE"""),45910.6666666666)</f>
        <v/>
      </c>
      <c r="N33" s="513">
        <f>IFERROR(__xludf.DUMMYFUNCTION("""COMPUTED_VALUE"""),236.43)</f>
        <v/>
      </c>
      <c r="P33" s="512">
        <f>IFERROR(__xludf.DUMMYFUNCTION("""COMPUTED_VALUE"""),45910.6666666666)</f>
        <v/>
      </c>
      <c r="Q33" s="513">
        <f>IFERROR(__xludf.DUMMYFUNCTION("""COMPUTED_VALUE"""),78.78)</f>
        <v/>
      </c>
      <c r="S33" s="512">
        <f>IFERROR(__xludf.DUMMYFUNCTION("""COMPUTED_VALUE"""),45180.6666666666)</f>
        <v/>
      </c>
      <c r="T33" s="513">
        <f>IFERROR(__xludf.DUMMYFUNCTION("""COMPUTED_VALUE"""),179.36)</f>
        <v/>
      </c>
      <c r="V33" s="512">
        <f>IFERROR(__xludf.DUMMYFUNCTION("""COMPUTED_VALUE"""),45910.6666666666)</f>
        <v/>
      </c>
      <c r="W33" s="513">
        <f>IFERROR(__xludf.DUMMYFUNCTION("""COMPUTED_VALUE"""),22.39)</f>
        <v/>
      </c>
      <c r="Y33" s="512">
        <f>IFERROR(__xludf.DUMMYFUNCTION("""COMPUTED_VALUE"""),45910.6666666666)</f>
        <v/>
      </c>
      <c r="Z33" s="513">
        <f>IFERROR(__xludf.DUMMYFUNCTION("""COMPUTED_VALUE"""),74.5)</f>
        <v/>
      </c>
      <c r="AB33" s="512">
        <f>IFERROR(__xludf.DUMMYFUNCTION("""COMPUTED_VALUE"""),45910.6666666666)</f>
        <v/>
      </c>
      <c r="AC33" s="513">
        <f>IFERROR(__xludf.DUMMYFUNCTION("""COMPUTED_VALUE"""),52.92)</f>
        <v/>
      </c>
      <c r="AE33" s="512">
        <f>IFERROR(__xludf.DUMMYFUNCTION("""COMPUTED_VALUE"""),45910.6666666666)</f>
        <v/>
      </c>
      <c r="AF33" s="513">
        <f>IFERROR(__xludf.DUMMYFUNCTION("""COMPUTED_VALUE"""),95.18)</f>
        <v/>
      </c>
      <c r="AH33" s="512">
        <f>IFERROR(__xludf.DUMMYFUNCTION("""COMPUTED_VALUE"""),45910.6666666666)</f>
        <v/>
      </c>
      <c r="AI33" s="513">
        <f>IFERROR(__xludf.DUMMYFUNCTION("""COMPUTED_VALUE"""),23.06)</f>
        <v/>
      </c>
      <c r="AK33" s="512">
        <f>IFERROR(__xludf.DUMMYFUNCTION("""COMPUTED_VALUE"""),45910.6666666666)</f>
        <v/>
      </c>
      <c r="AL33" s="513">
        <f>IFERROR(__xludf.DUMMYFUNCTION("""COMPUTED_VALUE"""),80.84)</f>
        <v/>
      </c>
      <c r="AN33" s="512">
        <f>IFERROR(__xludf.DUMMYFUNCTION("""COMPUTED_VALUE"""),45910.6666666666)</f>
        <v/>
      </c>
      <c r="AO33" s="513">
        <f>IFERROR(__xludf.DUMMYFUNCTION("""COMPUTED_VALUE"""),111.64)</f>
        <v/>
      </c>
      <c r="AQ33" s="512">
        <f>IFERROR(__xludf.DUMMYFUNCTION("""COMPUTED_VALUE"""),45910.6666666666)</f>
        <v/>
      </c>
      <c r="AR33" s="513">
        <f>IFERROR(__xludf.DUMMYFUNCTION("""COMPUTED_VALUE"""),92.38)</f>
        <v/>
      </c>
      <c r="AT33" s="512">
        <f>IFERROR(__xludf.DUMMYFUNCTION("""COMPUTED_VALUE"""),45910.6666666666)</f>
        <v/>
      </c>
      <c r="AU33" s="513">
        <f>IFERROR(__xludf.DUMMYFUNCTION("""COMPUTED_VALUE"""),51.54)</f>
        <v/>
      </c>
      <c r="AW33" s="512">
        <f>IFERROR(__xludf.DUMMYFUNCTION("""COMPUTED_VALUE"""),45910.6666666666)</f>
        <v/>
      </c>
      <c r="AX33" s="513">
        <f>IFERROR(__xludf.DUMMYFUNCTION("""COMPUTED_VALUE"""),100.44)</f>
        <v/>
      </c>
      <c r="AZ33" s="512">
        <f>IFERROR(__xludf.DUMMYFUNCTION("""COMPUTED_VALUE"""),45910.6666666666)</f>
        <v/>
      </c>
      <c r="BA33" s="513">
        <f>IFERROR(__xludf.DUMMYFUNCTION("""COMPUTED_VALUE"""),111.69)</f>
        <v/>
      </c>
      <c r="BC33" s="512">
        <f>IFERROR(__xludf.DUMMYFUNCTION("""COMPUTED_VALUE"""),45910.6666666666)</f>
        <v/>
      </c>
      <c r="BD33" s="513">
        <f>IFERROR(__xludf.DUMMYFUNCTION("""COMPUTED_VALUE"""),97.11)</f>
        <v/>
      </c>
      <c r="BF33" s="512">
        <f>IFERROR(__xludf.DUMMYFUNCTION("""COMPUTED_VALUE"""),45910.6666666666)</f>
        <v/>
      </c>
      <c r="BG33" s="513">
        <f>IFERROR(__xludf.DUMMYFUNCTION("""COMPUTED_VALUE"""),82.91)</f>
        <v/>
      </c>
      <c r="BI33" s="512">
        <f>IFERROR(__xludf.DUMMYFUNCTION("""COMPUTED_VALUE"""),45910.6666666666)</f>
        <v/>
      </c>
      <c r="BJ33" s="513">
        <f>IFERROR(__xludf.DUMMYFUNCTION("""COMPUTED_VALUE"""),89.74)</f>
        <v/>
      </c>
      <c r="BL33" s="512">
        <f>IFERROR(__xludf.DUMMYFUNCTION("""COMPUTED_VALUE"""),45910.6666666666)</f>
        <v/>
      </c>
      <c r="BM33" s="513">
        <f>IFERROR(__xludf.DUMMYFUNCTION("""COMPUTED_VALUE"""),335.26)</f>
        <v/>
      </c>
      <c r="BO33" s="512">
        <f>IFERROR(__xludf.DUMMYFUNCTION("""COMPUTED_VALUE"""),45910.6666666666)</f>
        <v/>
      </c>
      <c r="BP33" s="513">
        <f>IFERROR(__xludf.DUMMYFUNCTION("""COMPUTED_VALUE"""),91.56)</f>
        <v/>
      </c>
    </row>
    <row r="34">
      <c r="A34" s="512">
        <f>IFERROR(__xludf.DUMMYFUNCTION("""COMPUTED_VALUE"""),45911.6666666666)</f>
        <v/>
      </c>
      <c r="B34" s="513">
        <f>IFERROR(__xludf.DUMMYFUNCTION("""COMPUTED_VALUE"""),657.63)</f>
        <v/>
      </c>
      <c r="D34" s="512">
        <f>IFERROR(__xludf.DUMMYFUNCTION("""COMPUTED_VALUE"""),45911.6666666666)</f>
        <v/>
      </c>
      <c r="E34" s="513">
        <f>IFERROR(__xludf.DUMMYFUNCTION("""COMPUTED_VALUE"""),93.24)</f>
        <v/>
      </c>
      <c r="G34" s="512">
        <f>IFERROR(__xludf.DUMMYFUNCTION("""COMPUTED_VALUE"""),46097.6666666666)</f>
        <v/>
      </c>
      <c r="H34" s="513">
        <f>IFERROR(__xludf.DUMMYFUNCTION("""COMPUTED_VALUE"""),65.19)</f>
        <v/>
      </c>
      <c r="J34" s="512">
        <f>IFERROR(__xludf.DUMMYFUNCTION("""COMPUTED_VALUE"""),45911.6666666666)</f>
        <v/>
      </c>
      <c r="K34" s="513">
        <f>IFERROR(__xludf.DUMMYFUNCTION("""COMPUTED_VALUE"""),81.32)</f>
        <v/>
      </c>
      <c r="M34" s="512">
        <f>IFERROR(__xludf.DUMMYFUNCTION("""COMPUTED_VALUE"""),45911.6666666666)</f>
        <v/>
      </c>
      <c r="N34" s="513">
        <f>IFERROR(__xludf.DUMMYFUNCTION("""COMPUTED_VALUE"""),240.8)</f>
        <v/>
      </c>
      <c r="P34" s="512">
        <f>IFERROR(__xludf.DUMMYFUNCTION("""COMPUTED_VALUE"""),45911.6666666666)</f>
        <v/>
      </c>
      <c r="Q34" s="513">
        <f>IFERROR(__xludf.DUMMYFUNCTION("""COMPUTED_VALUE"""),79.63)</f>
        <v/>
      </c>
      <c r="S34" s="512">
        <f>IFERROR(__xludf.DUMMYFUNCTION("""COMPUTED_VALUE"""),45181.6666666666)</f>
        <v/>
      </c>
      <c r="T34" s="513">
        <f>IFERROR(__xludf.DUMMYFUNCTION("""COMPUTED_VALUE"""),176.3)</f>
        <v/>
      </c>
      <c r="V34" s="512">
        <f>IFERROR(__xludf.DUMMYFUNCTION("""COMPUTED_VALUE"""),45911.6666666666)</f>
        <v/>
      </c>
      <c r="W34" s="513">
        <f>IFERROR(__xludf.DUMMYFUNCTION("""COMPUTED_VALUE"""),22.22)</f>
        <v/>
      </c>
      <c r="Y34" s="512">
        <f>IFERROR(__xludf.DUMMYFUNCTION("""COMPUTED_VALUE"""),45911.6666666666)</f>
        <v/>
      </c>
      <c r="Z34" s="513">
        <f>IFERROR(__xludf.DUMMYFUNCTION("""COMPUTED_VALUE"""),74.66)</f>
        <v/>
      </c>
      <c r="AB34" s="512">
        <f>IFERROR(__xludf.DUMMYFUNCTION("""COMPUTED_VALUE"""),45911.6666666666)</f>
        <v/>
      </c>
      <c r="AC34" s="513">
        <f>IFERROR(__xludf.DUMMYFUNCTION("""COMPUTED_VALUE"""),53.58)</f>
        <v/>
      </c>
      <c r="AE34" s="512">
        <f>IFERROR(__xludf.DUMMYFUNCTION("""COMPUTED_VALUE"""),45911.6666666666)</f>
        <v/>
      </c>
      <c r="AF34" s="513">
        <f>IFERROR(__xludf.DUMMYFUNCTION("""COMPUTED_VALUE"""),95.53)</f>
        <v/>
      </c>
      <c r="AH34" s="512">
        <f>IFERROR(__xludf.DUMMYFUNCTION("""COMPUTED_VALUE"""),45911.6666666666)</f>
        <v/>
      </c>
      <c r="AI34" s="513">
        <f>IFERROR(__xludf.DUMMYFUNCTION("""COMPUTED_VALUE"""),23.14)</f>
        <v/>
      </c>
      <c r="AK34" s="512">
        <f>IFERROR(__xludf.DUMMYFUNCTION("""COMPUTED_VALUE"""),45911.6666666666)</f>
        <v/>
      </c>
      <c r="AL34" s="513">
        <f>IFERROR(__xludf.DUMMYFUNCTION("""COMPUTED_VALUE"""),81.04)</f>
        <v/>
      </c>
      <c r="AN34" s="512">
        <f>IFERROR(__xludf.DUMMYFUNCTION("""COMPUTED_VALUE"""),45911.6666666666)</f>
        <v/>
      </c>
      <c r="AO34" s="513">
        <f>IFERROR(__xludf.DUMMYFUNCTION("""COMPUTED_VALUE"""),111.82)</f>
        <v/>
      </c>
      <c r="AQ34" s="512">
        <f>IFERROR(__xludf.DUMMYFUNCTION("""COMPUTED_VALUE"""),45911.6666666666)</f>
        <v/>
      </c>
      <c r="AR34" s="513">
        <f>IFERROR(__xludf.DUMMYFUNCTION("""COMPUTED_VALUE"""),93.36)</f>
        <v/>
      </c>
      <c r="AT34" s="512">
        <f>IFERROR(__xludf.DUMMYFUNCTION("""COMPUTED_VALUE"""),45911.6666666666)</f>
        <v/>
      </c>
      <c r="AU34" s="513">
        <f>IFERROR(__xludf.DUMMYFUNCTION("""COMPUTED_VALUE"""),52.29)</f>
        <v/>
      </c>
      <c r="AW34" s="512">
        <f>IFERROR(__xludf.DUMMYFUNCTION("""COMPUTED_VALUE"""),45911.6666666666)</f>
        <v/>
      </c>
      <c r="AX34" s="513">
        <f>IFERROR(__xludf.DUMMYFUNCTION("""COMPUTED_VALUE"""),100.63)</f>
        <v/>
      </c>
      <c r="AZ34" s="512">
        <f>IFERROR(__xludf.DUMMYFUNCTION("""COMPUTED_VALUE"""),45911.6666666666)</f>
        <v/>
      </c>
      <c r="BA34" s="513">
        <f>IFERROR(__xludf.DUMMYFUNCTION("""COMPUTED_VALUE"""),112.21)</f>
        <v/>
      </c>
      <c r="BC34" s="512">
        <f>IFERROR(__xludf.DUMMYFUNCTION("""COMPUTED_VALUE"""),45911.6666666666)</f>
        <v/>
      </c>
      <c r="BD34" s="513">
        <f>IFERROR(__xludf.DUMMYFUNCTION("""COMPUTED_VALUE"""),97.26)</f>
        <v/>
      </c>
      <c r="BF34" s="512">
        <f>IFERROR(__xludf.DUMMYFUNCTION("""COMPUTED_VALUE"""),45911.6666666666)</f>
        <v/>
      </c>
      <c r="BG34" s="513">
        <f>IFERROR(__xludf.DUMMYFUNCTION("""COMPUTED_VALUE"""),82.94)</f>
        <v/>
      </c>
      <c r="BI34" s="512">
        <f>IFERROR(__xludf.DUMMYFUNCTION("""COMPUTED_VALUE"""),45911.6666666666)</f>
        <v/>
      </c>
      <c r="BJ34" s="513">
        <f>IFERROR(__xludf.DUMMYFUNCTION("""COMPUTED_VALUE"""),90.34)</f>
        <v/>
      </c>
      <c r="BL34" s="512">
        <f>IFERROR(__xludf.DUMMYFUNCTION("""COMPUTED_VALUE"""),45911.6666666666)</f>
        <v/>
      </c>
      <c r="BM34" s="513">
        <f>IFERROR(__xludf.DUMMYFUNCTION("""COMPUTED_VALUE"""),334.76)</f>
        <v/>
      </c>
      <c r="BO34" s="512">
        <f>IFERROR(__xludf.DUMMYFUNCTION("""COMPUTED_VALUE"""),45911.6666666666)</f>
        <v/>
      </c>
      <c r="BP34" s="513">
        <f>IFERROR(__xludf.DUMMYFUNCTION("""COMPUTED_VALUE"""),91.57)</f>
        <v/>
      </c>
    </row>
    <row r="35">
      <c r="A35" s="512">
        <f>IFERROR(__xludf.DUMMYFUNCTION("""COMPUTED_VALUE"""),45912.6666666666)</f>
        <v/>
      </c>
      <c r="B35" s="513">
        <f>IFERROR(__xludf.DUMMYFUNCTION("""COMPUTED_VALUE"""),657.41)</f>
        <v/>
      </c>
      <c r="D35" s="512">
        <f>IFERROR(__xludf.DUMMYFUNCTION("""COMPUTED_VALUE"""),45912.6666666666)</f>
        <v/>
      </c>
      <c r="E35" s="513">
        <f>IFERROR(__xludf.DUMMYFUNCTION("""COMPUTED_VALUE"""),92.81)</f>
        <v/>
      </c>
      <c r="G35" s="512">
        <f>IFERROR(__xludf.DUMMYFUNCTION("""COMPUTED_VALUE"""),46098.6666666666)</f>
        <v/>
      </c>
      <c r="H35" s="513">
        <f>IFERROR(__xludf.DUMMYFUNCTION("""COMPUTED_VALUE"""),65.41)</f>
        <v/>
      </c>
      <c r="J35" s="512">
        <f>IFERROR(__xludf.DUMMYFUNCTION("""COMPUTED_VALUE"""),45912.6666666666)</f>
        <v/>
      </c>
      <c r="K35" s="513">
        <f>IFERROR(__xludf.DUMMYFUNCTION("""COMPUTED_VALUE"""),80.76)</f>
        <v/>
      </c>
      <c r="M35" s="512">
        <f>IFERROR(__xludf.DUMMYFUNCTION("""COMPUTED_VALUE"""),45912.6666666666)</f>
        <v/>
      </c>
      <c r="N35" s="513">
        <f>IFERROR(__xludf.DUMMYFUNCTION("""COMPUTED_VALUE"""),238.34)</f>
        <v/>
      </c>
      <c r="P35" s="512">
        <f>IFERROR(__xludf.DUMMYFUNCTION("""COMPUTED_VALUE"""),45912.6666666666)</f>
        <v/>
      </c>
      <c r="Q35" s="513">
        <f>IFERROR(__xludf.DUMMYFUNCTION("""COMPUTED_VALUE"""),79.36)</f>
        <v/>
      </c>
      <c r="S35" s="512">
        <f>IFERROR(__xludf.DUMMYFUNCTION("""COMPUTED_VALUE"""),45182.6666666666)</f>
        <v/>
      </c>
      <c r="T35" s="513">
        <f>IFERROR(__xludf.DUMMYFUNCTION("""COMPUTED_VALUE"""),174.21)</f>
        <v/>
      </c>
      <c r="V35" s="512">
        <f>IFERROR(__xludf.DUMMYFUNCTION("""COMPUTED_VALUE"""),45912.6666666666)</f>
        <v/>
      </c>
      <c r="W35" s="513">
        <f>IFERROR(__xludf.DUMMYFUNCTION("""COMPUTED_VALUE"""),22.35)</f>
        <v/>
      </c>
      <c r="Y35" s="512">
        <f>IFERROR(__xludf.DUMMYFUNCTION("""COMPUTED_VALUE"""),45912.6666666666)</f>
        <v/>
      </c>
      <c r="Z35" s="513">
        <f>IFERROR(__xludf.DUMMYFUNCTION("""COMPUTED_VALUE"""),74.57)</f>
        <v/>
      </c>
      <c r="AB35" s="512">
        <f>IFERROR(__xludf.DUMMYFUNCTION("""COMPUTED_VALUE"""),45912.6666666666)</f>
        <v/>
      </c>
      <c r="AC35" s="513">
        <f>IFERROR(__xludf.DUMMYFUNCTION("""COMPUTED_VALUE"""),53.48)</f>
        <v/>
      </c>
      <c r="AE35" s="512">
        <f>IFERROR(__xludf.DUMMYFUNCTION("""COMPUTED_VALUE"""),45912.6666666666)</f>
        <v/>
      </c>
      <c r="AF35" s="513">
        <f>IFERROR(__xludf.DUMMYFUNCTION("""COMPUTED_VALUE"""),95.25)</f>
        <v/>
      </c>
      <c r="AH35" s="512">
        <f>IFERROR(__xludf.DUMMYFUNCTION("""COMPUTED_VALUE"""),45912.6666666666)</f>
        <v/>
      </c>
      <c r="AI35" s="513">
        <f>IFERROR(__xludf.DUMMYFUNCTION("""COMPUTED_VALUE"""),23.06)</f>
        <v/>
      </c>
      <c r="AK35" s="512">
        <f>IFERROR(__xludf.DUMMYFUNCTION("""COMPUTED_VALUE"""),45912.6666666666)</f>
        <v/>
      </c>
      <c r="AL35" s="513">
        <f>IFERROR(__xludf.DUMMYFUNCTION("""COMPUTED_VALUE"""),80.96)</f>
        <v/>
      </c>
      <c r="AN35" s="512">
        <f>IFERROR(__xludf.DUMMYFUNCTION("""COMPUTED_VALUE"""),45912.6666666666)</f>
        <v/>
      </c>
      <c r="AO35" s="513">
        <f>IFERROR(__xludf.DUMMYFUNCTION("""COMPUTED_VALUE"""),111.67)</f>
        <v/>
      </c>
      <c r="AQ35" s="512">
        <f>IFERROR(__xludf.DUMMYFUNCTION("""COMPUTED_VALUE"""),45912.6666666666)</f>
        <v/>
      </c>
      <c r="AR35" s="513">
        <f>IFERROR(__xludf.DUMMYFUNCTION("""COMPUTED_VALUE"""),92.99)</f>
        <v/>
      </c>
      <c r="AT35" s="512">
        <f>IFERROR(__xludf.DUMMYFUNCTION("""COMPUTED_VALUE"""),45912.6666666666)</f>
        <v/>
      </c>
      <c r="AU35" s="513">
        <f>IFERROR(__xludf.DUMMYFUNCTION("""COMPUTED_VALUE"""),52.26)</f>
        <v/>
      </c>
      <c r="AW35" s="512">
        <f>IFERROR(__xludf.DUMMYFUNCTION("""COMPUTED_VALUE"""),45912.6666666666)</f>
        <v/>
      </c>
      <c r="AX35" s="513">
        <f>IFERROR(__xludf.DUMMYFUNCTION("""COMPUTED_VALUE"""),100.54)</f>
        <v/>
      </c>
      <c r="AZ35" s="512">
        <f>IFERROR(__xludf.DUMMYFUNCTION("""COMPUTED_VALUE"""),45912.6666666666)</f>
        <v/>
      </c>
      <c r="BA35" s="513">
        <f>IFERROR(__xludf.DUMMYFUNCTION("""COMPUTED_VALUE"""),112.01)</f>
        <v/>
      </c>
      <c r="BC35" s="512">
        <f>IFERROR(__xludf.DUMMYFUNCTION("""COMPUTED_VALUE"""),45912.6666666666)</f>
        <v/>
      </c>
      <c r="BD35" s="513">
        <f>IFERROR(__xludf.DUMMYFUNCTION("""COMPUTED_VALUE"""),96.98)</f>
        <v/>
      </c>
      <c r="BF35" s="512">
        <f>IFERROR(__xludf.DUMMYFUNCTION("""COMPUTED_VALUE"""),45912.6666666666)</f>
        <v/>
      </c>
      <c r="BG35" s="513">
        <f>IFERROR(__xludf.DUMMYFUNCTION("""COMPUTED_VALUE"""),82.93)</f>
        <v/>
      </c>
      <c r="BI35" s="512">
        <f>IFERROR(__xludf.DUMMYFUNCTION("""COMPUTED_VALUE"""),45912.6666666666)</f>
        <v/>
      </c>
      <c r="BJ35" s="513">
        <f>IFERROR(__xludf.DUMMYFUNCTION("""COMPUTED_VALUE"""),89.95)</f>
        <v/>
      </c>
      <c r="BL35" s="512">
        <f>IFERROR(__xludf.DUMMYFUNCTION("""COMPUTED_VALUE"""),45912.6666666666)</f>
        <v/>
      </c>
      <c r="BM35" s="513">
        <f>IFERROR(__xludf.DUMMYFUNCTION("""COMPUTED_VALUE"""),335.42)</f>
        <v/>
      </c>
      <c r="BO35" s="512">
        <f>IFERROR(__xludf.DUMMYFUNCTION("""COMPUTED_VALUE"""),45912.6666666666)</f>
        <v/>
      </c>
      <c r="BP35" s="513">
        <f>IFERROR(__xludf.DUMMYFUNCTION("""COMPUTED_VALUE"""),91.6)</f>
        <v/>
      </c>
    </row>
    <row r="36">
      <c r="A36" s="512">
        <f>IFERROR(__xludf.DUMMYFUNCTION("""COMPUTED_VALUE"""),45915.6666666666)</f>
        <v/>
      </c>
      <c r="B36" s="513">
        <f>IFERROR(__xludf.DUMMYFUNCTION("""COMPUTED_VALUE"""),660.91)</f>
        <v/>
      </c>
      <c r="D36" s="512">
        <f>IFERROR(__xludf.DUMMYFUNCTION("""COMPUTED_VALUE"""),45915.6666666666)</f>
        <v/>
      </c>
      <c r="E36" s="513">
        <f>IFERROR(__xludf.DUMMYFUNCTION("""COMPUTED_VALUE"""),92.66)</f>
        <v/>
      </c>
      <c r="G36" s="512">
        <f>IFERROR(__xludf.DUMMYFUNCTION("""COMPUTED_VALUE"""),46099.6666666666)</f>
        <v/>
      </c>
      <c r="H36" s="513">
        <f>IFERROR(__xludf.DUMMYFUNCTION("""COMPUTED_VALUE"""),64.28)</f>
        <v/>
      </c>
      <c r="J36" s="512">
        <f>IFERROR(__xludf.DUMMYFUNCTION("""COMPUTED_VALUE"""),45915.6666666666)</f>
        <v/>
      </c>
      <c r="K36" s="513">
        <f>IFERROR(__xludf.DUMMYFUNCTION("""COMPUTED_VALUE"""),81.35)</f>
        <v/>
      </c>
      <c r="M36" s="512">
        <f>IFERROR(__xludf.DUMMYFUNCTION("""COMPUTED_VALUE"""),45915.6666666666)</f>
        <v/>
      </c>
      <c r="N36" s="513">
        <f>IFERROR(__xludf.DUMMYFUNCTION("""COMPUTED_VALUE"""),239.35)</f>
        <v/>
      </c>
      <c r="P36" s="512">
        <f>IFERROR(__xludf.DUMMYFUNCTION("""COMPUTED_VALUE"""),45915.6666666666)</f>
        <v/>
      </c>
      <c r="Q36" s="513">
        <f>IFERROR(__xludf.DUMMYFUNCTION("""COMPUTED_VALUE"""),79.95)</f>
        <v/>
      </c>
      <c r="S36" s="512">
        <f>IFERROR(__xludf.DUMMYFUNCTION("""COMPUTED_VALUE"""),45183.6666666666)</f>
        <v/>
      </c>
      <c r="T36" s="513">
        <f>IFERROR(__xludf.DUMMYFUNCTION("""COMPUTED_VALUE"""),175.74)</f>
        <v/>
      </c>
      <c r="V36" s="512">
        <f>IFERROR(__xludf.DUMMYFUNCTION("""COMPUTED_VALUE"""),45915.6666666666)</f>
        <v/>
      </c>
      <c r="W36" s="513">
        <f>IFERROR(__xludf.DUMMYFUNCTION("""COMPUTED_VALUE"""),22.55)</f>
        <v/>
      </c>
      <c r="Y36" s="512">
        <f>IFERROR(__xludf.DUMMYFUNCTION("""COMPUTED_VALUE"""),45915.6666666666)</f>
        <v/>
      </c>
      <c r="Z36" s="513">
        <f>IFERROR(__xludf.DUMMYFUNCTION("""COMPUTED_VALUE"""),74.71)</f>
        <v/>
      </c>
      <c r="AB36" s="512">
        <f>IFERROR(__xludf.DUMMYFUNCTION("""COMPUTED_VALUE"""),45915.6666666666)</f>
        <v/>
      </c>
      <c r="AC36" s="513">
        <f>IFERROR(__xludf.DUMMYFUNCTION("""COMPUTED_VALUE"""),53.84)</f>
        <v/>
      </c>
      <c r="AE36" s="512">
        <f>IFERROR(__xludf.DUMMYFUNCTION("""COMPUTED_VALUE"""),45915.6666666666)</f>
        <v/>
      </c>
      <c r="AF36" s="513">
        <f>IFERROR(__xludf.DUMMYFUNCTION("""COMPUTED_VALUE"""),95.59)</f>
        <v/>
      </c>
      <c r="AH36" s="512">
        <f>IFERROR(__xludf.DUMMYFUNCTION("""COMPUTED_VALUE"""),45915.6666666666)</f>
        <v/>
      </c>
      <c r="AI36" s="513">
        <f>IFERROR(__xludf.DUMMYFUNCTION("""COMPUTED_VALUE"""),23.16)</f>
        <v/>
      </c>
      <c r="AK36" s="512">
        <f>IFERROR(__xludf.DUMMYFUNCTION("""COMPUTED_VALUE"""),45915.6666666666)</f>
        <v/>
      </c>
      <c r="AL36" s="513">
        <f>IFERROR(__xludf.DUMMYFUNCTION("""COMPUTED_VALUE"""),81.19)</f>
        <v/>
      </c>
      <c r="AN36" s="512">
        <f>IFERROR(__xludf.DUMMYFUNCTION("""COMPUTED_VALUE"""),45915.6666666666)</f>
        <v/>
      </c>
      <c r="AO36" s="513">
        <f>IFERROR(__xludf.DUMMYFUNCTION("""COMPUTED_VALUE"""),111.78)</f>
        <v/>
      </c>
      <c r="AQ36" s="512">
        <f>IFERROR(__xludf.DUMMYFUNCTION("""COMPUTED_VALUE"""),45915.6666666666)</f>
        <v/>
      </c>
      <c r="AR36" s="513">
        <f>IFERROR(__xludf.DUMMYFUNCTION("""COMPUTED_VALUE"""),93.61)</f>
        <v/>
      </c>
      <c r="AT36" s="512">
        <f>IFERROR(__xludf.DUMMYFUNCTION("""COMPUTED_VALUE"""),45915.6666666666)</f>
        <v/>
      </c>
      <c r="AU36" s="513">
        <f>IFERROR(__xludf.DUMMYFUNCTION("""COMPUTED_VALUE"""),52.64)</f>
        <v/>
      </c>
      <c r="AW36" s="512">
        <f>IFERROR(__xludf.DUMMYFUNCTION("""COMPUTED_VALUE"""),45915.6666666666)</f>
        <v/>
      </c>
      <c r="AX36" s="513">
        <f>IFERROR(__xludf.DUMMYFUNCTION("""COMPUTED_VALUE"""),100.71)</f>
        <v/>
      </c>
      <c r="AZ36" s="512">
        <f>IFERROR(__xludf.DUMMYFUNCTION("""COMPUTED_VALUE"""),45915.6666666666)</f>
        <v/>
      </c>
      <c r="BA36" s="513">
        <f>IFERROR(__xludf.DUMMYFUNCTION("""COMPUTED_VALUE"""),112.36)</f>
        <v/>
      </c>
      <c r="BC36" s="512">
        <f>IFERROR(__xludf.DUMMYFUNCTION("""COMPUTED_VALUE"""),45915.6666666666)</f>
        <v/>
      </c>
      <c r="BD36" s="513">
        <f>IFERROR(__xludf.DUMMYFUNCTION("""COMPUTED_VALUE"""),97.14)</f>
        <v/>
      </c>
      <c r="BF36" s="512">
        <f>IFERROR(__xludf.DUMMYFUNCTION("""COMPUTED_VALUE"""),45915.6666666666)</f>
        <v/>
      </c>
      <c r="BG36" s="513">
        <f>IFERROR(__xludf.DUMMYFUNCTION("""COMPUTED_VALUE"""),82.96)</f>
        <v/>
      </c>
      <c r="BI36" s="512">
        <f>IFERROR(__xludf.DUMMYFUNCTION("""COMPUTED_VALUE"""),45915.6666666666)</f>
        <v/>
      </c>
      <c r="BJ36" s="513">
        <f>IFERROR(__xludf.DUMMYFUNCTION("""COMPUTED_VALUE"""),90.16)</f>
        <v/>
      </c>
      <c r="BL36" s="512">
        <f>IFERROR(__xludf.DUMMYFUNCTION("""COMPUTED_VALUE"""),45915.6666666666)</f>
        <v/>
      </c>
      <c r="BM36" s="513">
        <f>IFERROR(__xludf.DUMMYFUNCTION("""COMPUTED_VALUE"""),338.91)</f>
        <v/>
      </c>
      <c r="BO36" s="512">
        <f>IFERROR(__xludf.DUMMYFUNCTION("""COMPUTED_VALUE"""),45915.6666666666)</f>
        <v/>
      </c>
      <c r="BP36" s="513">
        <f>IFERROR(__xludf.DUMMYFUNCTION("""COMPUTED_VALUE"""),91.61)</f>
        <v/>
      </c>
    </row>
    <row r="37">
      <c r="A37" s="512">
        <f>IFERROR(__xludf.DUMMYFUNCTION("""COMPUTED_VALUE"""),45916.6666666666)</f>
        <v/>
      </c>
      <c r="B37" s="513">
        <f>IFERROR(__xludf.DUMMYFUNCTION("""COMPUTED_VALUE"""),660)</f>
        <v/>
      </c>
      <c r="D37" s="512">
        <f>IFERROR(__xludf.DUMMYFUNCTION("""COMPUTED_VALUE"""),45916.6666666666)</f>
        <v/>
      </c>
      <c r="E37" s="513">
        <f>IFERROR(__xludf.DUMMYFUNCTION("""COMPUTED_VALUE"""),92.17)</f>
        <v/>
      </c>
      <c r="G37" s="512">
        <f>IFERROR(__xludf.DUMMYFUNCTION("""COMPUTED_VALUE"""),46100.6666666666)</f>
        <v/>
      </c>
      <c r="H37" s="513">
        <f>IFERROR(__xludf.DUMMYFUNCTION("""COMPUTED_VALUE"""),64.16)</f>
        <v/>
      </c>
      <c r="J37" s="512">
        <f>IFERROR(__xludf.DUMMYFUNCTION("""COMPUTED_VALUE"""),45916.6666666666)</f>
        <v/>
      </c>
      <c r="K37" s="513">
        <f>IFERROR(__xludf.DUMMYFUNCTION("""COMPUTED_VALUE"""),81.35)</f>
        <v/>
      </c>
      <c r="M37" s="512">
        <f>IFERROR(__xludf.DUMMYFUNCTION("""COMPUTED_VALUE"""),45916.6666666666)</f>
        <v/>
      </c>
      <c r="N37" s="513">
        <f>IFERROR(__xludf.DUMMYFUNCTION("""COMPUTED_VALUE"""),238.28)</f>
        <v/>
      </c>
      <c r="P37" s="512">
        <f>IFERROR(__xludf.DUMMYFUNCTION("""COMPUTED_VALUE"""),45916.6666666666)</f>
        <v/>
      </c>
      <c r="Q37" s="513">
        <f>IFERROR(__xludf.DUMMYFUNCTION("""COMPUTED_VALUE"""),79.7)</f>
        <v/>
      </c>
      <c r="S37" s="512">
        <f>IFERROR(__xludf.DUMMYFUNCTION("""COMPUTED_VALUE"""),45184.6666666666)</f>
        <v/>
      </c>
      <c r="T37" s="513">
        <f>IFERROR(__xludf.DUMMYFUNCTION("""COMPUTED_VALUE"""),175.01)</f>
        <v/>
      </c>
      <c r="V37" s="512">
        <f>IFERROR(__xludf.DUMMYFUNCTION("""COMPUTED_VALUE"""),45916.6666666666)</f>
        <v/>
      </c>
      <c r="W37" s="513">
        <f>IFERROR(__xludf.DUMMYFUNCTION("""COMPUTED_VALUE"""),22.78)</f>
        <v/>
      </c>
      <c r="Y37" s="512">
        <f>IFERROR(__xludf.DUMMYFUNCTION("""COMPUTED_VALUE"""),45916.6666666666)</f>
        <v/>
      </c>
      <c r="Z37" s="513">
        <f>IFERROR(__xludf.DUMMYFUNCTION("""COMPUTED_VALUE"""),74.72)</f>
        <v/>
      </c>
      <c r="AB37" s="512">
        <f>IFERROR(__xludf.DUMMYFUNCTION("""COMPUTED_VALUE"""),45916.6666666666)</f>
        <v/>
      </c>
      <c r="AC37" s="513">
        <f>IFERROR(__xludf.DUMMYFUNCTION("""COMPUTED_VALUE"""),54.18)</f>
        <v/>
      </c>
      <c r="AE37" s="512">
        <f>IFERROR(__xludf.DUMMYFUNCTION("""COMPUTED_VALUE"""),45916.6666666666)</f>
        <v/>
      </c>
      <c r="AF37" s="513">
        <f>IFERROR(__xludf.DUMMYFUNCTION("""COMPUTED_VALUE"""),95.53)</f>
        <v/>
      </c>
      <c r="AH37" s="512">
        <f>IFERROR(__xludf.DUMMYFUNCTION("""COMPUTED_VALUE"""),45916.6666666666)</f>
        <v/>
      </c>
      <c r="AI37" s="513">
        <f>IFERROR(__xludf.DUMMYFUNCTION("""COMPUTED_VALUE"""),23.27)</f>
        <v/>
      </c>
      <c r="AK37" s="512">
        <f>IFERROR(__xludf.DUMMYFUNCTION("""COMPUTED_VALUE"""),45916.6666666666)</f>
        <v/>
      </c>
      <c r="AL37" s="513">
        <f>IFERROR(__xludf.DUMMYFUNCTION("""COMPUTED_VALUE"""),81.13)</f>
        <v/>
      </c>
      <c r="AN37" s="512">
        <f>IFERROR(__xludf.DUMMYFUNCTION("""COMPUTED_VALUE"""),45916.6666666666)</f>
        <v/>
      </c>
      <c r="AO37" s="513">
        <f>IFERROR(__xludf.DUMMYFUNCTION("""COMPUTED_VALUE"""),111.88)</f>
        <v/>
      </c>
      <c r="AQ37" s="512">
        <f>IFERROR(__xludf.DUMMYFUNCTION("""COMPUTED_VALUE"""),45916.6666666666)</f>
        <v/>
      </c>
      <c r="AR37" s="513">
        <f>IFERROR(__xludf.DUMMYFUNCTION("""COMPUTED_VALUE"""),93.35)</f>
        <v/>
      </c>
      <c r="AT37" s="512">
        <f>IFERROR(__xludf.DUMMYFUNCTION("""COMPUTED_VALUE"""),45916.6666666666)</f>
        <v/>
      </c>
      <c r="AU37" s="513">
        <f>IFERROR(__xludf.DUMMYFUNCTION("""COMPUTED_VALUE"""),53.03)</f>
        <v/>
      </c>
      <c r="AW37" s="512">
        <f>IFERROR(__xludf.DUMMYFUNCTION("""COMPUTED_VALUE"""),45916.6666666666)</f>
        <v/>
      </c>
      <c r="AX37" s="513">
        <f>IFERROR(__xludf.DUMMYFUNCTION("""COMPUTED_VALUE"""),100.75)</f>
        <v/>
      </c>
      <c r="AZ37" s="512">
        <f>IFERROR(__xludf.DUMMYFUNCTION("""COMPUTED_VALUE"""),45916.6666666666)</f>
        <v/>
      </c>
      <c r="BA37" s="513">
        <f>IFERROR(__xludf.DUMMYFUNCTION("""COMPUTED_VALUE"""),112.26)</f>
        <v/>
      </c>
      <c r="BC37" s="512">
        <f>IFERROR(__xludf.DUMMYFUNCTION("""COMPUTED_VALUE"""),45916.6666666666)</f>
        <v/>
      </c>
      <c r="BD37" s="513">
        <f>IFERROR(__xludf.DUMMYFUNCTION("""COMPUTED_VALUE"""),97.2)</f>
        <v/>
      </c>
      <c r="BF37" s="512">
        <f>IFERROR(__xludf.DUMMYFUNCTION("""COMPUTED_VALUE"""),45916.6666666666)</f>
        <v/>
      </c>
      <c r="BG37" s="513">
        <f>IFERROR(__xludf.DUMMYFUNCTION("""COMPUTED_VALUE"""),83)</f>
        <v/>
      </c>
      <c r="BI37" s="512">
        <f>IFERROR(__xludf.DUMMYFUNCTION("""COMPUTED_VALUE"""),45916.6666666666)</f>
        <v/>
      </c>
      <c r="BJ37" s="513">
        <f>IFERROR(__xludf.DUMMYFUNCTION("""COMPUTED_VALUE"""),90.35)</f>
        <v/>
      </c>
      <c r="BL37" s="512">
        <f>IFERROR(__xludf.DUMMYFUNCTION("""COMPUTED_VALUE"""),45916.6666666666)</f>
        <v/>
      </c>
      <c r="BM37" s="513">
        <f>IFERROR(__xludf.DUMMYFUNCTION("""COMPUTED_VALUE"""),339.59)</f>
        <v/>
      </c>
      <c r="BO37" s="512">
        <f>IFERROR(__xludf.DUMMYFUNCTION("""COMPUTED_VALUE"""),45916.6666666666)</f>
        <v/>
      </c>
      <c r="BP37" s="513">
        <f>IFERROR(__xludf.DUMMYFUNCTION("""COMPUTED_VALUE"""),91.62)</f>
        <v/>
      </c>
    </row>
    <row r="38">
      <c r="A38" s="512">
        <f>IFERROR(__xludf.DUMMYFUNCTION("""COMPUTED_VALUE"""),45917.6666666666)</f>
        <v/>
      </c>
      <c r="B38" s="513">
        <f>IFERROR(__xludf.DUMMYFUNCTION("""COMPUTED_VALUE"""),659.18)</f>
        <v/>
      </c>
      <c r="D38" s="512">
        <f>IFERROR(__xludf.DUMMYFUNCTION("""COMPUTED_VALUE"""),45917.6666666666)</f>
        <v/>
      </c>
      <c r="E38" s="513">
        <f>IFERROR(__xludf.DUMMYFUNCTION("""COMPUTED_VALUE"""),92.05)</f>
        <v/>
      </c>
      <c r="G38" s="512">
        <f>IFERROR(__xludf.DUMMYFUNCTION("""COMPUTED_VALUE"""),46101.6666666666)</f>
        <v/>
      </c>
      <c r="H38" s="513">
        <f>IFERROR(__xludf.DUMMYFUNCTION("""COMPUTED_VALUE"""),62.04)</f>
        <v/>
      </c>
      <c r="J38" s="512">
        <f>IFERROR(__xludf.DUMMYFUNCTION("""COMPUTED_VALUE"""),45917.6666666666)</f>
        <v/>
      </c>
      <c r="K38" s="513">
        <f>IFERROR(__xludf.DUMMYFUNCTION("""COMPUTED_VALUE"""),81.17)</f>
        <v/>
      </c>
      <c r="M38" s="512">
        <f>IFERROR(__xludf.DUMMYFUNCTION("""COMPUTED_VALUE"""),45917.6666666666)</f>
        <v/>
      </c>
      <c r="N38" s="513">
        <f>IFERROR(__xludf.DUMMYFUNCTION("""COMPUTED_VALUE"""),238.89)</f>
        <v/>
      </c>
      <c r="P38" s="512">
        <f>IFERROR(__xludf.DUMMYFUNCTION("""COMPUTED_VALUE"""),45917.6666666666)</f>
        <v/>
      </c>
      <c r="Q38" s="513">
        <f>IFERROR(__xludf.DUMMYFUNCTION("""COMPUTED_VALUE"""),79.39)</f>
        <v/>
      </c>
      <c r="S38" s="512">
        <f>IFERROR(__xludf.DUMMYFUNCTION("""COMPUTED_VALUE"""),45187.6666666666)</f>
        <v/>
      </c>
      <c r="T38" s="513">
        <f>IFERROR(__xludf.DUMMYFUNCTION("""COMPUTED_VALUE"""),177.97)</f>
        <v/>
      </c>
      <c r="V38" s="512">
        <f>IFERROR(__xludf.DUMMYFUNCTION("""COMPUTED_VALUE"""),45917.6666666666)</f>
        <v/>
      </c>
      <c r="W38" s="513">
        <f>IFERROR(__xludf.DUMMYFUNCTION("""COMPUTED_VALUE"""),22.54)</f>
        <v/>
      </c>
      <c r="Y38" s="512">
        <f>IFERROR(__xludf.DUMMYFUNCTION("""COMPUTED_VALUE"""),45917.6666666666)</f>
        <v/>
      </c>
      <c r="Z38" s="513">
        <f>IFERROR(__xludf.DUMMYFUNCTION("""COMPUTED_VALUE"""),74.59)</f>
        <v/>
      </c>
      <c r="AB38" s="512">
        <f>IFERROR(__xludf.DUMMYFUNCTION("""COMPUTED_VALUE"""),45917.6666666666)</f>
        <v/>
      </c>
      <c r="AC38" s="513">
        <f>IFERROR(__xludf.DUMMYFUNCTION("""COMPUTED_VALUE"""),54.52)</f>
        <v/>
      </c>
      <c r="AE38" s="512">
        <f>IFERROR(__xludf.DUMMYFUNCTION("""COMPUTED_VALUE"""),45917.6666666666)</f>
        <v/>
      </c>
      <c r="AF38" s="513">
        <f>IFERROR(__xludf.DUMMYFUNCTION("""COMPUTED_VALUE"""),95.48)</f>
        <v/>
      </c>
      <c r="AH38" s="512">
        <f>IFERROR(__xludf.DUMMYFUNCTION("""COMPUTED_VALUE"""),45917.6666666666)</f>
        <v/>
      </c>
      <c r="AI38" s="513">
        <f>IFERROR(__xludf.DUMMYFUNCTION("""COMPUTED_VALUE"""),23.22)</f>
        <v/>
      </c>
      <c r="AK38" s="512">
        <f>IFERROR(__xludf.DUMMYFUNCTION("""COMPUTED_VALUE"""),45917.6666666666)</f>
        <v/>
      </c>
      <c r="AL38" s="513">
        <f>IFERROR(__xludf.DUMMYFUNCTION("""COMPUTED_VALUE"""),81.05)</f>
        <v/>
      </c>
      <c r="AN38" s="512">
        <f>IFERROR(__xludf.DUMMYFUNCTION("""COMPUTED_VALUE"""),45917.6666666666)</f>
        <v/>
      </c>
      <c r="AO38" s="513">
        <f>IFERROR(__xludf.DUMMYFUNCTION("""COMPUTED_VALUE"""),111.81)</f>
        <v/>
      </c>
      <c r="AQ38" s="512">
        <f>IFERROR(__xludf.DUMMYFUNCTION("""COMPUTED_VALUE"""),45917.6666666666)</f>
        <v/>
      </c>
      <c r="AR38" s="513">
        <f>IFERROR(__xludf.DUMMYFUNCTION("""COMPUTED_VALUE"""),93)</f>
        <v/>
      </c>
      <c r="AT38" s="512">
        <f>IFERROR(__xludf.DUMMYFUNCTION("""COMPUTED_VALUE"""),45917.6666666666)</f>
        <v/>
      </c>
      <c r="AU38" s="513">
        <f>IFERROR(__xludf.DUMMYFUNCTION("""COMPUTED_VALUE"""),53.26)</f>
        <v/>
      </c>
      <c r="AW38" s="512">
        <f>IFERROR(__xludf.DUMMYFUNCTION("""COMPUTED_VALUE"""),45917.6666666666)</f>
        <v/>
      </c>
      <c r="AX38" s="513">
        <f>IFERROR(__xludf.DUMMYFUNCTION("""COMPUTED_VALUE"""),100.57)</f>
        <v/>
      </c>
      <c r="AZ38" s="512">
        <f>IFERROR(__xludf.DUMMYFUNCTION("""COMPUTED_VALUE"""),45917.6666666666)</f>
        <v/>
      </c>
      <c r="BA38" s="513">
        <f>IFERROR(__xludf.DUMMYFUNCTION("""COMPUTED_VALUE"""),112.06)</f>
        <v/>
      </c>
      <c r="BC38" s="512">
        <f>IFERROR(__xludf.DUMMYFUNCTION("""COMPUTED_VALUE"""),45917.6666666666)</f>
        <v/>
      </c>
      <c r="BD38" s="513">
        <f>IFERROR(__xludf.DUMMYFUNCTION("""COMPUTED_VALUE"""),96.99)</f>
        <v/>
      </c>
      <c r="BF38" s="512">
        <f>IFERROR(__xludf.DUMMYFUNCTION("""COMPUTED_VALUE"""),45917.6666666666)</f>
        <v/>
      </c>
      <c r="BG38" s="513">
        <f>IFERROR(__xludf.DUMMYFUNCTION("""COMPUTED_VALUE"""),82.96)</f>
        <v/>
      </c>
      <c r="BI38" s="512">
        <f>IFERROR(__xludf.DUMMYFUNCTION("""COMPUTED_VALUE"""),45917.6666666666)</f>
        <v/>
      </c>
      <c r="BJ38" s="513">
        <f>IFERROR(__xludf.DUMMYFUNCTION("""COMPUTED_VALUE"""),90.12)</f>
        <v/>
      </c>
      <c r="BL38" s="512">
        <f>IFERROR(__xludf.DUMMYFUNCTION("""COMPUTED_VALUE"""),45917.6666666666)</f>
        <v/>
      </c>
      <c r="BM38" s="513">
        <f>IFERROR(__xludf.DUMMYFUNCTION("""COMPUTED_VALUE"""),336.97)</f>
        <v/>
      </c>
      <c r="BO38" s="512">
        <f>IFERROR(__xludf.DUMMYFUNCTION("""COMPUTED_VALUE"""),45917.6666666666)</f>
        <v/>
      </c>
      <c r="BP38" s="513">
        <f>IFERROR(__xludf.DUMMYFUNCTION("""COMPUTED_VALUE"""),91.63)</f>
        <v/>
      </c>
    </row>
    <row r="39">
      <c r="A39" s="512">
        <f>IFERROR(__xludf.DUMMYFUNCTION("""COMPUTED_VALUE"""),45918.6666666666)</f>
        <v/>
      </c>
      <c r="B39" s="513">
        <f>IFERROR(__xludf.DUMMYFUNCTION("""COMPUTED_VALUE"""),662.26)</f>
        <v/>
      </c>
      <c r="D39" s="512">
        <f>IFERROR(__xludf.DUMMYFUNCTION("""COMPUTED_VALUE"""),45918.6666666666)</f>
        <v/>
      </c>
      <c r="E39" s="513">
        <f>IFERROR(__xludf.DUMMYFUNCTION("""COMPUTED_VALUE"""),92.25)</f>
        <v/>
      </c>
      <c r="G39" s="512">
        <f>IFERROR(__xludf.DUMMYFUNCTION("""COMPUTED_VALUE"""),46104.6666666666)</f>
        <v/>
      </c>
      <c r="H39" s="513">
        <f>IFERROR(__xludf.DUMMYFUNCTION("""COMPUTED_VALUE"""),63.66)</f>
        <v/>
      </c>
      <c r="J39" s="512">
        <f>IFERROR(__xludf.DUMMYFUNCTION("""COMPUTED_VALUE"""),45918.6666666666)</f>
        <v/>
      </c>
      <c r="K39" s="513">
        <f>IFERROR(__xludf.DUMMYFUNCTION("""COMPUTED_VALUE"""),81.49)</f>
        <v/>
      </c>
      <c r="M39" s="512">
        <f>IFERROR(__xludf.DUMMYFUNCTION("""COMPUTED_VALUE"""),45918.6666666666)</f>
        <v/>
      </c>
      <c r="N39" s="513">
        <f>IFERROR(__xludf.DUMMYFUNCTION("""COMPUTED_VALUE"""),244.84)</f>
        <v/>
      </c>
      <c r="P39" s="512">
        <f>IFERROR(__xludf.DUMMYFUNCTION("""COMPUTED_VALUE"""),45918.6666666666)</f>
        <v/>
      </c>
      <c r="Q39" s="513">
        <f>IFERROR(__xludf.DUMMYFUNCTION("""COMPUTED_VALUE"""),79.71)</f>
        <v/>
      </c>
      <c r="S39" s="512">
        <f>IFERROR(__xludf.DUMMYFUNCTION("""COMPUTED_VALUE"""),45188.6666666666)</f>
        <v/>
      </c>
      <c r="T39" s="513">
        <f>IFERROR(__xludf.DUMMYFUNCTION("""COMPUTED_VALUE"""),179.07)</f>
        <v/>
      </c>
      <c r="V39" s="512">
        <f>IFERROR(__xludf.DUMMYFUNCTION("""COMPUTED_VALUE"""),45918.6666666666)</f>
        <v/>
      </c>
      <c r="W39" s="513">
        <f>IFERROR(__xludf.DUMMYFUNCTION("""COMPUTED_VALUE"""),22.44)</f>
        <v/>
      </c>
      <c r="Y39" s="512">
        <f>IFERROR(__xludf.DUMMYFUNCTION("""COMPUTED_VALUE"""),45918.6666666666)</f>
        <v/>
      </c>
      <c r="Z39" s="513">
        <f>IFERROR(__xludf.DUMMYFUNCTION("""COMPUTED_VALUE"""),74.4)</f>
        <v/>
      </c>
      <c r="AB39" s="512">
        <f>IFERROR(__xludf.DUMMYFUNCTION("""COMPUTED_VALUE"""),45918.6666666666)</f>
        <v/>
      </c>
      <c r="AC39" s="513">
        <f>IFERROR(__xludf.DUMMYFUNCTION("""COMPUTED_VALUE"""),54.27)</f>
        <v/>
      </c>
      <c r="AE39" s="512">
        <f>IFERROR(__xludf.DUMMYFUNCTION("""COMPUTED_VALUE"""),45918.6666666666)</f>
        <v/>
      </c>
      <c r="AF39" s="513">
        <f>IFERROR(__xludf.DUMMYFUNCTION("""COMPUTED_VALUE"""),95.08)</f>
        <v/>
      </c>
      <c r="AH39" s="512">
        <f>IFERROR(__xludf.DUMMYFUNCTION("""COMPUTED_VALUE"""),45918.6666666666)</f>
        <v/>
      </c>
      <c r="AI39" s="513">
        <f>IFERROR(__xludf.DUMMYFUNCTION("""COMPUTED_VALUE"""),23.08)</f>
        <v/>
      </c>
      <c r="AK39" s="512">
        <f>IFERROR(__xludf.DUMMYFUNCTION("""COMPUTED_VALUE"""),45918.6666666666)</f>
        <v/>
      </c>
      <c r="AL39" s="513">
        <f>IFERROR(__xludf.DUMMYFUNCTION("""COMPUTED_VALUE"""),81.23)</f>
        <v/>
      </c>
      <c r="AN39" s="512">
        <f>IFERROR(__xludf.DUMMYFUNCTION("""COMPUTED_VALUE"""),45918.6666666666)</f>
        <v/>
      </c>
      <c r="AO39" s="513">
        <f>IFERROR(__xludf.DUMMYFUNCTION("""COMPUTED_VALUE"""),111.5)</f>
        <v/>
      </c>
      <c r="AQ39" s="512">
        <f>IFERROR(__xludf.DUMMYFUNCTION("""COMPUTED_VALUE"""),45918.6666666666)</f>
        <v/>
      </c>
      <c r="AR39" s="513">
        <f>IFERROR(__xludf.DUMMYFUNCTION("""COMPUTED_VALUE"""),93.36)</f>
        <v/>
      </c>
      <c r="AT39" s="512">
        <f>IFERROR(__xludf.DUMMYFUNCTION("""COMPUTED_VALUE"""),45918.6666666666)</f>
        <v/>
      </c>
      <c r="AU39" s="513">
        <f>IFERROR(__xludf.DUMMYFUNCTION("""COMPUTED_VALUE"""),53.13)</f>
        <v/>
      </c>
      <c r="AW39" s="512">
        <f>IFERROR(__xludf.DUMMYFUNCTION("""COMPUTED_VALUE"""),45918.6666666666)</f>
        <v/>
      </c>
      <c r="AX39" s="513">
        <f>IFERROR(__xludf.DUMMYFUNCTION("""COMPUTED_VALUE"""),100.29)</f>
        <v/>
      </c>
      <c r="AZ39" s="512">
        <f>IFERROR(__xludf.DUMMYFUNCTION("""COMPUTED_VALUE"""),45918.6666666666)</f>
        <v/>
      </c>
      <c r="BA39" s="513">
        <f>IFERROR(__xludf.DUMMYFUNCTION("""COMPUTED_VALUE"""),111.83)</f>
        <v/>
      </c>
      <c r="BC39" s="512">
        <f>IFERROR(__xludf.DUMMYFUNCTION("""COMPUTED_VALUE"""),45918.6666666666)</f>
        <v/>
      </c>
      <c r="BD39" s="513">
        <f>IFERROR(__xludf.DUMMYFUNCTION("""COMPUTED_VALUE"""),96.67)</f>
        <v/>
      </c>
      <c r="BF39" s="512">
        <f>IFERROR(__xludf.DUMMYFUNCTION("""COMPUTED_VALUE"""),45918.6666666666)</f>
        <v/>
      </c>
      <c r="BG39" s="513">
        <f>IFERROR(__xludf.DUMMYFUNCTION("""COMPUTED_VALUE"""),82.93)</f>
        <v/>
      </c>
      <c r="BI39" s="512">
        <f>IFERROR(__xludf.DUMMYFUNCTION("""COMPUTED_VALUE"""),45918.6666666666)</f>
        <v/>
      </c>
      <c r="BJ39" s="513">
        <f>IFERROR(__xludf.DUMMYFUNCTION("""COMPUTED_VALUE"""),89.19)</f>
        <v/>
      </c>
      <c r="BL39" s="512">
        <f>IFERROR(__xludf.DUMMYFUNCTION("""COMPUTED_VALUE"""),45918.6666666666)</f>
        <v/>
      </c>
      <c r="BM39" s="513">
        <f>IFERROR(__xludf.DUMMYFUNCTION("""COMPUTED_VALUE"""),335.62)</f>
        <v/>
      </c>
      <c r="BO39" s="512">
        <f>IFERROR(__xludf.DUMMYFUNCTION("""COMPUTED_VALUE"""),45918.6666666666)</f>
        <v/>
      </c>
      <c r="BP39" s="513">
        <f>IFERROR(__xludf.DUMMYFUNCTION("""COMPUTED_VALUE"""),91.64)</f>
        <v/>
      </c>
    </row>
    <row r="40">
      <c r="A40" s="512">
        <f>IFERROR(__xludf.DUMMYFUNCTION("""COMPUTED_VALUE"""),45919.6666666666)</f>
        <v/>
      </c>
      <c r="B40" s="513">
        <f>IFERROR(__xludf.DUMMYFUNCTION("""COMPUTED_VALUE"""),663.7)</f>
        <v/>
      </c>
      <c r="D40" s="512">
        <f>IFERROR(__xludf.DUMMYFUNCTION("""COMPUTED_VALUE"""),45919.6666666666)</f>
        <v/>
      </c>
      <c r="E40" s="513">
        <f>IFERROR(__xludf.DUMMYFUNCTION("""COMPUTED_VALUE"""),91.65)</f>
        <v/>
      </c>
      <c r="G40" s="512">
        <f>IFERROR(__xludf.DUMMYFUNCTION("""COMPUTED_VALUE"""),46105.6666666666)</f>
        <v/>
      </c>
      <c r="H40" s="513">
        <f>IFERROR(__xludf.DUMMYFUNCTION("""COMPUTED_VALUE"""),63.15)</f>
        <v/>
      </c>
      <c r="J40" s="512">
        <f>IFERROR(__xludf.DUMMYFUNCTION("""COMPUTED_VALUE"""),45919.6666666666)</f>
        <v/>
      </c>
      <c r="K40" s="513">
        <f>IFERROR(__xludf.DUMMYFUNCTION("""COMPUTED_VALUE"""),80.79)</f>
        <v/>
      </c>
      <c r="M40" s="512">
        <f>IFERROR(__xludf.DUMMYFUNCTION("""COMPUTED_VALUE"""),45919.6666666666)</f>
        <v/>
      </c>
      <c r="N40" s="513">
        <f>IFERROR(__xludf.DUMMYFUNCTION("""COMPUTED_VALUE"""),242.98)</f>
        <v/>
      </c>
      <c r="P40" s="512">
        <f>IFERROR(__xludf.DUMMYFUNCTION("""COMPUTED_VALUE"""),45919.6666666666)</f>
        <v/>
      </c>
      <c r="Q40" s="513">
        <f>IFERROR(__xludf.DUMMYFUNCTION("""COMPUTED_VALUE"""),79.13)</f>
        <v/>
      </c>
      <c r="S40" s="512">
        <f>IFERROR(__xludf.DUMMYFUNCTION("""COMPUTED_VALUE"""),45189.6666666666)</f>
        <v/>
      </c>
      <c r="T40" s="513">
        <f>IFERROR(__xludf.DUMMYFUNCTION("""COMPUTED_VALUE"""),175.49)</f>
        <v/>
      </c>
      <c r="V40" s="512">
        <f>IFERROR(__xludf.DUMMYFUNCTION("""COMPUTED_VALUE"""),45919.6666666666)</f>
        <v/>
      </c>
      <c r="W40" s="513">
        <f>IFERROR(__xludf.DUMMYFUNCTION("""COMPUTED_VALUE"""),22.26)</f>
        <v/>
      </c>
      <c r="Y40" s="512">
        <f>IFERROR(__xludf.DUMMYFUNCTION("""COMPUTED_VALUE"""),45919.6666666666)</f>
        <v/>
      </c>
      <c r="Z40" s="513">
        <f>IFERROR(__xludf.DUMMYFUNCTION("""COMPUTED_VALUE"""),74.43)</f>
        <v/>
      </c>
      <c r="AB40" s="512">
        <f>IFERROR(__xludf.DUMMYFUNCTION("""COMPUTED_VALUE"""),45919.6666666666)</f>
        <v/>
      </c>
      <c r="AC40" s="513">
        <f>IFERROR(__xludf.DUMMYFUNCTION("""COMPUTED_VALUE"""),53.92)</f>
        <v/>
      </c>
      <c r="AE40" s="512">
        <f>IFERROR(__xludf.DUMMYFUNCTION("""COMPUTED_VALUE"""),45919.6666666666)</f>
        <v/>
      </c>
      <c r="AF40" s="513">
        <f>IFERROR(__xludf.DUMMYFUNCTION("""COMPUTED_VALUE"""),94.98)</f>
        <v/>
      </c>
      <c r="AH40" s="512">
        <f>IFERROR(__xludf.DUMMYFUNCTION("""COMPUTED_VALUE"""),45919.6666666666)</f>
        <v/>
      </c>
      <c r="AI40" s="513">
        <f>IFERROR(__xludf.DUMMYFUNCTION("""COMPUTED_VALUE"""),23.04)</f>
        <v/>
      </c>
      <c r="AK40" s="512">
        <f>IFERROR(__xludf.DUMMYFUNCTION("""COMPUTED_VALUE"""),45919.6666666666)</f>
        <v/>
      </c>
      <c r="AL40" s="513">
        <f>IFERROR(__xludf.DUMMYFUNCTION("""COMPUTED_VALUE"""),81.26)</f>
        <v/>
      </c>
      <c r="AN40" s="512">
        <f>IFERROR(__xludf.DUMMYFUNCTION("""COMPUTED_VALUE"""),45919.6666666666)</f>
        <v/>
      </c>
      <c r="AO40" s="513">
        <f>IFERROR(__xludf.DUMMYFUNCTION("""COMPUTED_VALUE"""),111.44)</f>
        <v/>
      </c>
      <c r="AQ40" s="512">
        <f>IFERROR(__xludf.DUMMYFUNCTION("""COMPUTED_VALUE"""),45919.6666666666)</f>
        <v/>
      </c>
      <c r="AR40" s="513">
        <f>IFERROR(__xludf.DUMMYFUNCTION("""COMPUTED_VALUE"""),93)</f>
        <v/>
      </c>
      <c r="AT40" s="512">
        <f>IFERROR(__xludf.DUMMYFUNCTION("""COMPUTED_VALUE"""),45919.6666666666)</f>
        <v/>
      </c>
      <c r="AU40" s="513">
        <f>IFERROR(__xludf.DUMMYFUNCTION("""COMPUTED_VALUE"""),53.01)</f>
        <v/>
      </c>
      <c r="AW40" s="512">
        <f>IFERROR(__xludf.DUMMYFUNCTION("""COMPUTED_VALUE"""),45919.6666666666)</f>
        <v/>
      </c>
      <c r="AX40" s="513">
        <f>IFERROR(__xludf.DUMMYFUNCTION("""COMPUTED_VALUE"""),100.29)</f>
        <v/>
      </c>
      <c r="AZ40" s="512">
        <f>IFERROR(__xludf.DUMMYFUNCTION("""COMPUTED_VALUE"""),45919.6666666666)</f>
        <v/>
      </c>
      <c r="BA40" s="513">
        <f>IFERROR(__xludf.DUMMYFUNCTION("""COMPUTED_VALUE"""),111.74)</f>
        <v/>
      </c>
      <c r="BC40" s="512">
        <f>IFERROR(__xludf.DUMMYFUNCTION("""COMPUTED_VALUE"""),45919.6666666666)</f>
        <v/>
      </c>
      <c r="BD40" s="513">
        <f>IFERROR(__xludf.DUMMYFUNCTION("""COMPUTED_VALUE"""),96.63)</f>
        <v/>
      </c>
      <c r="BF40" s="512">
        <f>IFERROR(__xludf.DUMMYFUNCTION("""COMPUTED_VALUE"""),45919.6666666666)</f>
        <v/>
      </c>
      <c r="BG40" s="513">
        <f>IFERROR(__xludf.DUMMYFUNCTION("""COMPUTED_VALUE"""),82.96)</f>
        <v/>
      </c>
      <c r="BI40" s="512">
        <f>IFERROR(__xludf.DUMMYFUNCTION("""COMPUTED_VALUE"""),45919.6666666666)</f>
        <v/>
      </c>
      <c r="BJ40" s="513">
        <f>IFERROR(__xludf.DUMMYFUNCTION("""COMPUTED_VALUE"""),89.02)</f>
        <v/>
      </c>
      <c r="BL40" s="512">
        <f>IFERROR(__xludf.DUMMYFUNCTION("""COMPUTED_VALUE"""),45919.6666666666)</f>
        <v/>
      </c>
      <c r="BM40" s="513">
        <f>IFERROR(__xludf.DUMMYFUNCTION("""COMPUTED_VALUE"""),339.18)</f>
        <v/>
      </c>
      <c r="BO40" s="512">
        <f>IFERROR(__xludf.DUMMYFUNCTION("""COMPUTED_VALUE"""),45919.6666666666)</f>
        <v/>
      </c>
      <c r="BP40" s="513">
        <f>IFERROR(__xludf.DUMMYFUNCTION("""COMPUTED_VALUE"""),91.68)</f>
        <v/>
      </c>
    </row>
    <row r="41">
      <c r="A41" s="512">
        <f>IFERROR(__xludf.DUMMYFUNCTION("""COMPUTED_VALUE"""),45922.6666666666)</f>
        <v/>
      </c>
      <c r="B41" s="513">
        <f>IFERROR(__xludf.DUMMYFUNCTION("""COMPUTED_VALUE"""),666.84)</f>
        <v/>
      </c>
      <c r="D41" s="512">
        <f>IFERROR(__xludf.DUMMYFUNCTION("""COMPUTED_VALUE"""),45922.6666666666)</f>
        <v/>
      </c>
      <c r="E41" s="513">
        <f>IFERROR(__xludf.DUMMYFUNCTION("""COMPUTED_VALUE"""),91.67)</f>
        <v/>
      </c>
      <c r="G41" s="512">
        <f>IFERROR(__xludf.DUMMYFUNCTION("""COMPUTED_VALUE"""),46106.6666666666)</f>
        <v/>
      </c>
      <c r="H41" s="513">
        <f>IFERROR(__xludf.DUMMYFUNCTION("""COMPUTED_VALUE"""),63.97)</f>
        <v/>
      </c>
      <c r="J41" s="512">
        <f>IFERROR(__xludf.DUMMYFUNCTION("""COMPUTED_VALUE"""),45922.6666666666)</f>
        <v/>
      </c>
      <c r="K41" s="513">
        <f>IFERROR(__xludf.DUMMYFUNCTION("""COMPUTED_VALUE"""),81.25)</f>
        <v/>
      </c>
      <c r="M41" s="512">
        <f>IFERROR(__xludf.DUMMYFUNCTION("""COMPUTED_VALUE"""),45922.6666666666)</f>
        <v/>
      </c>
      <c r="N41" s="513">
        <f>IFERROR(__xludf.DUMMYFUNCTION("""COMPUTED_VALUE"""),244.39)</f>
        <v/>
      </c>
      <c r="P41" s="512">
        <f>IFERROR(__xludf.DUMMYFUNCTION("""COMPUTED_VALUE"""),45922.6666666666)</f>
        <v/>
      </c>
      <c r="Q41" s="513">
        <f>IFERROR(__xludf.DUMMYFUNCTION("""COMPUTED_VALUE"""),79.46)</f>
        <v/>
      </c>
      <c r="S41" s="512">
        <f>IFERROR(__xludf.DUMMYFUNCTION("""COMPUTED_VALUE"""),45190.6666666666)</f>
        <v/>
      </c>
      <c r="T41" s="513">
        <f>IFERROR(__xludf.DUMMYFUNCTION("""COMPUTED_VALUE"""),173.93)</f>
        <v/>
      </c>
      <c r="V41" s="512">
        <f>IFERROR(__xludf.DUMMYFUNCTION("""COMPUTED_VALUE"""),45922.6666666666)</f>
        <v/>
      </c>
      <c r="W41" s="513">
        <f>IFERROR(__xludf.DUMMYFUNCTION("""COMPUTED_VALUE"""),22.26)</f>
        <v/>
      </c>
      <c r="Y41" s="512">
        <f>IFERROR(__xludf.DUMMYFUNCTION("""COMPUTED_VALUE"""),45922.6666666666)</f>
        <v/>
      </c>
      <c r="Z41" s="513">
        <f>IFERROR(__xludf.DUMMYFUNCTION("""COMPUTED_VALUE"""),74.29)</f>
        <v/>
      </c>
      <c r="AB41" s="512">
        <f>IFERROR(__xludf.DUMMYFUNCTION("""COMPUTED_VALUE"""),45922.6666666666)</f>
        <v/>
      </c>
      <c r="AC41" s="513">
        <f>IFERROR(__xludf.DUMMYFUNCTION("""COMPUTED_VALUE"""),54.07)</f>
        <v/>
      </c>
      <c r="AE41" s="512">
        <f>IFERROR(__xludf.DUMMYFUNCTION("""COMPUTED_VALUE"""),45922.6666666666)</f>
        <v/>
      </c>
      <c r="AF41" s="513">
        <f>IFERROR(__xludf.DUMMYFUNCTION("""COMPUTED_VALUE"""),95.19)</f>
        <v/>
      </c>
      <c r="AH41" s="512">
        <f>IFERROR(__xludf.DUMMYFUNCTION("""COMPUTED_VALUE"""),45922.6666666666)</f>
        <v/>
      </c>
      <c r="AI41" s="513">
        <f>IFERROR(__xludf.DUMMYFUNCTION("""COMPUTED_VALUE"""),23.09)</f>
        <v/>
      </c>
      <c r="AK41" s="512">
        <f>IFERROR(__xludf.DUMMYFUNCTION("""COMPUTED_VALUE"""),45922.6666666666)</f>
        <v/>
      </c>
      <c r="AL41" s="513">
        <f>IFERROR(__xludf.DUMMYFUNCTION("""COMPUTED_VALUE"""),81.32)</f>
        <v/>
      </c>
      <c r="AN41" s="512">
        <f>IFERROR(__xludf.DUMMYFUNCTION("""COMPUTED_VALUE"""),45922.6666666666)</f>
        <v/>
      </c>
      <c r="AO41" s="513">
        <f>IFERROR(__xludf.DUMMYFUNCTION("""COMPUTED_VALUE"""),111.17)</f>
        <v/>
      </c>
      <c r="AQ41" s="512">
        <f>IFERROR(__xludf.DUMMYFUNCTION("""COMPUTED_VALUE"""),45922.6666666666)</f>
        <v/>
      </c>
      <c r="AR41" s="513">
        <f>IFERROR(__xludf.DUMMYFUNCTION("""COMPUTED_VALUE"""),93.3)</f>
        <v/>
      </c>
      <c r="AT41" s="512">
        <f>IFERROR(__xludf.DUMMYFUNCTION("""COMPUTED_VALUE"""),45922.6666666666)</f>
        <v/>
      </c>
      <c r="AU41" s="513">
        <f>IFERROR(__xludf.DUMMYFUNCTION("""COMPUTED_VALUE"""),53.27)</f>
        <v/>
      </c>
      <c r="AW41" s="512">
        <f>IFERROR(__xludf.DUMMYFUNCTION("""COMPUTED_VALUE"""),45922.6666666666)</f>
        <v/>
      </c>
      <c r="AX41" s="513">
        <f>IFERROR(__xludf.DUMMYFUNCTION("""COMPUTED_VALUE"""),100.17)</f>
        <v/>
      </c>
      <c r="AZ41" s="512">
        <f>IFERROR(__xludf.DUMMYFUNCTION("""COMPUTED_VALUE"""),45922.6666666666)</f>
        <v/>
      </c>
      <c r="BA41" s="513">
        <f>IFERROR(__xludf.DUMMYFUNCTION("""COMPUTED_VALUE"""),111.49)</f>
        <v/>
      </c>
      <c r="BC41" s="512">
        <f>IFERROR(__xludf.DUMMYFUNCTION("""COMPUTED_VALUE"""),45922.6666666666)</f>
        <v/>
      </c>
      <c r="BD41" s="513">
        <f>IFERROR(__xludf.DUMMYFUNCTION("""COMPUTED_VALUE"""),96.47)</f>
        <v/>
      </c>
      <c r="BF41" s="512">
        <f>IFERROR(__xludf.DUMMYFUNCTION("""COMPUTED_VALUE"""),45922.6666666666)</f>
        <v/>
      </c>
      <c r="BG41" s="513">
        <f>IFERROR(__xludf.DUMMYFUNCTION("""COMPUTED_VALUE"""),82.92)</f>
        <v/>
      </c>
      <c r="BI41" s="512">
        <f>IFERROR(__xludf.DUMMYFUNCTION("""COMPUTED_VALUE"""),45922.6666666666)</f>
        <v/>
      </c>
      <c r="BJ41" s="513">
        <f>IFERROR(__xludf.DUMMYFUNCTION("""COMPUTED_VALUE"""),88.7)</f>
        <v/>
      </c>
      <c r="BL41" s="512">
        <f>IFERROR(__xludf.DUMMYFUNCTION("""COMPUTED_VALUE"""),45922.6666666666)</f>
        <v/>
      </c>
      <c r="BM41" s="513">
        <f>IFERROR(__xludf.DUMMYFUNCTION("""COMPUTED_VALUE"""),345.05)</f>
        <v/>
      </c>
      <c r="BO41" s="512">
        <f>IFERROR(__xludf.DUMMYFUNCTION("""COMPUTED_VALUE"""),45922.6666666666)</f>
        <v/>
      </c>
      <c r="BP41" s="513">
        <f>IFERROR(__xludf.DUMMYFUNCTION("""COMPUTED_VALUE"""),91.69)</f>
        <v/>
      </c>
    </row>
    <row r="42">
      <c r="A42" s="512">
        <f>IFERROR(__xludf.DUMMYFUNCTION("""COMPUTED_VALUE"""),45923.6666666666)</f>
        <v/>
      </c>
      <c r="B42" s="513">
        <f>IFERROR(__xludf.DUMMYFUNCTION("""COMPUTED_VALUE"""),663.21)</f>
        <v/>
      </c>
      <c r="D42" s="512">
        <f>IFERROR(__xludf.DUMMYFUNCTION("""COMPUTED_VALUE"""),45923.6666666666)</f>
        <v/>
      </c>
      <c r="E42" s="513">
        <f>IFERROR(__xludf.DUMMYFUNCTION("""COMPUTED_VALUE"""),92.17)</f>
        <v/>
      </c>
      <c r="G42" s="512">
        <f>IFERROR(__xludf.DUMMYFUNCTION("""COMPUTED_VALUE"""),46107.6666666666)</f>
        <v/>
      </c>
      <c r="H42" s="513">
        <f>IFERROR(__xludf.DUMMYFUNCTION("""COMPUTED_VALUE"""),62.48)</f>
        <v/>
      </c>
      <c r="J42" s="512">
        <f>IFERROR(__xludf.DUMMYFUNCTION("""COMPUTED_VALUE"""),45923.6666666666)</f>
        <v/>
      </c>
      <c r="K42" s="513">
        <f>IFERROR(__xludf.DUMMYFUNCTION("""COMPUTED_VALUE"""),81.09)</f>
        <v/>
      </c>
      <c r="M42" s="512">
        <f>IFERROR(__xludf.DUMMYFUNCTION("""COMPUTED_VALUE"""),45923.6666666666)</f>
        <v/>
      </c>
      <c r="N42" s="513">
        <f>IFERROR(__xludf.DUMMYFUNCTION("""COMPUTED_VALUE"""),243.84)</f>
        <v/>
      </c>
      <c r="P42" s="512">
        <f>IFERROR(__xludf.DUMMYFUNCTION("""COMPUTED_VALUE"""),45923.6666666666)</f>
        <v/>
      </c>
      <c r="Q42" s="513">
        <f>IFERROR(__xludf.DUMMYFUNCTION("""COMPUTED_VALUE"""),79.41)</f>
        <v/>
      </c>
      <c r="S42" s="512">
        <f>IFERROR(__xludf.DUMMYFUNCTION("""COMPUTED_VALUE"""),45191.6666666666)</f>
        <v/>
      </c>
      <c r="T42" s="513">
        <f>IFERROR(__xludf.DUMMYFUNCTION("""COMPUTED_VALUE"""),174.79)</f>
        <v/>
      </c>
      <c r="V42" s="512">
        <f>IFERROR(__xludf.DUMMYFUNCTION("""COMPUTED_VALUE"""),45923.6666666666)</f>
        <v/>
      </c>
      <c r="W42" s="513">
        <f>IFERROR(__xludf.DUMMYFUNCTION("""COMPUTED_VALUE"""),22.49)</f>
        <v/>
      </c>
      <c r="Y42" s="512">
        <f>IFERROR(__xludf.DUMMYFUNCTION("""COMPUTED_VALUE"""),45923.6666666666)</f>
        <v/>
      </c>
      <c r="Z42" s="513">
        <f>IFERROR(__xludf.DUMMYFUNCTION("""COMPUTED_VALUE"""),74.44)</f>
        <v/>
      </c>
      <c r="AB42" s="512">
        <f>IFERROR(__xludf.DUMMYFUNCTION("""COMPUTED_VALUE"""),45923.6666666666)</f>
        <v/>
      </c>
      <c r="AC42" s="513">
        <f>IFERROR(__xludf.DUMMYFUNCTION("""COMPUTED_VALUE"""),54.06)</f>
        <v/>
      </c>
      <c r="AE42" s="512">
        <f>IFERROR(__xludf.DUMMYFUNCTION("""COMPUTED_VALUE"""),45923.6666666666)</f>
        <v/>
      </c>
      <c r="AF42" s="513">
        <f>IFERROR(__xludf.DUMMYFUNCTION("""COMPUTED_VALUE"""),95.56)</f>
        <v/>
      </c>
      <c r="AH42" s="512">
        <f>IFERROR(__xludf.DUMMYFUNCTION("""COMPUTED_VALUE"""),45923.6666666666)</f>
        <v/>
      </c>
      <c r="AI42" s="513">
        <f>IFERROR(__xludf.DUMMYFUNCTION("""COMPUTED_VALUE"""),23.11)</f>
        <v/>
      </c>
      <c r="AK42" s="512">
        <f>IFERROR(__xludf.DUMMYFUNCTION("""COMPUTED_VALUE"""),45923.6666666666)</f>
        <v/>
      </c>
      <c r="AL42" s="513">
        <f>IFERROR(__xludf.DUMMYFUNCTION("""COMPUTED_VALUE"""),81.26)</f>
        <v/>
      </c>
      <c r="AN42" s="512">
        <f>IFERROR(__xludf.DUMMYFUNCTION("""COMPUTED_VALUE"""),45923.6666666666)</f>
        <v/>
      </c>
      <c r="AO42" s="513">
        <f>IFERROR(__xludf.DUMMYFUNCTION("""COMPUTED_VALUE"""),111.47)</f>
        <v/>
      </c>
      <c r="AQ42" s="512">
        <f>IFERROR(__xludf.DUMMYFUNCTION("""COMPUTED_VALUE"""),45923.6666666666)</f>
        <v/>
      </c>
      <c r="AR42" s="513">
        <f>IFERROR(__xludf.DUMMYFUNCTION("""COMPUTED_VALUE"""),93.12)</f>
        <v/>
      </c>
      <c r="AT42" s="512">
        <f>IFERROR(__xludf.DUMMYFUNCTION("""COMPUTED_VALUE"""),45923.6666666666)</f>
        <v/>
      </c>
      <c r="AU42" s="513">
        <f>IFERROR(__xludf.DUMMYFUNCTION("""COMPUTED_VALUE"""),53.3)</f>
        <v/>
      </c>
      <c r="AW42" s="512">
        <f>IFERROR(__xludf.DUMMYFUNCTION("""COMPUTED_VALUE"""),45923.6666666666)</f>
        <v/>
      </c>
      <c r="AX42" s="513">
        <f>IFERROR(__xludf.DUMMYFUNCTION("""COMPUTED_VALUE"""),100.33)</f>
        <v/>
      </c>
      <c r="AZ42" s="512">
        <f>IFERROR(__xludf.DUMMYFUNCTION("""COMPUTED_VALUE"""),45923.6666666666)</f>
        <v/>
      </c>
      <c r="BA42" s="513">
        <f>IFERROR(__xludf.DUMMYFUNCTION("""COMPUTED_VALUE"""),111.71)</f>
        <v/>
      </c>
      <c r="BC42" s="512">
        <f>IFERROR(__xludf.DUMMYFUNCTION("""COMPUTED_VALUE"""),45923.6666666666)</f>
        <v/>
      </c>
      <c r="BD42" s="513">
        <f>IFERROR(__xludf.DUMMYFUNCTION("""COMPUTED_VALUE"""),96.74)</f>
        <v/>
      </c>
      <c r="BF42" s="512">
        <f>IFERROR(__xludf.DUMMYFUNCTION("""COMPUTED_VALUE"""),45923.6666666666)</f>
        <v/>
      </c>
      <c r="BG42" s="513">
        <f>IFERROR(__xludf.DUMMYFUNCTION("""COMPUTED_VALUE"""),82.95)</f>
        <v/>
      </c>
      <c r="BI42" s="512">
        <f>IFERROR(__xludf.DUMMYFUNCTION("""COMPUTED_VALUE"""),45923.6666666666)</f>
        <v/>
      </c>
      <c r="BJ42" s="513">
        <f>IFERROR(__xludf.DUMMYFUNCTION("""COMPUTED_VALUE"""),89.32)</f>
        <v/>
      </c>
      <c r="BL42" s="512">
        <f>IFERROR(__xludf.DUMMYFUNCTION("""COMPUTED_VALUE"""),45923.6666666666)</f>
        <v/>
      </c>
      <c r="BM42" s="513">
        <f>IFERROR(__xludf.DUMMYFUNCTION("""COMPUTED_VALUE"""),346.46)</f>
        <v/>
      </c>
      <c r="BO42" s="512">
        <f>IFERROR(__xludf.DUMMYFUNCTION("""COMPUTED_VALUE"""),45923.6666666666)</f>
        <v/>
      </c>
      <c r="BP42" s="513">
        <f>IFERROR(__xludf.DUMMYFUNCTION("""COMPUTED_VALUE"""),91.69)</f>
        <v/>
      </c>
    </row>
    <row r="43">
      <c r="A43" s="512">
        <f>IFERROR(__xludf.DUMMYFUNCTION("""COMPUTED_VALUE"""),45924.6666666666)</f>
        <v/>
      </c>
      <c r="B43" s="513">
        <f>IFERROR(__xludf.DUMMYFUNCTION("""COMPUTED_VALUE"""),661.1)</f>
        <v/>
      </c>
      <c r="D43" s="512">
        <f>IFERROR(__xludf.DUMMYFUNCTION("""COMPUTED_VALUE"""),45924.6666666666)</f>
        <v/>
      </c>
      <c r="E43" s="513">
        <f>IFERROR(__xludf.DUMMYFUNCTION("""COMPUTED_VALUE"""),90.4)</f>
        <v/>
      </c>
      <c r="G43" s="512">
        <f>IFERROR(__xludf.DUMMYFUNCTION("""COMPUTED_VALUE"""),46108.6666666666)</f>
        <v/>
      </c>
      <c r="H43" s="513">
        <f>IFERROR(__xludf.DUMMYFUNCTION("""COMPUTED_VALUE"""),62.05)</f>
        <v/>
      </c>
      <c r="J43" s="512">
        <f>IFERROR(__xludf.DUMMYFUNCTION("""COMPUTED_VALUE"""),45924.6666666666)</f>
        <v/>
      </c>
      <c r="K43" s="513">
        <f>IFERROR(__xludf.DUMMYFUNCTION("""COMPUTED_VALUE"""),81.09)</f>
        <v/>
      </c>
      <c r="M43" s="512">
        <f>IFERROR(__xludf.DUMMYFUNCTION("""COMPUTED_VALUE"""),45924.6666666666)</f>
        <v/>
      </c>
      <c r="N43" s="513">
        <f>IFERROR(__xludf.DUMMYFUNCTION("""COMPUTED_VALUE"""),241.6)</f>
        <v/>
      </c>
      <c r="P43" s="512">
        <f>IFERROR(__xludf.DUMMYFUNCTION("""COMPUTED_VALUE"""),45924.6666666666)</f>
        <v/>
      </c>
      <c r="Q43" s="513">
        <f>IFERROR(__xludf.DUMMYFUNCTION("""COMPUTED_VALUE"""),78.89)</f>
        <v/>
      </c>
      <c r="S43" s="512">
        <f>IFERROR(__xludf.DUMMYFUNCTION("""COMPUTED_VALUE"""),45194.6666666666)</f>
        <v/>
      </c>
      <c r="T43" s="513">
        <f>IFERROR(__xludf.DUMMYFUNCTION("""COMPUTED_VALUE"""),176.08)</f>
        <v/>
      </c>
      <c r="V43" s="512">
        <f>IFERROR(__xludf.DUMMYFUNCTION("""COMPUTED_VALUE"""),45924.6666666666)</f>
        <v/>
      </c>
      <c r="W43" s="513">
        <f>IFERROR(__xludf.DUMMYFUNCTION("""COMPUTED_VALUE"""),22.64)</f>
        <v/>
      </c>
      <c r="Y43" s="512">
        <f>IFERROR(__xludf.DUMMYFUNCTION("""COMPUTED_VALUE"""),45924.6666666666)</f>
        <v/>
      </c>
      <c r="Z43" s="513">
        <f>IFERROR(__xludf.DUMMYFUNCTION("""COMPUTED_VALUE"""),74.29)</f>
        <v/>
      </c>
      <c r="AB43" s="512">
        <f>IFERROR(__xludf.DUMMYFUNCTION("""COMPUTED_VALUE"""),45924.6666666666)</f>
        <v/>
      </c>
      <c r="AC43" s="513">
        <f>IFERROR(__xludf.DUMMYFUNCTION("""COMPUTED_VALUE"""),53.96)</f>
        <v/>
      </c>
      <c r="AE43" s="512">
        <f>IFERROR(__xludf.DUMMYFUNCTION("""COMPUTED_VALUE"""),45924.6666666666)</f>
        <v/>
      </c>
      <c r="AF43" s="513">
        <f>IFERROR(__xludf.DUMMYFUNCTION("""COMPUTED_VALUE"""),95.5)</f>
        <v/>
      </c>
      <c r="AH43" s="512">
        <f>IFERROR(__xludf.DUMMYFUNCTION("""COMPUTED_VALUE"""),45924.6666666666)</f>
        <v/>
      </c>
      <c r="AI43" s="513">
        <f>IFERROR(__xludf.DUMMYFUNCTION("""COMPUTED_VALUE"""),22.93)</f>
        <v/>
      </c>
      <c r="AK43" s="512">
        <f>IFERROR(__xludf.DUMMYFUNCTION("""COMPUTED_VALUE"""),45924.6666666666)</f>
        <v/>
      </c>
      <c r="AL43" s="513">
        <f>IFERROR(__xludf.DUMMYFUNCTION("""COMPUTED_VALUE"""),81.15)</f>
        <v/>
      </c>
      <c r="AN43" s="512">
        <f>IFERROR(__xludf.DUMMYFUNCTION("""COMPUTED_VALUE"""),45924.6666666666)</f>
        <v/>
      </c>
      <c r="AO43" s="513">
        <f>IFERROR(__xludf.DUMMYFUNCTION("""COMPUTED_VALUE"""),111.27)</f>
        <v/>
      </c>
      <c r="AQ43" s="512">
        <f>IFERROR(__xludf.DUMMYFUNCTION("""COMPUTED_VALUE"""),45924.6666666666)</f>
        <v/>
      </c>
      <c r="AR43" s="513">
        <f>IFERROR(__xludf.DUMMYFUNCTION("""COMPUTED_VALUE"""),92.58)</f>
        <v/>
      </c>
      <c r="AT43" s="512">
        <f>IFERROR(__xludf.DUMMYFUNCTION("""COMPUTED_VALUE"""),45924.6666666666)</f>
        <v/>
      </c>
      <c r="AU43" s="513">
        <f>IFERROR(__xludf.DUMMYFUNCTION("""COMPUTED_VALUE"""),53.12)</f>
        <v/>
      </c>
      <c r="AW43" s="512">
        <f>IFERROR(__xludf.DUMMYFUNCTION("""COMPUTED_VALUE"""),45924.6666666666)</f>
        <v/>
      </c>
      <c r="AX43" s="513">
        <f>IFERROR(__xludf.DUMMYFUNCTION("""COMPUTED_VALUE"""),100.33)</f>
        <v/>
      </c>
      <c r="AZ43" s="512">
        <f>IFERROR(__xludf.DUMMYFUNCTION("""COMPUTED_VALUE"""),45924.6666666666)</f>
        <v/>
      </c>
      <c r="BA43" s="513">
        <f>IFERROR(__xludf.DUMMYFUNCTION("""COMPUTED_VALUE"""),111.26)</f>
        <v/>
      </c>
      <c r="BC43" s="512">
        <f>IFERROR(__xludf.DUMMYFUNCTION("""COMPUTED_VALUE"""),45924.6666666666)</f>
        <v/>
      </c>
      <c r="BD43" s="513">
        <f>IFERROR(__xludf.DUMMYFUNCTION("""COMPUTED_VALUE"""),96.48)</f>
        <v/>
      </c>
      <c r="BF43" s="512">
        <f>IFERROR(__xludf.DUMMYFUNCTION("""COMPUTED_VALUE"""),45924.6666666666)</f>
        <v/>
      </c>
      <c r="BG43" s="513">
        <f>IFERROR(__xludf.DUMMYFUNCTION("""COMPUTED_VALUE"""),82.91)</f>
        <v/>
      </c>
      <c r="BI43" s="512">
        <f>IFERROR(__xludf.DUMMYFUNCTION("""COMPUTED_VALUE"""),45924.6666666666)</f>
        <v/>
      </c>
      <c r="BJ43" s="513">
        <f>IFERROR(__xludf.DUMMYFUNCTION("""COMPUTED_VALUE"""),88.98)</f>
        <v/>
      </c>
      <c r="BL43" s="512">
        <f>IFERROR(__xludf.DUMMYFUNCTION("""COMPUTED_VALUE"""),45924.6666666666)</f>
        <v/>
      </c>
      <c r="BM43" s="513">
        <f>IFERROR(__xludf.DUMMYFUNCTION("""COMPUTED_VALUE"""),343.32)</f>
        <v/>
      </c>
      <c r="BO43" s="512">
        <f>IFERROR(__xludf.DUMMYFUNCTION("""COMPUTED_VALUE"""),45924.6666666666)</f>
        <v/>
      </c>
      <c r="BP43" s="513">
        <f>IFERROR(__xludf.DUMMYFUNCTION("""COMPUTED_VALUE"""),91.71)</f>
        <v/>
      </c>
    </row>
    <row r="44">
      <c r="A44" s="512">
        <f>IFERROR(__xludf.DUMMYFUNCTION("""COMPUTED_VALUE"""),45925.6666666666)</f>
        <v/>
      </c>
      <c r="B44" s="513">
        <f>IFERROR(__xludf.DUMMYFUNCTION("""COMPUTED_VALUE"""),658.05)</f>
        <v/>
      </c>
      <c r="D44" s="512">
        <f>IFERROR(__xludf.DUMMYFUNCTION("""COMPUTED_VALUE"""),45925.6666666666)</f>
        <v/>
      </c>
      <c r="E44" s="513">
        <f>IFERROR(__xludf.DUMMYFUNCTION("""COMPUTED_VALUE"""),90.13)</f>
        <v/>
      </c>
      <c r="G44" s="512">
        <f>IFERROR(__xludf.DUMMYFUNCTION("""COMPUTED_VALUE"""),46111.6666666666)</f>
        <v/>
      </c>
      <c r="H44" s="513">
        <f>IFERROR(__xludf.DUMMYFUNCTION("""COMPUTED_VALUE"""),62.03)</f>
        <v/>
      </c>
      <c r="J44" s="512">
        <f>IFERROR(__xludf.DUMMYFUNCTION("""COMPUTED_VALUE"""),45925.6666666666)</f>
        <v/>
      </c>
      <c r="K44" s="513">
        <f>IFERROR(__xludf.DUMMYFUNCTION("""COMPUTED_VALUE"""),80.46)</f>
        <v/>
      </c>
      <c r="M44" s="512">
        <f>IFERROR(__xludf.DUMMYFUNCTION("""COMPUTED_VALUE"""),45925.6666666666)</f>
        <v/>
      </c>
      <c r="N44" s="513">
        <f>IFERROR(__xludf.DUMMYFUNCTION("""COMPUTED_VALUE"""),239.29)</f>
        <v/>
      </c>
      <c r="P44" s="512">
        <f>IFERROR(__xludf.DUMMYFUNCTION("""COMPUTED_VALUE"""),45925.6666666666)</f>
        <v/>
      </c>
      <c r="Q44" s="513">
        <f>IFERROR(__xludf.DUMMYFUNCTION("""COMPUTED_VALUE"""),78.14)</f>
        <v/>
      </c>
      <c r="S44" s="512">
        <f>IFERROR(__xludf.DUMMYFUNCTION("""COMPUTED_VALUE"""),45195.6666666666)</f>
        <v/>
      </c>
      <c r="T44" s="513">
        <f>IFERROR(__xludf.DUMMYFUNCTION("""COMPUTED_VALUE"""),171.96)</f>
        <v/>
      </c>
      <c r="V44" s="512">
        <f>IFERROR(__xludf.DUMMYFUNCTION("""COMPUTED_VALUE"""),45925.6666666666)</f>
        <v/>
      </c>
      <c r="W44" s="513">
        <f>IFERROR(__xludf.DUMMYFUNCTION("""COMPUTED_VALUE"""),22.8)</f>
        <v/>
      </c>
      <c r="Y44" s="512">
        <f>IFERROR(__xludf.DUMMYFUNCTION("""COMPUTED_VALUE"""),45925.6666666666)</f>
        <v/>
      </c>
      <c r="Z44" s="513">
        <f>IFERROR(__xludf.DUMMYFUNCTION("""COMPUTED_VALUE"""),74.21)</f>
        <v/>
      </c>
      <c r="AB44" s="512">
        <f>IFERROR(__xludf.DUMMYFUNCTION("""COMPUTED_VALUE"""),45925.6666666666)</f>
        <v/>
      </c>
      <c r="AC44" s="513">
        <f>IFERROR(__xludf.DUMMYFUNCTION("""COMPUTED_VALUE"""),53.65)</f>
        <v/>
      </c>
      <c r="AE44" s="512">
        <f>IFERROR(__xludf.DUMMYFUNCTION("""COMPUTED_VALUE"""),45925.6666666666)</f>
        <v/>
      </c>
      <c r="AF44" s="513">
        <f>IFERROR(__xludf.DUMMYFUNCTION("""COMPUTED_VALUE"""),95.26)</f>
        <v/>
      </c>
      <c r="AH44" s="512">
        <f>IFERROR(__xludf.DUMMYFUNCTION("""COMPUTED_VALUE"""),45925.6666666666)</f>
        <v/>
      </c>
      <c r="AI44" s="513">
        <f>IFERROR(__xludf.DUMMYFUNCTION("""COMPUTED_VALUE"""),22.79)</f>
        <v/>
      </c>
      <c r="AK44" s="512">
        <f>IFERROR(__xludf.DUMMYFUNCTION("""COMPUTED_VALUE"""),45925.6666666666)</f>
        <v/>
      </c>
      <c r="AL44" s="513">
        <f>IFERROR(__xludf.DUMMYFUNCTION("""COMPUTED_VALUE"""),80.92)</f>
        <v/>
      </c>
      <c r="AN44" s="512">
        <f>IFERROR(__xludf.DUMMYFUNCTION("""COMPUTED_VALUE"""),45925.6666666666)</f>
        <v/>
      </c>
      <c r="AO44" s="513">
        <f>IFERROR(__xludf.DUMMYFUNCTION("""COMPUTED_VALUE"""),111.09)</f>
        <v/>
      </c>
      <c r="AQ44" s="512">
        <f>IFERROR(__xludf.DUMMYFUNCTION("""COMPUTED_VALUE"""),45925.6666666666)</f>
        <v/>
      </c>
      <c r="AR44" s="513">
        <f>IFERROR(__xludf.DUMMYFUNCTION("""COMPUTED_VALUE"""),91.92)</f>
        <v/>
      </c>
      <c r="AT44" s="512">
        <f>IFERROR(__xludf.DUMMYFUNCTION("""COMPUTED_VALUE"""),45925.6666666666)</f>
        <v/>
      </c>
      <c r="AU44" s="513">
        <f>IFERROR(__xludf.DUMMYFUNCTION("""COMPUTED_VALUE"""),52.81)</f>
        <v/>
      </c>
      <c r="AW44" s="512">
        <f>IFERROR(__xludf.DUMMYFUNCTION("""COMPUTED_VALUE"""),45925.6666666666)</f>
        <v/>
      </c>
      <c r="AX44" s="513">
        <f>IFERROR(__xludf.DUMMYFUNCTION("""COMPUTED_VALUE"""),100)</f>
        <v/>
      </c>
      <c r="AZ44" s="512">
        <f>IFERROR(__xludf.DUMMYFUNCTION("""COMPUTED_VALUE"""),45925.6666666666)</f>
        <v/>
      </c>
      <c r="BA44" s="513">
        <f>IFERROR(__xludf.DUMMYFUNCTION("""COMPUTED_VALUE"""),111.06)</f>
        <v/>
      </c>
      <c r="BC44" s="512">
        <f>IFERROR(__xludf.DUMMYFUNCTION("""COMPUTED_VALUE"""),45925.6666666666)</f>
        <v/>
      </c>
      <c r="BD44" s="513">
        <f>IFERROR(__xludf.DUMMYFUNCTION("""COMPUTED_VALUE"""),96.27)</f>
        <v/>
      </c>
      <c r="BF44" s="512">
        <f>IFERROR(__xludf.DUMMYFUNCTION("""COMPUTED_VALUE"""),45925.6666666666)</f>
        <v/>
      </c>
      <c r="BG44" s="513">
        <f>IFERROR(__xludf.DUMMYFUNCTION("""COMPUTED_VALUE"""),82.84)</f>
        <v/>
      </c>
      <c r="BI44" s="512">
        <f>IFERROR(__xludf.DUMMYFUNCTION("""COMPUTED_VALUE"""),45925.6666666666)</f>
        <v/>
      </c>
      <c r="BJ44" s="513">
        <f>IFERROR(__xludf.DUMMYFUNCTION("""COMPUTED_VALUE"""),88.98)</f>
        <v/>
      </c>
      <c r="BL44" s="512">
        <f>IFERROR(__xludf.DUMMYFUNCTION("""COMPUTED_VALUE"""),45925.6666666666)</f>
        <v/>
      </c>
      <c r="BM44" s="513">
        <f>IFERROR(__xludf.DUMMYFUNCTION("""COMPUTED_VALUE"""),344.75)</f>
        <v/>
      </c>
      <c r="BO44" s="512">
        <f>IFERROR(__xludf.DUMMYFUNCTION("""COMPUTED_VALUE"""),45925.6666666666)</f>
        <v/>
      </c>
      <c r="BP44" s="513">
        <f>IFERROR(__xludf.DUMMYFUNCTION("""COMPUTED_VALUE"""),91.71)</f>
        <v/>
      </c>
    </row>
    <row r="45">
      <c r="A45" s="512">
        <f>IFERROR(__xludf.DUMMYFUNCTION("""COMPUTED_VALUE"""),45926.6666666666)</f>
        <v/>
      </c>
      <c r="B45" s="513">
        <f>IFERROR(__xludf.DUMMYFUNCTION("""COMPUTED_VALUE"""),661.82)</f>
        <v/>
      </c>
      <c r="D45" s="512">
        <f>IFERROR(__xludf.DUMMYFUNCTION("""COMPUTED_VALUE"""),45926.6666666666)</f>
        <v/>
      </c>
      <c r="E45" s="513">
        <f>IFERROR(__xludf.DUMMYFUNCTION("""COMPUTED_VALUE"""),91.02)</f>
        <v/>
      </c>
      <c r="G45" s="512">
        <f>IFERROR(__xludf.DUMMYFUNCTION("""COMPUTED_VALUE"""),46112.6666666666)</f>
        <v/>
      </c>
      <c r="H45" s="513">
        <f>IFERROR(__xludf.DUMMYFUNCTION("""COMPUTED_VALUE"""),64.08)</f>
        <v/>
      </c>
      <c r="J45" s="512">
        <f>IFERROR(__xludf.DUMMYFUNCTION("""COMPUTED_VALUE"""),45926.6666666666)</f>
        <v/>
      </c>
      <c r="K45" s="513">
        <f>IFERROR(__xludf.DUMMYFUNCTION("""COMPUTED_VALUE"""),80.44)</f>
        <v/>
      </c>
      <c r="M45" s="512">
        <f>IFERROR(__xludf.DUMMYFUNCTION("""COMPUTED_VALUE"""),45926.6666666666)</f>
        <v/>
      </c>
      <c r="N45" s="513">
        <f>IFERROR(__xludf.DUMMYFUNCTION("""COMPUTED_VALUE"""),241.34)</f>
        <v/>
      </c>
      <c r="P45" s="512">
        <f>IFERROR(__xludf.DUMMYFUNCTION("""COMPUTED_VALUE"""),45926.6666666666)</f>
        <v/>
      </c>
      <c r="Q45" s="513">
        <f>IFERROR(__xludf.DUMMYFUNCTION("""COMPUTED_VALUE"""),78.96)</f>
        <v/>
      </c>
      <c r="S45" s="512">
        <f>IFERROR(__xludf.DUMMYFUNCTION("""COMPUTED_VALUE"""),45196.6666666666)</f>
        <v/>
      </c>
      <c r="T45" s="513">
        <f>IFERROR(__xludf.DUMMYFUNCTION("""COMPUTED_VALUE"""),170.43)</f>
        <v/>
      </c>
      <c r="V45" s="512">
        <f>IFERROR(__xludf.DUMMYFUNCTION("""COMPUTED_VALUE"""),45926.6666666666)</f>
        <v/>
      </c>
      <c r="W45" s="513">
        <f>IFERROR(__xludf.DUMMYFUNCTION("""COMPUTED_VALUE"""),22.81)</f>
        <v/>
      </c>
      <c r="Y45" s="512">
        <f>IFERROR(__xludf.DUMMYFUNCTION("""COMPUTED_VALUE"""),45926.6666666666)</f>
        <v/>
      </c>
      <c r="Z45" s="513">
        <f>IFERROR(__xludf.DUMMYFUNCTION("""COMPUTED_VALUE"""),74.21)</f>
        <v/>
      </c>
      <c r="AB45" s="512">
        <f>IFERROR(__xludf.DUMMYFUNCTION("""COMPUTED_VALUE"""),45926.6666666666)</f>
        <v/>
      </c>
      <c r="AC45" s="513">
        <f>IFERROR(__xludf.DUMMYFUNCTION("""COMPUTED_VALUE"""),53.55)</f>
        <v/>
      </c>
      <c r="AE45" s="512">
        <f>IFERROR(__xludf.DUMMYFUNCTION("""COMPUTED_VALUE"""),45926.6666666666)</f>
        <v/>
      </c>
      <c r="AF45" s="513">
        <f>IFERROR(__xludf.DUMMYFUNCTION("""COMPUTED_VALUE"""),95.23)</f>
        <v/>
      </c>
      <c r="AH45" s="512">
        <f>IFERROR(__xludf.DUMMYFUNCTION("""COMPUTED_VALUE"""),45926.6666666666)</f>
        <v/>
      </c>
      <c r="AI45" s="513">
        <f>IFERROR(__xludf.DUMMYFUNCTION("""COMPUTED_VALUE"""),22.85)</f>
        <v/>
      </c>
      <c r="AK45" s="512">
        <f>IFERROR(__xludf.DUMMYFUNCTION("""COMPUTED_VALUE"""),45926.6666666666)</f>
        <v/>
      </c>
      <c r="AL45" s="513">
        <f>IFERROR(__xludf.DUMMYFUNCTION("""COMPUTED_VALUE"""),81.08)</f>
        <v/>
      </c>
      <c r="AN45" s="512">
        <f>IFERROR(__xludf.DUMMYFUNCTION("""COMPUTED_VALUE"""),45926.6666666666)</f>
        <v/>
      </c>
      <c r="AO45" s="513">
        <f>IFERROR(__xludf.DUMMYFUNCTION("""COMPUTED_VALUE"""),111.11)</f>
        <v/>
      </c>
      <c r="AQ45" s="512">
        <f>IFERROR(__xludf.DUMMYFUNCTION("""COMPUTED_VALUE"""),45926.6666666666)</f>
        <v/>
      </c>
      <c r="AR45" s="513">
        <f>IFERROR(__xludf.DUMMYFUNCTION("""COMPUTED_VALUE"""),92.63)</f>
        <v/>
      </c>
      <c r="AT45" s="512">
        <f>IFERROR(__xludf.DUMMYFUNCTION("""COMPUTED_VALUE"""),45926.6666666666)</f>
        <v/>
      </c>
      <c r="AU45" s="513">
        <f>IFERROR(__xludf.DUMMYFUNCTION("""COMPUTED_VALUE"""),52.71)</f>
        <v/>
      </c>
      <c r="AW45" s="512">
        <f>IFERROR(__xludf.DUMMYFUNCTION("""COMPUTED_VALUE"""),45926.6666666666)</f>
        <v/>
      </c>
      <c r="AX45" s="513">
        <f>IFERROR(__xludf.DUMMYFUNCTION("""COMPUTED_VALUE"""),100.07)</f>
        <v/>
      </c>
      <c r="AZ45" s="512">
        <f>IFERROR(__xludf.DUMMYFUNCTION("""COMPUTED_VALUE"""),45926.6666666666)</f>
        <v/>
      </c>
      <c r="BA45" s="513">
        <f>IFERROR(__xludf.DUMMYFUNCTION("""COMPUTED_VALUE"""),111.21)</f>
        <v/>
      </c>
      <c r="BC45" s="512">
        <f>IFERROR(__xludf.DUMMYFUNCTION("""COMPUTED_VALUE"""),45926.6666666666)</f>
        <v/>
      </c>
      <c r="BD45" s="513">
        <f>IFERROR(__xludf.DUMMYFUNCTION("""COMPUTED_VALUE"""),96.22)</f>
        <v/>
      </c>
      <c r="BF45" s="512">
        <f>IFERROR(__xludf.DUMMYFUNCTION("""COMPUTED_VALUE"""),45926.6666666666)</f>
        <v/>
      </c>
      <c r="BG45" s="513">
        <f>IFERROR(__xludf.DUMMYFUNCTION("""COMPUTED_VALUE"""),82.89)</f>
        <v/>
      </c>
      <c r="BI45" s="512">
        <f>IFERROR(__xludf.DUMMYFUNCTION("""COMPUTED_VALUE"""),45926.6666666666)</f>
        <v/>
      </c>
      <c r="BJ45" s="513">
        <f>IFERROR(__xludf.DUMMYFUNCTION("""COMPUTED_VALUE"""),88.9)</f>
        <v/>
      </c>
      <c r="BL45" s="512">
        <f>IFERROR(__xludf.DUMMYFUNCTION("""COMPUTED_VALUE"""),45926.6666666666)</f>
        <v/>
      </c>
      <c r="BM45" s="513">
        <f>IFERROR(__xludf.DUMMYFUNCTION("""COMPUTED_VALUE"""),346.74)</f>
        <v/>
      </c>
      <c r="BO45" s="512">
        <f>IFERROR(__xludf.DUMMYFUNCTION("""COMPUTED_VALUE"""),45926.6666666666)</f>
        <v/>
      </c>
      <c r="BP45" s="513">
        <f>IFERROR(__xludf.DUMMYFUNCTION("""COMPUTED_VALUE"""),91.74)</f>
        <v/>
      </c>
    </row>
    <row r="46">
      <c r="A46" s="512">
        <f>IFERROR(__xludf.DUMMYFUNCTION("""COMPUTED_VALUE"""),45929.6666666666)</f>
        <v/>
      </c>
      <c r="B46" s="513">
        <f>IFERROR(__xludf.DUMMYFUNCTION("""COMPUTED_VALUE"""),663.68)</f>
        <v/>
      </c>
      <c r="D46" s="512">
        <f>IFERROR(__xludf.DUMMYFUNCTION("""COMPUTED_VALUE"""),45929.6666666666)</f>
        <v/>
      </c>
      <c r="E46" s="513">
        <f>IFERROR(__xludf.DUMMYFUNCTION("""COMPUTED_VALUE"""),91.05)</f>
        <v/>
      </c>
      <c r="G46" s="512">
        <f>IFERROR(__xludf.DUMMYFUNCTION("""COMPUTED_VALUE"""),46113.6666666666)</f>
        <v/>
      </c>
      <c r="H46" s="513">
        <f>IFERROR(__xludf.DUMMYFUNCTION("""COMPUTED_VALUE"""),65.14)</f>
        <v/>
      </c>
      <c r="J46" s="512">
        <f>IFERROR(__xludf.DUMMYFUNCTION("""COMPUTED_VALUE"""),45929.6666666666)</f>
        <v/>
      </c>
      <c r="K46" s="513">
        <f>IFERROR(__xludf.DUMMYFUNCTION("""COMPUTED_VALUE"""),80.51)</f>
        <v/>
      </c>
      <c r="M46" s="512">
        <f>IFERROR(__xludf.DUMMYFUNCTION("""COMPUTED_VALUE"""),45929.6666666666)</f>
        <v/>
      </c>
      <c r="N46" s="513">
        <f>IFERROR(__xludf.DUMMYFUNCTION("""COMPUTED_VALUE"""),241.62)</f>
        <v/>
      </c>
      <c r="P46" s="512">
        <f>IFERROR(__xludf.DUMMYFUNCTION("""COMPUTED_VALUE"""),45929.6666666666)</f>
        <v/>
      </c>
      <c r="Q46" s="513">
        <f>IFERROR(__xludf.DUMMYFUNCTION("""COMPUTED_VALUE"""),79.21)</f>
        <v/>
      </c>
      <c r="S46" s="512">
        <f>IFERROR(__xludf.DUMMYFUNCTION("""COMPUTED_VALUE"""),45197.6666666666)</f>
        <v/>
      </c>
      <c r="T46" s="513">
        <f>IFERROR(__xludf.DUMMYFUNCTION("""COMPUTED_VALUE"""),170.69)</f>
        <v/>
      </c>
      <c r="V46" s="512">
        <f>IFERROR(__xludf.DUMMYFUNCTION("""COMPUTED_VALUE"""),45929.6666666666)</f>
        <v/>
      </c>
      <c r="W46" s="513">
        <f>IFERROR(__xludf.DUMMYFUNCTION("""COMPUTED_VALUE"""),22.62)</f>
        <v/>
      </c>
      <c r="Y46" s="512">
        <f>IFERROR(__xludf.DUMMYFUNCTION("""COMPUTED_VALUE"""),45929.6666666666)</f>
        <v/>
      </c>
      <c r="Z46" s="513">
        <f>IFERROR(__xludf.DUMMYFUNCTION("""COMPUTED_VALUE"""),74.4)</f>
        <v/>
      </c>
      <c r="AB46" s="512">
        <f>IFERROR(__xludf.DUMMYFUNCTION("""COMPUTED_VALUE"""),45929.6666666666)</f>
        <v/>
      </c>
      <c r="AC46" s="513">
        <f>IFERROR(__xludf.DUMMYFUNCTION("""COMPUTED_VALUE"""),53.94)</f>
        <v/>
      </c>
      <c r="AE46" s="512">
        <f>IFERROR(__xludf.DUMMYFUNCTION("""COMPUTED_VALUE"""),45929.6666666666)</f>
        <v/>
      </c>
      <c r="AF46" s="513">
        <f>IFERROR(__xludf.DUMMYFUNCTION("""COMPUTED_VALUE"""),95.39)</f>
        <v/>
      </c>
      <c r="AH46" s="512">
        <f>IFERROR(__xludf.DUMMYFUNCTION("""COMPUTED_VALUE"""),45929.6666666666)</f>
        <v/>
      </c>
      <c r="AI46" s="513">
        <f>IFERROR(__xludf.DUMMYFUNCTION("""COMPUTED_VALUE"""),22.97)</f>
        <v/>
      </c>
      <c r="AK46" s="512">
        <f>IFERROR(__xludf.DUMMYFUNCTION("""COMPUTED_VALUE"""),45929.6666666666)</f>
        <v/>
      </c>
      <c r="AL46" s="513">
        <f>IFERROR(__xludf.DUMMYFUNCTION("""COMPUTED_VALUE"""),81.22)</f>
        <v/>
      </c>
      <c r="AN46" s="512">
        <f>IFERROR(__xludf.DUMMYFUNCTION("""COMPUTED_VALUE"""),45929.6666666666)</f>
        <v/>
      </c>
      <c r="AO46" s="513">
        <f>IFERROR(__xludf.DUMMYFUNCTION("""COMPUTED_VALUE"""),111.25)</f>
        <v/>
      </c>
      <c r="AQ46" s="512">
        <f>IFERROR(__xludf.DUMMYFUNCTION("""COMPUTED_VALUE"""),45929.6666666666)</f>
        <v/>
      </c>
      <c r="AR46" s="513">
        <f>IFERROR(__xludf.DUMMYFUNCTION("""COMPUTED_VALUE"""),92.99)</f>
        <v/>
      </c>
      <c r="AT46" s="512">
        <f>IFERROR(__xludf.DUMMYFUNCTION("""COMPUTED_VALUE"""),45929.6666666666)</f>
        <v/>
      </c>
      <c r="AU46" s="513">
        <f>IFERROR(__xludf.DUMMYFUNCTION("""COMPUTED_VALUE"""),53.19)</f>
        <v/>
      </c>
      <c r="AW46" s="512">
        <f>IFERROR(__xludf.DUMMYFUNCTION("""COMPUTED_VALUE"""),45929.6666666666)</f>
        <v/>
      </c>
      <c r="AX46" s="513">
        <f>IFERROR(__xludf.DUMMYFUNCTION("""COMPUTED_VALUE"""),100.26)</f>
        <v/>
      </c>
      <c r="AZ46" s="512">
        <f>IFERROR(__xludf.DUMMYFUNCTION("""COMPUTED_VALUE"""),45929.6666666666)</f>
        <v/>
      </c>
      <c r="BA46" s="513">
        <f>IFERROR(__xludf.DUMMYFUNCTION("""COMPUTED_VALUE"""),111.58)</f>
        <v/>
      </c>
      <c r="BC46" s="512">
        <f>IFERROR(__xludf.DUMMYFUNCTION("""COMPUTED_VALUE"""),45929.6666666666)</f>
        <v/>
      </c>
      <c r="BD46" s="513">
        <f>IFERROR(__xludf.DUMMYFUNCTION("""COMPUTED_VALUE"""),96.5)</f>
        <v/>
      </c>
      <c r="BF46" s="512">
        <f>IFERROR(__xludf.DUMMYFUNCTION("""COMPUTED_VALUE"""),45929.6666666666)</f>
        <v/>
      </c>
      <c r="BG46" s="513">
        <f>IFERROR(__xludf.DUMMYFUNCTION("""COMPUTED_VALUE"""),82.92)</f>
        <v/>
      </c>
      <c r="BI46" s="512">
        <f>IFERROR(__xludf.DUMMYFUNCTION("""COMPUTED_VALUE"""),45929.6666666666)</f>
        <v/>
      </c>
      <c r="BJ46" s="513">
        <f>IFERROR(__xludf.DUMMYFUNCTION("""COMPUTED_VALUE"""),89.63)</f>
        <v/>
      </c>
      <c r="BL46" s="512">
        <f>IFERROR(__xludf.DUMMYFUNCTION("""COMPUTED_VALUE"""),45929.6666666666)</f>
        <v/>
      </c>
      <c r="BM46" s="513">
        <f>IFERROR(__xludf.DUMMYFUNCTION("""COMPUTED_VALUE"""),352.46)</f>
        <v/>
      </c>
      <c r="BO46" s="512">
        <f>IFERROR(__xludf.DUMMYFUNCTION("""COMPUTED_VALUE"""),45929.6666666666)</f>
        <v/>
      </c>
      <c r="BP46" s="513">
        <f>IFERROR(__xludf.DUMMYFUNCTION("""COMPUTED_VALUE"""),91.75)</f>
        <v/>
      </c>
    </row>
    <row r="47">
      <c r="A47" s="512">
        <f>IFERROR(__xludf.DUMMYFUNCTION("""COMPUTED_VALUE"""),45930.6666666666)</f>
        <v/>
      </c>
      <c r="B47" s="513">
        <f>IFERROR(__xludf.DUMMYFUNCTION("""COMPUTED_VALUE"""),666.18)</f>
        <v/>
      </c>
      <c r="D47" s="512">
        <f>IFERROR(__xludf.DUMMYFUNCTION("""COMPUTED_VALUE"""),45930.6666666666)</f>
        <v/>
      </c>
      <c r="E47" s="513">
        <f>IFERROR(__xludf.DUMMYFUNCTION("""COMPUTED_VALUE"""),91.42)</f>
        <v/>
      </c>
      <c r="G47" s="512">
        <f>IFERROR(__xludf.DUMMYFUNCTION("""COMPUTED_VALUE"""),46114.6666666666)</f>
        <v/>
      </c>
      <c r="H47" s="513">
        <f>IFERROR(__xludf.DUMMYFUNCTION("""COMPUTED_VALUE"""),64.64)</f>
        <v/>
      </c>
      <c r="J47" s="512">
        <f>IFERROR(__xludf.DUMMYFUNCTION("""COMPUTED_VALUE"""),45930.6666666666)</f>
        <v/>
      </c>
      <c r="K47" s="513">
        <f>IFERROR(__xludf.DUMMYFUNCTION("""COMPUTED_VALUE"""),80.21)</f>
        <v/>
      </c>
      <c r="M47" s="512">
        <f>IFERROR(__xludf.DUMMYFUNCTION("""COMPUTED_VALUE"""),45930.6666666666)</f>
        <v/>
      </c>
      <c r="N47" s="513">
        <f>IFERROR(__xludf.DUMMYFUNCTION("""COMPUTED_VALUE"""),241.96)</f>
        <v/>
      </c>
      <c r="P47" s="512">
        <f>IFERROR(__xludf.DUMMYFUNCTION("""COMPUTED_VALUE"""),45930.6666666666)</f>
        <v/>
      </c>
      <c r="Q47" s="513">
        <f>IFERROR(__xludf.DUMMYFUNCTION("""COMPUTED_VALUE"""),79.8)</f>
        <v/>
      </c>
      <c r="S47" s="512">
        <f>IFERROR(__xludf.DUMMYFUNCTION("""COMPUTED_VALUE"""),45198.6666666666)</f>
        <v/>
      </c>
      <c r="T47" s="513">
        <f>IFERROR(__xludf.DUMMYFUNCTION("""COMPUTED_VALUE"""),171.21)</f>
        <v/>
      </c>
      <c r="V47" s="512">
        <f>IFERROR(__xludf.DUMMYFUNCTION("""COMPUTED_VALUE"""),45930.6666666666)</f>
        <v/>
      </c>
      <c r="W47" s="513">
        <f>IFERROR(__xludf.DUMMYFUNCTION("""COMPUTED_VALUE"""),22.53)</f>
        <v/>
      </c>
      <c r="Y47" s="512">
        <f>IFERROR(__xludf.DUMMYFUNCTION("""COMPUTED_VALUE"""),45930.6666666666)</f>
        <v/>
      </c>
      <c r="Z47" s="513">
        <f>IFERROR(__xludf.DUMMYFUNCTION("""COMPUTED_VALUE"""),74.37)</f>
        <v/>
      </c>
      <c r="AB47" s="512">
        <f>IFERROR(__xludf.DUMMYFUNCTION("""COMPUTED_VALUE"""),45930.6666666666)</f>
        <v/>
      </c>
      <c r="AC47" s="513">
        <f>IFERROR(__xludf.DUMMYFUNCTION("""COMPUTED_VALUE"""),54.18)</f>
        <v/>
      </c>
      <c r="AE47" s="512">
        <f>IFERROR(__xludf.DUMMYFUNCTION("""COMPUTED_VALUE"""),45930.6666666666)</f>
        <v/>
      </c>
      <c r="AF47" s="513">
        <f>IFERROR(__xludf.DUMMYFUNCTION("""COMPUTED_VALUE"""),95.19)</f>
        <v/>
      </c>
      <c r="AH47" s="512">
        <f>IFERROR(__xludf.DUMMYFUNCTION("""COMPUTED_VALUE"""),45930.6666666666)</f>
        <v/>
      </c>
      <c r="AI47" s="513">
        <f>IFERROR(__xludf.DUMMYFUNCTION("""COMPUTED_VALUE"""),23)</f>
        <v/>
      </c>
      <c r="AK47" s="512">
        <f>IFERROR(__xludf.DUMMYFUNCTION("""COMPUTED_VALUE"""),45930.6666666666)</f>
        <v/>
      </c>
      <c r="AL47" s="513">
        <f>IFERROR(__xludf.DUMMYFUNCTION("""COMPUTED_VALUE"""),81.19)</f>
        <v/>
      </c>
      <c r="AN47" s="512">
        <f>IFERROR(__xludf.DUMMYFUNCTION("""COMPUTED_VALUE"""),45930.6666666666)</f>
        <v/>
      </c>
      <c r="AO47" s="513">
        <f>IFERROR(__xludf.DUMMYFUNCTION("""COMPUTED_VALUE"""),111.22)</f>
        <v/>
      </c>
      <c r="AQ47" s="512">
        <f>IFERROR(__xludf.DUMMYFUNCTION("""COMPUTED_VALUE"""),45930.6666666666)</f>
        <v/>
      </c>
      <c r="AR47" s="513">
        <f>IFERROR(__xludf.DUMMYFUNCTION("""COMPUTED_VALUE"""),93.37)</f>
        <v/>
      </c>
      <c r="AT47" s="512">
        <f>IFERROR(__xludf.DUMMYFUNCTION("""COMPUTED_VALUE"""),45930.6666666666)</f>
        <v/>
      </c>
      <c r="AU47" s="513">
        <f>IFERROR(__xludf.DUMMYFUNCTION("""COMPUTED_VALUE"""),53.4)</f>
        <v/>
      </c>
      <c r="AW47" s="512">
        <f>IFERROR(__xludf.DUMMYFUNCTION("""COMPUTED_VALUE"""),45930.6666666666)</f>
        <v/>
      </c>
      <c r="AX47" s="513">
        <f>IFERROR(__xludf.DUMMYFUNCTION("""COMPUTED_VALUE"""),100.25)</f>
        <v/>
      </c>
      <c r="AZ47" s="512">
        <f>IFERROR(__xludf.DUMMYFUNCTION("""COMPUTED_VALUE"""),45930.6666666666)</f>
        <v/>
      </c>
      <c r="BA47" s="513">
        <f>IFERROR(__xludf.DUMMYFUNCTION("""COMPUTED_VALUE"""),111.47)</f>
        <v/>
      </c>
      <c r="BC47" s="512">
        <f>IFERROR(__xludf.DUMMYFUNCTION("""COMPUTED_VALUE"""),45930.6666666666)</f>
        <v/>
      </c>
      <c r="BD47" s="513">
        <f>IFERROR(__xludf.DUMMYFUNCTION("""COMPUTED_VALUE"""),96.46)</f>
        <v/>
      </c>
      <c r="BF47" s="512">
        <f>IFERROR(__xludf.DUMMYFUNCTION("""COMPUTED_VALUE"""),45930.6666666666)</f>
        <v/>
      </c>
      <c r="BG47" s="513">
        <f>IFERROR(__xludf.DUMMYFUNCTION("""COMPUTED_VALUE"""),82.96)</f>
        <v/>
      </c>
      <c r="BI47" s="512">
        <f>IFERROR(__xludf.DUMMYFUNCTION("""COMPUTED_VALUE"""),45930.6666666666)</f>
        <v/>
      </c>
      <c r="BJ47" s="513">
        <f>IFERROR(__xludf.DUMMYFUNCTION("""COMPUTED_VALUE"""),89.37)</f>
        <v/>
      </c>
      <c r="BL47" s="512">
        <f>IFERROR(__xludf.DUMMYFUNCTION("""COMPUTED_VALUE"""),45930.6666666666)</f>
        <v/>
      </c>
      <c r="BM47" s="513">
        <f>IFERROR(__xludf.DUMMYFUNCTION("""COMPUTED_VALUE"""),355.47)</f>
        <v/>
      </c>
      <c r="BO47" s="512">
        <f>IFERROR(__xludf.DUMMYFUNCTION("""COMPUTED_VALUE"""),45930.6666666666)</f>
        <v/>
      </c>
      <c r="BP47" s="513">
        <f>IFERROR(__xludf.DUMMYFUNCTION("""COMPUTED_VALUE"""),91.75)</f>
        <v/>
      </c>
    </row>
    <row r="48">
      <c r="A48" s="512">
        <f>IFERROR(__xludf.DUMMYFUNCTION("""COMPUTED_VALUE"""),45931.6666666666)</f>
        <v/>
      </c>
      <c r="B48" s="513">
        <f>IFERROR(__xludf.DUMMYFUNCTION("""COMPUTED_VALUE"""),668.45)</f>
        <v/>
      </c>
      <c r="D48" s="512">
        <f>IFERROR(__xludf.DUMMYFUNCTION("""COMPUTED_VALUE"""),45931.6666666666)</f>
        <v/>
      </c>
      <c r="E48" s="513">
        <f>IFERROR(__xludf.DUMMYFUNCTION("""COMPUTED_VALUE"""),91.56)</f>
        <v/>
      </c>
      <c r="G48" s="512">
        <f>IFERROR(__xludf.DUMMYFUNCTION("""COMPUTED_VALUE"""),46118.6666666666)</f>
        <v/>
      </c>
      <c r="H48" s="513">
        <f>IFERROR(__xludf.DUMMYFUNCTION("""COMPUTED_VALUE"""),65.12)</f>
        <v/>
      </c>
      <c r="J48" s="512">
        <f>IFERROR(__xludf.DUMMYFUNCTION("""COMPUTED_VALUE"""),45931.6666666666)</f>
        <v/>
      </c>
      <c r="K48" s="513">
        <f>IFERROR(__xludf.DUMMYFUNCTION("""COMPUTED_VALUE"""),80.21)</f>
        <v/>
      </c>
      <c r="M48" s="512">
        <f>IFERROR(__xludf.DUMMYFUNCTION("""COMPUTED_VALUE"""),45931.6666666666)</f>
        <v/>
      </c>
      <c r="N48" s="513">
        <f>IFERROR(__xludf.DUMMYFUNCTION("""COMPUTED_VALUE"""),242.49)</f>
        <v/>
      </c>
      <c r="P48" s="512">
        <f>IFERROR(__xludf.DUMMYFUNCTION("""COMPUTED_VALUE"""),45931.6666666666)</f>
        <v/>
      </c>
      <c r="Q48" s="513">
        <f>IFERROR(__xludf.DUMMYFUNCTION("""COMPUTED_VALUE"""),80.72)</f>
        <v/>
      </c>
      <c r="S48" s="512">
        <f>IFERROR(__xludf.DUMMYFUNCTION("""COMPUTED_VALUE"""),45201.6666666666)</f>
        <v/>
      </c>
      <c r="T48" s="513">
        <f>IFERROR(__xludf.DUMMYFUNCTION("""COMPUTED_VALUE"""),173.75)</f>
        <v/>
      </c>
      <c r="V48" s="512">
        <f>IFERROR(__xludf.DUMMYFUNCTION("""COMPUTED_VALUE"""),45931.6666666666)</f>
        <v/>
      </c>
      <c r="W48" s="513">
        <f>IFERROR(__xludf.DUMMYFUNCTION("""COMPUTED_VALUE"""),22.49)</f>
        <v/>
      </c>
      <c r="Y48" s="512">
        <f>IFERROR(__xludf.DUMMYFUNCTION("""COMPUTED_VALUE"""),45931.6666666666)</f>
        <v/>
      </c>
      <c r="Z48" s="513">
        <f>IFERROR(__xludf.DUMMYFUNCTION("""COMPUTED_VALUE"""),74.32)</f>
        <v/>
      </c>
      <c r="AB48" s="512">
        <f>IFERROR(__xludf.DUMMYFUNCTION("""COMPUTED_VALUE"""),45931.6666666666)</f>
        <v/>
      </c>
      <c r="AC48" s="513">
        <f>IFERROR(__xludf.DUMMYFUNCTION("""COMPUTED_VALUE"""),54.52)</f>
        <v/>
      </c>
      <c r="AE48" s="512">
        <f>IFERROR(__xludf.DUMMYFUNCTION("""COMPUTED_VALUE"""),45931.6666666666)</f>
        <v/>
      </c>
      <c r="AF48" s="513">
        <f>IFERROR(__xludf.DUMMYFUNCTION("""COMPUTED_VALUE"""),95.12)</f>
        <v/>
      </c>
      <c r="AH48" s="512">
        <f>IFERROR(__xludf.DUMMYFUNCTION("""COMPUTED_VALUE"""),45931.6666666666)</f>
        <v/>
      </c>
      <c r="AI48" s="513">
        <f>IFERROR(__xludf.DUMMYFUNCTION("""COMPUTED_VALUE"""),22.99)</f>
        <v/>
      </c>
      <c r="AK48" s="512">
        <f>IFERROR(__xludf.DUMMYFUNCTION("""COMPUTED_VALUE"""),45931.6666666666)</f>
        <v/>
      </c>
      <c r="AL48" s="513">
        <f>IFERROR(__xludf.DUMMYFUNCTION("""COMPUTED_VALUE"""),80.96)</f>
        <v/>
      </c>
      <c r="AN48" s="512">
        <f>IFERROR(__xludf.DUMMYFUNCTION("""COMPUTED_VALUE"""),45931.6666666666)</f>
        <v/>
      </c>
      <c r="AO48" s="513">
        <f>IFERROR(__xludf.DUMMYFUNCTION("""COMPUTED_VALUE"""),111.22)</f>
        <v/>
      </c>
      <c r="AQ48" s="512">
        <f>IFERROR(__xludf.DUMMYFUNCTION("""COMPUTED_VALUE"""),45931.6666666666)</f>
        <v/>
      </c>
      <c r="AR48" s="513">
        <f>IFERROR(__xludf.DUMMYFUNCTION("""COMPUTED_VALUE"""),94.14)</f>
        <v/>
      </c>
      <c r="AT48" s="512">
        <f>IFERROR(__xludf.DUMMYFUNCTION("""COMPUTED_VALUE"""),45931.6666666666)</f>
        <v/>
      </c>
      <c r="AU48" s="513">
        <f>IFERROR(__xludf.DUMMYFUNCTION("""COMPUTED_VALUE"""),53.82)</f>
        <v/>
      </c>
      <c r="AW48" s="512">
        <f>IFERROR(__xludf.DUMMYFUNCTION("""COMPUTED_VALUE"""),45931.6666666666)</f>
        <v/>
      </c>
      <c r="AX48" s="513">
        <f>IFERROR(__xludf.DUMMYFUNCTION("""COMPUTED_VALUE"""),100.18)</f>
        <v/>
      </c>
      <c r="AZ48" s="512">
        <f>IFERROR(__xludf.DUMMYFUNCTION("""COMPUTED_VALUE"""),45931.6666666666)</f>
        <v/>
      </c>
      <c r="BA48" s="513">
        <f>IFERROR(__xludf.DUMMYFUNCTION("""COMPUTED_VALUE"""),111.51)</f>
        <v/>
      </c>
      <c r="BC48" s="512">
        <f>IFERROR(__xludf.DUMMYFUNCTION("""COMPUTED_VALUE"""),45931.6666666666)</f>
        <v/>
      </c>
      <c r="BD48" s="513">
        <f>IFERROR(__xludf.DUMMYFUNCTION("""COMPUTED_VALUE"""),96.49)</f>
        <v/>
      </c>
      <c r="BF48" s="512">
        <f>IFERROR(__xludf.DUMMYFUNCTION("""COMPUTED_VALUE"""),45931.6666666666)</f>
        <v/>
      </c>
      <c r="BG48" s="513">
        <f>IFERROR(__xludf.DUMMYFUNCTION("""COMPUTED_VALUE"""),82.8)</f>
        <v/>
      </c>
      <c r="BI48" s="512">
        <f>IFERROR(__xludf.DUMMYFUNCTION("""COMPUTED_VALUE"""),45931.6666666666)</f>
        <v/>
      </c>
      <c r="BJ48" s="513">
        <f>IFERROR(__xludf.DUMMYFUNCTION("""COMPUTED_VALUE"""),89.29)</f>
        <v/>
      </c>
      <c r="BL48" s="512">
        <f>IFERROR(__xludf.DUMMYFUNCTION("""COMPUTED_VALUE"""),45931.6666666666)</f>
        <v/>
      </c>
      <c r="BM48" s="513">
        <f>IFERROR(__xludf.DUMMYFUNCTION("""COMPUTED_VALUE"""),356.03)</f>
        <v/>
      </c>
      <c r="BO48" s="512">
        <f>IFERROR(__xludf.DUMMYFUNCTION("""COMPUTED_VALUE"""),45931.6666666666)</f>
        <v/>
      </c>
      <c r="BP48" s="513">
        <f>IFERROR(__xludf.DUMMYFUNCTION("""COMPUTED_VALUE"""),91.46)</f>
        <v/>
      </c>
    </row>
    <row r="49">
      <c r="A49" s="512">
        <f>IFERROR(__xludf.DUMMYFUNCTION("""COMPUTED_VALUE"""),45932.6666666666)</f>
        <v/>
      </c>
      <c r="B49" s="513">
        <f>IFERROR(__xludf.DUMMYFUNCTION("""COMPUTED_VALUE"""),669.22)</f>
        <v/>
      </c>
      <c r="D49" s="512">
        <f>IFERROR(__xludf.DUMMYFUNCTION("""COMPUTED_VALUE"""),45932.6666666666)</f>
        <v/>
      </c>
      <c r="E49" s="513">
        <f>IFERROR(__xludf.DUMMYFUNCTION("""COMPUTED_VALUE"""),91.08)</f>
        <v/>
      </c>
      <c r="G49" s="512">
        <f>IFERROR(__xludf.DUMMYFUNCTION("""COMPUTED_VALUE"""),46119.6666666666)</f>
        <v/>
      </c>
      <c r="H49" s="513">
        <f>IFERROR(__xludf.DUMMYFUNCTION("""COMPUTED_VALUE"""),65.09)</f>
        <v/>
      </c>
      <c r="J49" s="512">
        <f>IFERROR(__xludf.DUMMYFUNCTION("""COMPUTED_VALUE"""),45932.6666666666)</f>
        <v/>
      </c>
      <c r="K49" s="513">
        <f>IFERROR(__xludf.DUMMYFUNCTION("""COMPUTED_VALUE"""),80.15)</f>
        <v/>
      </c>
      <c r="M49" s="512">
        <f>IFERROR(__xludf.DUMMYFUNCTION("""COMPUTED_VALUE"""),45932.6666666666)</f>
        <v/>
      </c>
      <c r="N49" s="513">
        <f>IFERROR(__xludf.DUMMYFUNCTION("""COMPUTED_VALUE"""),244.02)</f>
        <v/>
      </c>
      <c r="P49" s="512">
        <f>IFERROR(__xludf.DUMMYFUNCTION("""COMPUTED_VALUE"""),45932.6666666666)</f>
        <v/>
      </c>
      <c r="Q49" s="513">
        <f>IFERROR(__xludf.DUMMYFUNCTION("""COMPUTED_VALUE"""),80.91)</f>
        <v/>
      </c>
      <c r="S49" s="512">
        <f>IFERROR(__xludf.DUMMYFUNCTION("""COMPUTED_VALUE"""),45202.6666666666)</f>
        <v/>
      </c>
      <c r="T49" s="513">
        <f>IFERROR(__xludf.DUMMYFUNCTION("""COMPUTED_VALUE"""),172.4)</f>
        <v/>
      </c>
      <c r="V49" s="512">
        <f>IFERROR(__xludf.DUMMYFUNCTION("""COMPUTED_VALUE"""),45932.6666666666)</f>
        <v/>
      </c>
      <c r="W49" s="513">
        <f>IFERROR(__xludf.DUMMYFUNCTION("""COMPUTED_VALUE"""),22.34)</f>
        <v/>
      </c>
      <c r="Y49" s="512">
        <f>IFERROR(__xludf.DUMMYFUNCTION("""COMPUTED_VALUE"""),45932.6666666666)</f>
        <v/>
      </c>
      <c r="Z49" s="513">
        <f>IFERROR(__xludf.DUMMYFUNCTION("""COMPUTED_VALUE"""),74.4)</f>
        <v/>
      </c>
      <c r="AB49" s="512">
        <f>IFERROR(__xludf.DUMMYFUNCTION("""COMPUTED_VALUE"""),45932.6666666666)</f>
        <v/>
      </c>
      <c r="AC49" s="513">
        <f>IFERROR(__xludf.DUMMYFUNCTION("""COMPUTED_VALUE"""),54.67)</f>
        <v/>
      </c>
      <c r="AE49" s="512">
        <f>IFERROR(__xludf.DUMMYFUNCTION("""COMPUTED_VALUE"""),45932.6666666666)</f>
        <v/>
      </c>
      <c r="AF49" s="513">
        <f>IFERROR(__xludf.DUMMYFUNCTION("""COMPUTED_VALUE"""),95.17)</f>
        <v/>
      </c>
      <c r="AH49" s="512">
        <f>IFERROR(__xludf.DUMMYFUNCTION("""COMPUTED_VALUE"""),45932.6666666666)</f>
        <v/>
      </c>
      <c r="AI49" s="513">
        <f>IFERROR(__xludf.DUMMYFUNCTION("""COMPUTED_VALUE"""),22.97)</f>
        <v/>
      </c>
      <c r="AK49" s="512">
        <f>IFERROR(__xludf.DUMMYFUNCTION("""COMPUTED_VALUE"""),45932.6666666666)</f>
        <v/>
      </c>
      <c r="AL49" s="513">
        <f>IFERROR(__xludf.DUMMYFUNCTION("""COMPUTED_VALUE"""),80.93)</f>
        <v/>
      </c>
      <c r="AN49" s="512">
        <f>IFERROR(__xludf.DUMMYFUNCTION("""COMPUTED_VALUE"""),45932.6666666666)</f>
        <v/>
      </c>
      <c r="AO49" s="513">
        <f>IFERROR(__xludf.DUMMYFUNCTION("""COMPUTED_VALUE"""),111.17)</f>
        <v/>
      </c>
      <c r="AQ49" s="512">
        <f>IFERROR(__xludf.DUMMYFUNCTION("""COMPUTED_VALUE"""),45932.6666666666)</f>
        <v/>
      </c>
      <c r="AR49" s="513">
        <f>IFERROR(__xludf.DUMMYFUNCTION("""COMPUTED_VALUE"""),94.29)</f>
        <v/>
      </c>
      <c r="AT49" s="512">
        <f>IFERROR(__xludf.DUMMYFUNCTION("""COMPUTED_VALUE"""),45932.6666666666)</f>
        <v/>
      </c>
      <c r="AU49" s="513">
        <f>IFERROR(__xludf.DUMMYFUNCTION("""COMPUTED_VALUE"""),54.07)</f>
        <v/>
      </c>
      <c r="AW49" s="512">
        <f>IFERROR(__xludf.DUMMYFUNCTION("""COMPUTED_VALUE"""),45932.6666666666)</f>
        <v/>
      </c>
      <c r="AX49" s="513">
        <f>IFERROR(__xludf.DUMMYFUNCTION("""COMPUTED_VALUE"""),100.29)</f>
        <v/>
      </c>
      <c r="AZ49" s="512">
        <f>IFERROR(__xludf.DUMMYFUNCTION("""COMPUTED_VALUE"""),45932.6666666666)</f>
        <v/>
      </c>
      <c r="BA49" s="513">
        <f>IFERROR(__xludf.DUMMYFUNCTION("""COMPUTED_VALUE"""),111.69)</f>
        <v/>
      </c>
      <c r="BC49" s="512">
        <f>IFERROR(__xludf.DUMMYFUNCTION("""COMPUTED_VALUE"""),45932.6666666666)</f>
        <v/>
      </c>
      <c r="BD49" s="513">
        <f>IFERROR(__xludf.DUMMYFUNCTION("""COMPUTED_VALUE"""),96.59)</f>
        <v/>
      </c>
      <c r="BF49" s="512">
        <f>IFERROR(__xludf.DUMMYFUNCTION("""COMPUTED_VALUE"""),45932.6666666666)</f>
        <v/>
      </c>
      <c r="BG49" s="513">
        <f>IFERROR(__xludf.DUMMYFUNCTION("""COMPUTED_VALUE"""),82.82)</f>
        <v/>
      </c>
      <c r="BI49" s="512">
        <f>IFERROR(__xludf.DUMMYFUNCTION("""COMPUTED_VALUE"""),45932.6666666666)</f>
        <v/>
      </c>
      <c r="BJ49" s="513">
        <f>IFERROR(__xludf.DUMMYFUNCTION("""COMPUTED_VALUE"""),89.55)</f>
        <v/>
      </c>
      <c r="BL49" s="512">
        <f>IFERROR(__xludf.DUMMYFUNCTION("""COMPUTED_VALUE"""),45932.6666666666)</f>
        <v/>
      </c>
      <c r="BM49" s="513">
        <f>IFERROR(__xludf.DUMMYFUNCTION("""COMPUTED_VALUE"""),354.79)</f>
        <v/>
      </c>
      <c r="BO49" s="512">
        <f>IFERROR(__xludf.DUMMYFUNCTION("""COMPUTED_VALUE"""),45932.6666666666)</f>
        <v/>
      </c>
      <c r="BP49" s="513">
        <f>IFERROR(__xludf.DUMMYFUNCTION("""COMPUTED_VALUE"""),91.47)</f>
        <v/>
      </c>
    </row>
    <row r="50">
      <c r="A50" s="512">
        <f>IFERROR(__xludf.DUMMYFUNCTION("""COMPUTED_VALUE"""),45933.6666666666)</f>
        <v/>
      </c>
      <c r="B50" s="513">
        <f>IFERROR(__xludf.DUMMYFUNCTION("""COMPUTED_VALUE"""),669.21)</f>
        <v/>
      </c>
      <c r="D50" s="512">
        <f>IFERROR(__xludf.DUMMYFUNCTION("""COMPUTED_VALUE"""),45933.6666666666)</f>
        <v/>
      </c>
      <c r="E50" s="513">
        <f>IFERROR(__xludf.DUMMYFUNCTION("""COMPUTED_VALUE"""),91.42)</f>
        <v/>
      </c>
      <c r="G50" s="512">
        <f>IFERROR(__xludf.DUMMYFUNCTION("""COMPUTED_VALUE"""),46120.6666666666)</f>
        <v/>
      </c>
      <c r="H50" s="513">
        <f>IFERROR(__xludf.DUMMYFUNCTION("""COMPUTED_VALUE"""),67.82)</f>
        <v/>
      </c>
      <c r="J50" s="512">
        <f>IFERROR(__xludf.DUMMYFUNCTION("""COMPUTED_VALUE"""),45933.6666666666)</f>
        <v/>
      </c>
      <c r="K50" s="513">
        <f>IFERROR(__xludf.DUMMYFUNCTION("""COMPUTED_VALUE"""),81.78)</f>
        <v/>
      </c>
      <c r="M50" s="512">
        <f>IFERROR(__xludf.DUMMYFUNCTION("""COMPUTED_VALUE"""),45933.6666666666)</f>
        <v/>
      </c>
      <c r="N50" s="513">
        <f>IFERROR(__xludf.DUMMYFUNCTION("""COMPUTED_VALUE"""),245.83)</f>
        <v/>
      </c>
      <c r="P50" s="512">
        <f>IFERROR(__xludf.DUMMYFUNCTION("""COMPUTED_VALUE"""),45933.6666666666)</f>
        <v/>
      </c>
      <c r="Q50" s="513">
        <f>IFERROR(__xludf.DUMMYFUNCTION("""COMPUTED_VALUE"""),81.35)</f>
        <v/>
      </c>
      <c r="S50" s="512">
        <f>IFERROR(__xludf.DUMMYFUNCTION("""COMPUTED_VALUE"""),45203.6666666666)</f>
        <v/>
      </c>
      <c r="T50" s="513">
        <f>IFERROR(__xludf.DUMMYFUNCTION("""COMPUTED_VALUE"""),173.66)</f>
        <v/>
      </c>
      <c r="V50" s="512">
        <f>IFERROR(__xludf.DUMMYFUNCTION("""COMPUTED_VALUE"""),45933.6666666666)</f>
        <v/>
      </c>
      <c r="W50" s="513">
        <f>IFERROR(__xludf.DUMMYFUNCTION("""COMPUTED_VALUE"""),22.41)</f>
        <v/>
      </c>
      <c r="Y50" s="512">
        <f>IFERROR(__xludf.DUMMYFUNCTION("""COMPUTED_VALUE"""),45933.6666666666)</f>
        <v/>
      </c>
      <c r="Z50" s="513">
        <f>IFERROR(__xludf.DUMMYFUNCTION("""COMPUTED_VALUE"""),74.31)</f>
        <v/>
      </c>
      <c r="AB50" s="512">
        <f>IFERROR(__xludf.DUMMYFUNCTION("""COMPUTED_VALUE"""),45933.6666666666)</f>
        <v/>
      </c>
      <c r="AC50" s="513">
        <f>IFERROR(__xludf.DUMMYFUNCTION("""COMPUTED_VALUE"""),54.79)</f>
        <v/>
      </c>
      <c r="AE50" s="512">
        <f>IFERROR(__xludf.DUMMYFUNCTION("""COMPUTED_VALUE"""),45933.6666666666)</f>
        <v/>
      </c>
      <c r="AF50" s="513">
        <f>IFERROR(__xludf.DUMMYFUNCTION("""COMPUTED_VALUE"""),95.21)</f>
        <v/>
      </c>
      <c r="AH50" s="512">
        <f>IFERROR(__xludf.DUMMYFUNCTION("""COMPUTED_VALUE"""),45933.6666666666)</f>
        <v/>
      </c>
      <c r="AI50" s="513">
        <f>IFERROR(__xludf.DUMMYFUNCTION("""COMPUTED_VALUE"""),22.96)</f>
        <v/>
      </c>
      <c r="AK50" s="512">
        <f>IFERROR(__xludf.DUMMYFUNCTION("""COMPUTED_VALUE"""),45933.6666666666)</f>
        <v/>
      </c>
      <c r="AL50" s="513">
        <f>IFERROR(__xludf.DUMMYFUNCTION("""COMPUTED_VALUE"""),80.84)</f>
        <v/>
      </c>
      <c r="AN50" s="512">
        <f>IFERROR(__xludf.DUMMYFUNCTION("""COMPUTED_VALUE"""),45933.6666666666)</f>
        <v/>
      </c>
      <c r="AO50" s="513">
        <f>IFERROR(__xludf.DUMMYFUNCTION("""COMPUTED_VALUE"""),111.05)</f>
        <v/>
      </c>
      <c r="AQ50" s="512">
        <f>IFERROR(__xludf.DUMMYFUNCTION("""COMPUTED_VALUE"""),45933.6666666666)</f>
        <v/>
      </c>
      <c r="AR50" s="513">
        <f>IFERROR(__xludf.DUMMYFUNCTION("""COMPUTED_VALUE"""),95.08)</f>
        <v/>
      </c>
      <c r="AT50" s="512">
        <f>IFERROR(__xludf.DUMMYFUNCTION("""COMPUTED_VALUE"""),45933.6666666666)</f>
        <v/>
      </c>
      <c r="AU50" s="513">
        <f>IFERROR(__xludf.DUMMYFUNCTION("""COMPUTED_VALUE"""),54.23)</f>
        <v/>
      </c>
      <c r="AW50" s="512">
        <f>IFERROR(__xludf.DUMMYFUNCTION("""COMPUTED_VALUE"""),45933.6666666666)</f>
        <v/>
      </c>
      <c r="AX50" s="513">
        <f>IFERROR(__xludf.DUMMYFUNCTION("""COMPUTED_VALUE"""),100.18)</f>
        <v/>
      </c>
      <c r="AZ50" s="512">
        <f>IFERROR(__xludf.DUMMYFUNCTION("""COMPUTED_VALUE"""),45933.6666666666)</f>
        <v/>
      </c>
      <c r="BA50" s="513">
        <f>IFERROR(__xludf.DUMMYFUNCTION("""COMPUTED_VALUE"""),111.55)</f>
        <v/>
      </c>
      <c r="BC50" s="512">
        <f>IFERROR(__xludf.DUMMYFUNCTION("""COMPUTED_VALUE"""),45933.6666666666)</f>
        <v/>
      </c>
      <c r="BD50" s="513">
        <f>IFERROR(__xludf.DUMMYFUNCTION("""COMPUTED_VALUE"""),96.4)</f>
        <v/>
      </c>
      <c r="BF50" s="512">
        <f>IFERROR(__xludf.DUMMYFUNCTION("""COMPUTED_VALUE"""),45933.6666666666)</f>
        <v/>
      </c>
      <c r="BG50" s="513">
        <f>IFERROR(__xludf.DUMMYFUNCTION("""COMPUTED_VALUE"""),82.79)</f>
        <v/>
      </c>
      <c r="BI50" s="512">
        <f>IFERROR(__xludf.DUMMYFUNCTION("""COMPUTED_VALUE"""),45933.6666666666)</f>
        <v/>
      </c>
      <c r="BJ50" s="513">
        <f>IFERROR(__xludf.DUMMYFUNCTION("""COMPUTED_VALUE"""),89.38)</f>
        <v/>
      </c>
      <c r="BL50" s="512">
        <f>IFERROR(__xludf.DUMMYFUNCTION("""COMPUTED_VALUE"""),45933.6666666666)</f>
        <v/>
      </c>
      <c r="BM50" s="513">
        <f>IFERROR(__xludf.DUMMYFUNCTION("""COMPUTED_VALUE"""),357.64)</f>
        <v/>
      </c>
      <c r="BO50" s="512">
        <f>IFERROR(__xludf.DUMMYFUNCTION("""COMPUTED_VALUE"""),45933.6666666666)</f>
        <v/>
      </c>
      <c r="BP50" s="513">
        <f>IFERROR(__xludf.DUMMYFUNCTION("""COMPUTED_VALUE"""),91.49)</f>
        <v/>
      </c>
    </row>
    <row r="51">
      <c r="A51" s="512">
        <f>IFERROR(__xludf.DUMMYFUNCTION("""COMPUTED_VALUE"""),45936.6666666666)</f>
        <v/>
      </c>
      <c r="B51" s="513">
        <f>IFERROR(__xludf.DUMMYFUNCTION("""COMPUTED_VALUE"""),671.61)</f>
        <v/>
      </c>
      <c r="D51" s="512">
        <f>IFERROR(__xludf.DUMMYFUNCTION("""COMPUTED_VALUE"""),45936.6666666666)</f>
        <v/>
      </c>
      <c r="E51" s="513">
        <f>IFERROR(__xludf.DUMMYFUNCTION("""COMPUTED_VALUE"""),90.56)</f>
        <v/>
      </c>
      <c r="G51" s="512">
        <f>IFERROR(__xludf.DUMMYFUNCTION("""COMPUTED_VALUE"""),46121.6666666666)</f>
        <v/>
      </c>
      <c r="H51" s="513">
        <f>IFERROR(__xludf.DUMMYFUNCTION("""COMPUTED_VALUE"""),67.55)</f>
        <v/>
      </c>
      <c r="J51" s="512">
        <f>IFERROR(__xludf.DUMMYFUNCTION("""COMPUTED_VALUE"""),45936.6666666666)</f>
        <v/>
      </c>
      <c r="K51" s="513">
        <f>IFERROR(__xludf.DUMMYFUNCTION("""COMPUTED_VALUE"""),83.27)</f>
        <v/>
      </c>
      <c r="M51" s="512">
        <f>IFERROR(__xludf.DUMMYFUNCTION("""COMPUTED_VALUE"""),45936.6666666666)</f>
        <v/>
      </c>
      <c r="N51" s="513">
        <f>IFERROR(__xludf.DUMMYFUNCTION("""COMPUTED_VALUE"""),246.81)</f>
        <v/>
      </c>
      <c r="P51" s="512">
        <f>IFERROR(__xludf.DUMMYFUNCTION("""COMPUTED_VALUE"""),45936.6666666666)</f>
        <v/>
      </c>
      <c r="Q51" s="513">
        <f>IFERROR(__xludf.DUMMYFUNCTION("""COMPUTED_VALUE"""),81.1)</f>
        <v/>
      </c>
      <c r="S51" s="512">
        <f>IFERROR(__xludf.DUMMYFUNCTION("""COMPUTED_VALUE"""),45204.6666666666)</f>
        <v/>
      </c>
      <c r="T51" s="513">
        <f>IFERROR(__xludf.DUMMYFUNCTION("""COMPUTED_VALUE"""),174.91)</f>
        <v/>
      </c>
      <c r="V51" s="512">
        <f>IFERROR(__xludf.DUMMYFUNCTION("""COMPUTED_VALUE"""),45936.6666666666)</f>
        <v/>
      </c>
      <c r="W51" s="513">
        <f>IFERROR(__xludf.DUMMYFUNCTION("""COMPUTED_VALUE"""),22.64)</f>
        <v/>
      </c>
      <c r="Y51" s="512">
        <f>IFERROR(__xludf.DUMMYFUNCTION("""COMPUTED_VALUE"""),45936.6666666666)</f>
        <v/>
      </c>
      <c r="Z51" s="513">
        <f>IFERROR(__xludf.DUMMYFUNCTION("""COMPUTED_VALUE"""),74.14)</f>
        <v/>
      </c>
      <c r="AB51" s="512">
        <f>IFERROR(__xludf.DUMMYFUNCTION("""COMPUTED_VALUE"""),45936.6666666666)</f>
        <v/>
      </c>
      <c r="AC51" s="513">
        <f>IFERROR(__xludf.DUMMYFUNCTION("""COMPUTED_VALUE"""),54.98)</f>
        <v/>
      </c>
      <c r="AE51" s="512">
        <f>IFERROR(__xludf.DUMMYFUNCTION("""COMPUTED_VALUE"""),45936.6666666666)</f>
        <v/>
      </c>
      <c r="AF51" s="513">
        <f>IFERROR(__xludf.DUMMYFUNCTION("""COMPUTED_VALUE"""),95.09)</f>
        <v/>
      </c>
      <c r="AH51" s="512">
        <f>IFERROR(__xludf.DUMMYFUNCTION("""COMPUTED_VALUE"""),45936.6666666666)</f>
        <v/>
      </c>
      <c r="AI51" s="513">
        <f>IFERROR(__xludf.DUMMYFUNCTION("""COMPUTED_VALUE"""),22.8)</f>
        <v/>
      </c>
      <c r="AK51" s="512">
        <f>IFERROR(__xludf.DUMMYFUNCTION("""COMPUTED_VALUE"""),45936.6666666666)</f>
        <v/>
      </c>
      <c r="AL51" s="513">
        <f>IFERROR(__xludf.DUMMYFUNCTION("""COMPUTED_VALUE"""),80.86)</f>
        <v/>
      </c>
      <c r="AN51" s="512">
        <f>IFERROR(__xludf.DUMMYFUNCTION("""COMPUTED_VALUE"""),45936.6666666666)</f>
        <v/>
      </c>
      <c r="AO51" s="513">
        <f>IFERROR(__xludf.DUMMYFUNCTION("""COMPUTED_VALUE"""),110.86)</f>
        <v/>
      </c>
      <c r="AQ51" s="512">
        <f>IFERROR(__xludf.DUMMYFUNCTION("""COMPUTED_VALUE"""),45936.6666666666)</f>
        <v/>
      </c>
      <c r="AR51" s="513">
        <f>IFERROR(__xludf.DUMMYFUNCTION("""COMPUTED_VALUE"""),95.3)</f>
        <v/>
      </c>
      <c r="AT51" s="512">
        <f>IFERROR(__xludf.DUMMYFUNCTION("""COMPUTED_VALUE"""),45936.6666666666)</f>
        <v/>
      </c>
      <c r="AU51" s="513">
        <f>IFERROR(__xludf.DUMMYFUNCTION("""COMPUTED_VALUE"""),54.48)</f>
        <v/>
      </c>
      <c r="AW51" s="512">
        <f>IFERROR(__xludf.DUMMYFUNCTION("""COMPUTED_VALUE"""),45936.6666666666)</f>
        <v/>
      </c>
      <c r="AX51" s="513">
        <f>IFERROR(__xludf.DUMMYFUNCTION("""COMPUTED_VALUE"""),99.96)</f>
        <v/>
      </c>
      <c r="AZ51" s="512">
        <f>IFERROR(__xludf.DUMMYFUNCTION("""COMPUTED_VALUE"""),45936.6666666666)</f>
        <v/>
      </c>
      <c r="BA51" s="513">
        <f>IFERROR(__xludf.DUMMYFUNCTION("""COMPUTED_VALUE"""),111.19)</f>
        <v/>
      </c>
      <c r="BC51" s="512">
        <f>IFERROR(__xludf.DUMMYFUNCTION("""COMPUTED_VALUE"""),45936.6666666666)</f>
        <v/>
      </c>
      <c r="BD51" s="513">
        <f>IFERROR(__xludf.DUMMYFUNCTION("""COMPUTED_VALUE"""),96.12)</f>
        <v/>
      </c>
      <c r="BF51" s="512">
        <f>IFERROR(__xludf.DUMMYFUNCTION("""COMPUTED_VALUE"""),45936.6666666666)</f>
        <v/>
      </c>
      <c r="BG51" s="513">
        <f>IFERROR(__xludf.DUMMYFUNCTION("""COMPUTED_VALUE"""),82.77)</f>
        <v/>
      </c>
      <c r="BI51" s="512">
        <f>IFERROR(__xludf.DUMMYFUNCTION("""COMPUTED_VALUE"""),45936.6666666666)</f>
        <v/>
      </c>
      <c r="BJ51" s="513">
        <f>IFERROR(__xludf.DUMMYFUNCTION("""COMPUTED_VALUE"""),88.67)</f>
        <v/>
      </c>
      <c r="BL51" s="512">
        <f>IFERROR(__xludf.DUMMYFUNCTION("""COMPUTED_VALUE"""),45936.6666666666)</f>
        <v/>
      </c>
      <c r="BM51" s="513">
        <f>IFERROR(__xludf.DUMMYFUNCTION("""COMPUTED_VALUE"""),364.38)</f>
        <v/>
      </c>
      <c r="BO51" s="512">
        <f>IFERROR(__xludf.DUMMYFUNCTION("""COMPUTED_VALUE"""),45936.6666666666)</f>
        <v/>
      </c>
      <c r="BP51" s="513">
        <f>IFERROR(__xludf.DUMMYFUNCTION("""COMPUTED_VALUE"""),91.51)</f>
        <v/>
      </c>
    </row>
    <row r="52">
      <c r="A52" s="512">
        <f>IFERROR(__xludf.DUMMYFUNCTION("""COMPUTED_VALUE"""),45937.6666666666)</f>
        <v/>
      </c>
      <c r="B52" s="513">
        <f>IFERROR(__xludf.DUMMYFUNCTION("""COMPUTED_VALUE"""),669.12)</f>
        <v/>
      </c>
      <c r="D52" s="512">
        <f>IFERROR(__xludf.DUMMYFUNCTION("""COMPUTED_VALUE"""),45937.6666666666)</f>
        <v/>
      </c>
      <c r="E52" s="513">
        <f>IFERROR(__xludf.DUMMYFUNCTION("""COMPUTED_VALUE"""),90.23)</f>
        <v/>
      </c>
      <c r="G52" s="512">
        <f>IFERROR(__xludf.DUMMYFUNCTION("""COMPUTED_VALUE"""),46122.6666666666)</f>
        <v/>
      </c>
      <c r="H52" s="513">
        <f>IFERROR(__xludf.DUMMYFUNCTION("""COMPUTED_VALUE"""),67.74)</f>
        <v/>
      </c>
      <c r="J52" s="512">
        <f>IFERROR(__xludf.DUMMYFUNCTION("""COMPUTED_VALUE"""),45937.6666666666)</f>
        <v/>
      </c>
      <c r="K52" s="513">
        <f>IFERROR(__xludf.DUMMYFUNCTION("""COMPUTED_VALUE"""),81.96)</f>
        <v/>
      </c>
      <c r="M52" s="512">
        <f>IFERROR(__xludf.DUMMYFUNCTION("""COMPUTED_VALUE"""),45937.6666666666)</f>
        <v/>
      </c>
      <c r="N52" s="513">
        <f>IFERROR(__xludf.DUMMYFUNCTION("""COMPUTED_VALUE"""),244.16)</f>
        <v/>
      </c>
      <c r="P52" s="512">
        <f>IFERROR(__xludf.DUMMYFUNCTION("""COMPUTED_VALUE"""),45937.6666666666)</f>
        <v/>
      </c>
      <c r="Q52" s="513">
        <f>IFERROR(__xludf.DUMMYFUNCTION("""COMPUTED_VALUE"""),80.49)</f>
        <v/>
      </c>
      <c r="S52" s="512">
        <f>IFERROR(__xludf.DUMMYFUNCTION("""COMPUTED_VALUE"""),45205.6666666666)</f>
        <v/>
      </c>
      <c r="T52" s="513">
        <f>IFERROR(__xludf.DUMMYFUNCTION("""COMPUTED_VALUE"""),177.49)</f>
        <v/>
      </c>
      <c r="V52" s="512">
        <f>IFERROR(__xludf.DUMMYFUNCTION("""COMPUTED_VALUE"""),45937.6666666666)</f>
        <v/>
      </c>
      <c r="W52" s="513">
        <f>IFERROR(__xludf.DUMMYFUNCTION("""COMPUTED_VALUE"""),22.73)</f>
        <v/>
      </c>
      <c r="Y52" s="512">
        <f>IFERROR(__xludf.DUMMYFUNCTION("""COMPUTED_VALUE"""),45937.6666666666)</f>
        <v/>
      </c>
      <c r="Z52" s="513">
        <f>IFERROR(__xludf.DUMMYFUNCTION("""COMPUTED_VALUE"""),74.28)</f>
        <v/>
      </c>
      <c r="AB52" s="512">
        <f>IFERROR(__xludf.DUMMYFUNCTION("""COMPUTED_VALUE"""),45937.6666666666)</f>
        <v/>
      </c>
      <c r="AC52" s="513">
        <f>IFERROR(__xludf.DUMMYFUNCTION("""COMPUTED_VALUE"""),54.68)</f>
        <v/>
      </c>
      <c r="AE52" s="512">
        <f>IFERROR(__xludf.DUMMYFUNCTION("""COMPUTED_VALUE"""),45937.6666666666)</f>
        <v/>
      </c>
      <c r="AF52" s="513">
        <f>IFERROR(__xludf.DUMMYFUNCTION("""COMPUTED_VALUE"""),95.05)</f>
        <v/>
      </c>
      <c r="AH52" s="512">
        <f>IFERROR(__xludf.DUMMYFUNCTION("""COMPUTED_VALUE"""),45937.6666666666)</f>
        <v/>
      </c>
      <c r="AI52" s="513">
        <f>IFERROR(__xludf.DUMMYFUNCTION("""COMPUTED_VALUE"""),22.7)</f>
        <v/>
      </c>
      <c r="AK52" s="512">
        <f>IFERROR(__xludf.DUMMYFUNCTION("""COMPUTED_VALUE"""),45937.6666666666)</f>
        <v/>
      </c>
      <c r="AL52" s="513">
        <f>IFERROR(__xludf.DUMMYFUNCTION("""COMPUTED_VALUE"""),80.77)</f>
        <v/>
      </c>
      <c r="AN52" s="512">
        <f>IFERROR(__xludf.DUMMYFUNCTION("""COMPUTED_VALUE"""),45937.6666666666)</f>
        <v/>
      </c>
      <c r="AO52" s="513">
        <f>IFERROR(__xludf.DUMMYFUNCTION("""COMPUTED_VALUE"""),111.17)</f>
        <v/>
      </c>
      <c r="AQ52" s="512">
        <f>IFERROR(__xludf.DUMMYFUNCTION("""COMPUTED_VALUE"""),45937.6666666666)</f>
        <v/>
      </c>
      <c r="AR52" s="513">
        <f>IFERROR(__xludf.DUMMYFUNCTION("""COMPUTED_VALUE"""),94.47)</f>
        <v/>
      </c>
      <c r="AT52" s="512">
        <f>IFERROR(__xludf.DUMMYFUNCTION("""COMPUTED_VALUE"""),45937.6666666666)</f>
        <v/>
      </c>
      <c r="AU52" s="513">
        <f>IFERROR(__xludf.DUMMYFUNCTION("""COMPUTED_VALUE"""),54.06)</f>
        <v/>
      </c>
      <c r="AW52" s="512">
        <f>IFERROR(__xludf.DUMMYFUNCTION("""COMPUTED_VALUE"""),45937.6666666666)</f>
        <v/>
      </c>
      <c r="AX52" s="513">
        <f>IFERROR(__xludf.DUMMYFUNCTION("""COMPUTED_VALUE"""),100.13)</f>
        <v/>
      </c>
      <c r="AZ52" s="512">
        <f>IFERROR(__xludf.DUMMYFUNCTION("""COMPUTED_VALUE"""),45937.6666666666)</f>
        <v/>
      </c>
      <c r="BA52" s="513">
        <f>IFERROR(__xludf.DUMMYFUNCTION("""COMPUTED_VALUE"""),111.4)</f>
        <v/>
      </c>
      <c r="BC52" s="512">
        <f>IFERROR(__xludf.DUMMYFUNCTION("""COMPUTED_VALUE"""),45937.6666666666)</f>
        <v/>
      </c>
      <c r="BD52" s="513">
        <f>IFERROR(__xludf.DUMMYFUNCTION("""COMPUTED_VALUE"""),96.36)</f>
        <v/>
      </c>
      <c r="BF52" s="512">
        <f>IFERROR(__xludf.DUMMYFUNCTION("""COMPUTED_VALUE"""),45937.6666666666)</f>
        <v/>
      </c>
      <c r="BG52" s="513">
        <f>IFERROR(__xludf.DUMMYFUNCTION("""COMPUTED_VALUE"""),82.81)</f>
        <v/>
      </c>
      <c r="BI52" s="512">
        <f>IFERROR(__xludf.DUMMYFUNCTION("""COMPUTED_VALUE"""),45937.6666666666)</f>
        <v/>
      </c>
      <c r="BJ52" s="513">
        <f>IFERROR(__xludf.DUMMYFUNCTION("""COMPUTED_VALUE"""),89.18)</f>
        <v/>
      </c>
      <c r="BL52" s="512">
        <f>IFERROR(__xludf.DUMMYFUNCTION("""COMPUTED_VALUE"""),45937.6666666666)</f>
        <v/>
      </c>
      <c r="BM52" s="513">
        <f>IFERROR(__xludf.DUMMYFUNCTION("""COMPUTED_VALUE"""),366.26)</f>
        <v/>
      </c>
      <c r="BO52" s="512">
        <f>IFERROR(__xludf.DUMMYFUNCTION("""COMPUTED_VALUE"""),45937.6666666666)</f>
        <v/>
      </c>
      <c r="BP52" s="513">
        <f>IFERROR(__xludf.DUMMYFUNCTION("""COMPUTED_VALUE"""),91.51)</f>
        <v/>
      </c>
    </row>
    <row r="53">
      <c r="A53" s="512">
        <f>IFERROR(__xludf.DUMMYFUNCTION("""COMPUTED_VALUE"""),45938.6666666666)</f>
        <v/>
      </c>
      <c r="B53" s="513">
        <f>IFERROR(__xludf.DUMMYFUNCTION("""COMPUTED_VALUE"""),673.11)</f>
        <v/>
      </c>
      <c r="D53" s="512">
        <f>IFERROR(__xludf.DUMMYFUNCTION("""COMPUTED_VALUE"""),45938.6666666666)</f>
        <v/>
      </c>
      <c r="E53" s="513">
        <f>IFERROR(__xludf.DUMMYFUNCTION("""COMPUTED_VALUE"""),89.76)</f>
        <v/>
      </c>
      <c r="G53" s="512">
        <f>IFERROR(__xludf.DUMMYFUNCTION("""COMPUTED_VALUE"""),46125.6666666666)</f>
        <v/>
      </c>
      <c r="H53" s="513">
        <f>IFERROR(__xludf.DUMMYFUNCTION("""COMPUTED_VALUE"""),68.21)</f>
        <v/>
      </c>
      <c r="J53" s="512">
        <f>IFERROR(__xludf.DUMMYFUNCTION("""COMPUTED_VALUE"""),45938.6666666666)</f>
        <v/>
      </c>
      <c r="K53" s="513">
        <f>IFERROR(__xludf.DUMMYFUNCTION("""COMPUTED_VALUE"""),81.75)</f>
        <v/>
      </c>
      <c r="M53" s="512">
        <f>IFERROR(__xludf.DUMMYFUNCTION("""COMPUTED_VALUE"""),45938.6666666666)</f>
        <v/>
      </c>
      <c r="N53" s="513">
        <f>IFERROR(__xludf.DUMMYFUNCTION("""COMPUTED_VALUE"""),246.72)</f>
        <v/>
      </c>
      <c r="P53" s="512">
        <f>IFERROR(__xludf.DUMMYFUNCTION("""COMPUTED_VALUE"""),45938.6666666666)</f>
        <v/>
      </c>
      <c r="Q53" s="513">
        <f>IFERROR(__xludf.DUMMYFUNCTION("""COMPUTED_VALUE"""),80.96)</f>
        <v/>
      </c>
      <c r="S53" s="512">
        <f>IFERROR(__xludf.DUMMYFUNCTION("""COMPUTED_VALUE"""),45208.6666666666)</f>
        <v/>
      </c>
      <c r="T53" s="513">
        <f>IFERROR(__xludf.DUMMYFUNCTION("""COMPUTED_VALUE"""),178.99)</f>
        <v/>
      </c>
      <c r="V53" s="512">
        <f>IFERROR(__xludf.DUMMYFUNCTION("""COMPUTED_VALUE"""),45938.6666666666)</f>
        <v/>
      </c>
      <c r="W53" s="513">
        <f>IFERROR(__xludf.DUMMYFUNCTION("""COMPUTED_VALUE"""),22.76)</f>
        <v/>
      </c>
      <c r="Y53" s="512">
        <f>IFERROR(__xludf.DUMMYFUNCTION("""COMPUTED_VALUE"""),45938.6666666666)</f>
        <v/>
      </c>
      <c r="Z53" s="513">
        <f>IFERROR(__xludf.DUMMYFUNCTION("""COMPUTED_VALUE"""),74.28)</f>
        <v/>
      </c>
      <c r="AB53" s="512">
        <f>IFERROR(__xludf.DUMMYFUNCTION("""COMPUTED_VALUE"""),45938.6666666666)</f>
        <v/>
      </c>
      <c r="AC53" s="513">
        <f>IFERROR(__xludf.DUMMYFUNCTION("""COMPUTED_VALUE"""),54.99)</f>
        <v/>
      </c>
      <c r="AE53" s="512">
        <f>IFERROR(__xludf.DUMMYFUNCTION("""COMPUTED_VALUE"""),45938.6666666666)</f>
        <v/>
      </c>
      <c r="AF53" s="513">
        <f>IFERROR(__xludf.DUMMYFUNCTION("""COMPUTED_VALUE"""),95.1)</f>
        <v/>
      </c>
      <c r="AH53" s="512">
        <f>IFERROR(__xludf.DUMMYFUNCTION("""COMPUTED_VALUE"""),45938.6666666666)</f>
        <v/>
      </c>
      <c r="AI53" s="513">
        <f>IFERROR(__xludf.DUMMYFUNCTION("""COMPUTED_VALUE"""),22.69)</f>
        <v/>
      </c>
      <c r="AK53" s="512">
        <f>IFERROR(__xludf.DUMMYFUNCTION("""COMPUTED_VALUE"""),45938.6666666666)</f>
        <v/>
      </c>
      <c r="AL53" s="513">
        <f>IFERROR(__xludf.DUMMYFUNCTION("""COMPUTED_VALUE"""),80.65)</f>
        <v/>
      </c>
      <c r="AN53" s="512">
        <f>IFERROR(__xludf.DUMMYFUNCTION("""COMPUTED_VALUE"""),45938.6666666666)</f>
        <v/>
      </c>
      <c r="AO53" s="513">
        <f>IFERROR(__xludf.DUMMYFUNCTION("""COMPUTED_VALUE"""),111.25)</f>
        <v/>
      </c>
      <c r="AQ53" s="512">
        <f>IFERROR(__xludf.DUMMYFUNCTION("""COMPUTED_VALUE"""),45938.6666666666)</f>
        <v/>
      </c>
      <c r="AR53" s="513">
        <f>IFERROR(__xludf.DUMMYFUNCTION("""COMPUTED_VALUE"""),94.75)</f>
        <v/>
      </c>
      <c r="AT53" s="512">
        <f>IFERROR(__xludf.DUMMYFUNCTION("""COMPUTED_VALUE"""),45938.6666666666)</f>
        <v/>
      </c>
      <c r="AU53" s="513">
        <f>IFERROR(__xludf.DUMMYFUNCTION("""COMPUTED_VALUE"""),54.49)</f>
        <v/>
      </c>
      <c r="AW53" s="512">
        <f>IFERROR(__xludf.DUMMYFUNCTION("""COMPUTED_VALUE"""),45938.6666666666)</f>
        <v/>
      </c>
      <c r="AX53" s="513">
        <f>IFERROR(__xludf.DUMMYFUNCTION("""COMPUTED_VALUE"""),100.14)</f>
        <v/>
      </c>
      <c r="AZ53" s="512">
        <f>IFERROR(__xludf.DUMMYFUNCTION("""COMPUTED_VALUE"""),45938.6666666666)</f>
        <v/>
      </c>
      <c r="BA53" s="513">
        <f>IFERROR(__xludf.DUMMYFUNCTION("""COMPUTED_VALUE"""),111.26)</f>
        <v/>
      </c>
      <c r="BC53" s="512">
        <f>IFERROR(__xludf.DUMMYFUNCTION("""COMPUTED_VALUE"""),45938.6666666666)</f>
        <v/>
      </c>
      <c r="BD53" s="513">
        <f>IFERROR(__xludf.DUMMYFUNCTION("""COMPUTED_VALUE"""),96.38)</f>
        <v/>
      </c>
      <c r="BF53" s="512">
        <f>IFERROR(__xludf.DUMMYFUNCTION("""COMPUTED_VALUE"""),45938.6666666666)</f>
        <v/>
      </c>
      <c r="BG53" s="513">
        <f>IFERROR(__xludf.DUMMYFUNCTION("""COMPUTED_VALUE"""),82.8)</f>
        <v/>
      </c>
      <c r="BI53" s="512">
        <f>IFERROR(__xludf.DUMMYFUNCTION("""COMPUTED_VALUE"""),45938.6666666666)</f>
        <v/>
      </c>
      <c r="BJ53" s="513">
        <f>IFERROR(__xludf.DUMMYFUNCTION("""COMPUTED_VALUE"""),89.25)</f>
        <v/>
      </c>
      <c r="BL53" s="512">
        <f>IFERROR(__xludf.DUMMYFUNCTION("""COMPUTED_VALUE"""),45938.6666666666)</f>
        <v/>
      </c>
      <c r="BM53" s="513">
        <f>IFERROR(__xludf.DUMMYFUNCTION("""COMPUTED_VALUE"""),372.3)</f>
        <v/>
      </c>
      <c r="BO53" s="512">
        <f>IFERROR(__xludf.DUMMYFUNCTION("""COMPUTED_VALUE"""),45938.6666666666)</f>
        <v/>
      </c>
      <c r="BP53" s="513">
        <f>IFERROR(__xludf.DUMMYFUNCTION("""COMPUTED_VALUE"""),91.53)</f>
        <v/>
      </c>
    </row>
    <row r="54">
      <c r="A54" s="512">
        <f>IFERROR(__xludf.DUMMYFUNCTION("""COMPUTED_VALUE"""),45939.6666666666)</f>
        <v/>
      </c>
      <c r="B54" s="513">
        <f>IFERROR(__xludf.DUMMYFUNCTION("""COMPUTED_VALUE"""),671.16)</f>
        <v/>
      </c>
      <c r="D54" s="512">
        <f>IFERROR(__xludf.DUMMYFUNCTION("""COMPUTED_VALUE"""),45939.6666666666)</f>
        <v/>
      </c>
      <c r="E54" s="513">
        <f>IFERROR(__xludf.DUMMYFUNCTION("""COMPUTED_VALUE"""),89.27)</f>
        <v/>
      </c>
      <c r="G54" s="512">
        <f>IFERROR(__xludf.DUMMYFUNCTION("""COMPUTED_VALUE"""),46126.6666666666)</f>
        <v/>
      </c>
      <c r="H54" s="513">
        <f>IFERROR(__xludf.DUMMYFUNCTION("""COMPUTED_VALUE"""),68.89)</f>
        <v/>
      </c>
      <c r="J54" s="512">
        <f>IFERROR(__xludf.DUMMYFUNCTION("""COMPUTED_VALUE"""),45939.6666666666)</f>
        <v/>
      </c>
      <c r="K54" s="513">
        <f>IFERROR(__xludf.DUMMYFUNCTION("""COMPUTED_VALUE"""),81.55)</f>
        <v/>
      </c>
      <c r="M54" s="512">
        <f>IFERROR(__xludf.DUMMYFUNCTION("""COMPUTED_VALUE"""),45939.6666666666)</f>
        <v/>
      </c>
      <c r="N54" s="513">
        <f>IFERROR(__xludf.DUMMYFUNCTION("""COMPUTED_VALUE"""),245.13)</f>
        <v/>
      </c>
      <c r="P54" s="512">
        <f>IFERROR(__xludf.DUMMYFUNCTION("""COMPUTED_VALUE"""),45939.6666666666)</f>
        <v/>
      </c>
      <c r="Q54" s="513">
        <f>IFERROR(__xludf.DUMMYFUNCTION("""COMPUTED_VALUE"""),80.1)</f>
        <v/>
      </c>
      <c r="S54" s="512">
        <f>IFERROR(__xludf.DUMMYFUNCTION("""COMPUTED_VALUE"""),45209.6666666666)</f>
        <v/>
      </c>
      <c r="T54" s="513">
        <f>IFERROR(__xludf.DUMMYFUNCTION("""COMPUTED_VALUE"""),178.39)</f>
        <v/>
      </c>
      <c r="V54" s="512">
        <f>IFERROR(__xludf.DUMMYFUNCTION("""COMPUTED_VALUE"""),45939.6666666666)</f>
        <v/>
      </c>
      <c r="W54" s="513">
        <f>IFERROR(__xludf.DUMMYFUNCTION("""COMPUTED_VALUE"""),22.55)</f>
        <v/>
      </c>
      <c r="Y54" s="512">
        <f>IFERROR(__xludf.DUMMYFUNCTION("""COMPUTED_VALUE"""),45939.6666666666)</f>
        <v/>
      </c>
      <c r="Z54" s="513">
        <f>IFERROR(__xludf.DUMMYFUNCTION("""COMPUTED_VALUE"""),74.23)</f>
        <v/>
      </c>
      <c r="AB54" s="512">
        <f>IFERROR(__xludf.DUMMYFUNCTION("""COMPUTED_VALUE"""),45939.6666666666)</f>
        <v/>
      </c>
      <c r="AC54" s="513">
        <f>IFERROR(__xludf.DUMMYFUNCTION("""COMPUTED_VALUE"""),54.51)</f>
        <v/>
      </c>
      <c r="AE54" s="512">
        <f>IFERROR(__xludf.DUMMYFUNCTION("""COMPUTED_VALUE"""),45939.6666666666)</f>
        <v/>
      </c>
      <c r="AF54" s="513">
        <f>IFERROR(__xludf.DUMMYFUNCTION("""COMPUTED_VALUE"""),95.05)</f>
        <v/>
      </c>
      <c r="AH54" s="512">
        <f>IFERROR(__xludf.DUMMYFUNCTION("""COMPUTED_VALUE"""),45939.6666666666)</f>
        <v/>
      </c>
      <c r="AI54" s="513">
        <f>IFERROR(__xludf.DUMMYFUNCTION("""COMPUTED_VALUE"""),22.58)</f>
        <v/>
      </c>
      <c r="AK54" s="512">
        <f>IFERROR(__xludf.DUMMYFUNCTION("""COMPUTED_VALUE"""),45939.6666666666)</f>
        <v/>
      </c>
      <c r="AL54" s="513">
        <f>IFERROR(__xludf.DUMMYFUNCTION("""COMPUTED_VALUE"""),80.42)</f>
        <v/>
      </c>
      <c r="AN54" s="512">
        <f>IFERROR(__xludf.DUMMYFUNCTION("""COMPUTED_VALUE"""),45939.6666666666)</f>
        <v/>
      </c>
      <c r="AO54" s="513">
        <f>IFERROR(__xludf.DUMMYFUNCTION("""COMPUTED_VALUE"""),111.12)</f>
        <v/>
      </c>
      <c r="AQ54" s="512">
        <f>IFERROR(__xludf.DUMMYFUNCTION("""COMPUTED_VALUE"""),45939.6666666666)</f>
        <v/>
      </c>
      <c r="AR54" s="513">
        <f>IFERROR(__xludf.DUMMYFUNCTION("""COMPUTED_VALUE"""),93.97)</f>
        <v/>
      </c>
      <c r="AT54" s="512">
        <f>IFERROR(__xludf.DUMMYFUNCTION("""COMPUTED_VALUE"""),45939.6666666666)</f>
        <v/>
      </c>
      <c r="AU54" s="513">
        <f>IFERROR(__xludf.DUMMYFUNCTION("""COMPUTED_VALUE"""),53.93)</f>
        <v/>
      </c>
      <c r="AW54" s="512">
        <f>IFERROR(__xludf.DUMMYFUNCTION("""COMPUTED_VALUE"""),45939.6666666666)</f>
        <v/>
      </c>
      <c r="AX54" s="513">
        <f>IFERROR(__xludf.DUMMYFUNCTION("""COMPUTED_VALUE"""),100.02)</f>
        <v/>
      </c>
      <c r="AZ54" s="512">
        <f>IFERROR(__xludf.DUMMYFUNCTION("""COMPUTED_VALUE"""),45939.6666666666)</f>
        <v/>
      </c>
      <c r="BA54" s="513">
        <f>IFERROR(__xludf.DUMMYFUNCTION("""COMPUTED_VALUE"""),111.04)</f>
        <v/>
      </c>
      <c r="BC54" s="512">
        <f>IFERROR(__xludf.DUMMYFUNCTION("""COMPUTED_VALUE"""),45939.6666666666)</f>
        <v/>
      </c>
      <c r="BD54" s="513">
        <f>IFERROR(__xludf.DUMMYFUNCTION("""COMPUTED_VALUE"""),96.31)</f>
        <v/>
      </c>
      <c r="BF54" s="512">
        <f>IFERROR(__xludf.DUMMYFUNCTION("""COMPUTED_VALUE"""),45939.6666666666)</f>
        <v/>
      </c>
      <c r="BG54" s="513">
        <f>IFERROR(__xludf.DUMMYFUNCTION("""COMPUTED_VALUE"""),82.79)</f>
        <v/>
      </c>
      <c r="BI54" s="512">
        <f>IFERROR(__xludf.DUMMYFUNCTION("""COMPUTED_VALUE"""),45939.6666666666)</f>
        <v/>
      </c>
      <c r="BJ54" s="513">
        <f>IFERROR(__xludf.DUMMYFUNCTION("""COMPUTED_VALUE"""),89.18)</f>
        <v/>
      </c>
      <c r="BL54" s="512">
        <f>IFERROR(__xludf.DUMMYFUNCTION("""COMPUTED_VALUE"""),45939.6666666666)</f>
        <v/>
      </c>
      <c r="BM54" s="513">
        <f>IFERROR(__xludf.DUMMYFUNCTION("""COMPUTED_VALUE"""),365.43)</f>
        <v/>
      </c>
      <c r="BO54" s="512">
        <f>IFERROR(__xludf.DUMMYFUNCTION("""COMPUTED_VALUE"""),45939.6666666666)</f>
        <v/>
      </c>
      <c r="BP54" s="513">
        <f>IFERROR(__xludf.DUMMYFUNCTION("""COMPUTED_VALUE"""),91.53)</f>
        <v/>
      </c>
    </row>
    <row r="55">
      <c r="A55" s="512">
        <f>IFERROR(__xludf.DUMMYFUNCTION("""COMPUTED_VALUE"""),45940.6666666666)</f>
        <v/>
      </c>
      <c r="B55" s="513">
        <f>IFERROR(__xludf.DUMMYFUNCTION("""COMPUTED_VALUE"""),653.02)</f>
        <v/>
      </c>
      <c r="D55" s="512">
        <f>IFERROR(__xludf.DUMMYFUNCTION("""COMPUTED_VALUE"""),45940.6666666666)</f>
        <v/>
      </c>
      <c r="E55" s="513">
        <f>IFERROR(__xludf.DUMMYFUNCTION("""COMPUTED_VALUE"""),88.13)</f>
        <v/>
      </c>
      <c r="G55" s="512">
        <f>IFERROR(__xludf.DUMMYFUNCTION("""COMPUTED_VALUE"""),46127.6666666666)</f>
        <v/>
      </c>
      <c r="H55" s="513">
        <f>IFERROR(__xludf.DUMMYFUNCTION("""COMPUTED_VALUE"""),68.7)</f>
        <v/>
      </c>
      <c r="J55" s="512">
        <f>IFERROR(__xludf.DUMMYFUNCTION("""COMPUTED_VALUE"""),45940.6666666666)</f>
        <v/>
      </c>
      <c r="K55" s="513">
        <f>IFERROR(__xludf.DUMMYFUNCTION("""COMPUTED_VALUE"""),78.36)</f>
        <v/>
      </c>
      <c r="M55" s="512">
        <f>IFERROR(__xludf.DUMMYFUNCTION("""COMPUTED_VALUE"""),45940.6666666666)</f>
        <v/>
      </c>
      <c r="N55" s="513">
        <f>IFERROR(__xludf.DUMMYFUNCTION("""COMPUTED_VALUE"""),237.79)</f>
        <v/>
      </c>
      <c r="P55" s="512">
        <f>IFERROR(__xludf.DUMMYFUNCTION("""COMPUTED_VALUE"""),45940.6666666666)</f>
        <v/>
      </c>
      <c r="Q55" s="513">
        <f>IFERROR(__xludf.DUMMYFUNCTION("""COMPUTED_VALUE"""),79.18)</f>
        <v/>
      </c>
      <c r="S55" s="512">
        <f>IFERROR(__xludf.DUMMYFUNCTION("""COMPUTED_VALUE"""),45210.6666666666)</f>
        <v/>
      </c>
      <c r="T55" s="513">
        <f>IFERROR(__xludf.DUMMYFUNCTION("""COMPUTED_VALUE"""),179.8)</f>
        <v/>
      </c>
      <c r="V55" s="512">
        <f>IFERROR(__xludf.DUMMYFUNCTION("""COMPUTED_VALUE"""),45940.6666666666)</f>
        <v/>
      </c>
      <c r="W55" s="513">
        <f>IFERROR(__xludf.DUMMYFUNCTION("""COMPUTED_VALUE"""),22.07)</f>
        <v/>
      </c>
      <c r="Y55" s="512">
        <f>IFERROR(__xludf.DUMMYFUNCTION("""COMPUTED_VALUE"""),45940.6666666666)</f>
        <v/>
      </c>
      <c r="Z55" s="513">
        <f>IFERROR(__xludf.DUMMYFUNCTION("""COMPUTED_VALUE"""),74.52)</f>
        <v/>
      </c>
      <c r="AB55" s="512">
        <f>IFERROR(__xludf.DUMMYFUNCTION("""COMPUTED_VALUE"""),45940.6666666666)</f>
        <v/>
      </c>
      <c r="AC55" s="513">
        <f>IFERROR(__xludf.DUMMYFUNCTION("""COMPUTED_VALUE"""),52.54)</f>
        <v/>
      </c>
      <c r="AE55" s="512">
        <f>IFERROR(__xludf.DUMMYFUNCTION("""COMPUTED_VALUE"""),45940.6666666666)</f>
        <v/>
      </c>
      <c r="AF55" s="513">
        <f>IFERROR(__xludf.DUMMYFUNCTION("""COMPUTED_VALUE"""),94.63)</f>
        <v/>
      </c>
      <c r="AH55" s="512">
        <f>IFERROR(__xludf.DUMMYFUNCTION("""COMPUTED_VALUE"""),45940.6666666666)</f>
        <v/>
      </c>
      <c r="AI55" s="513">
        <f>IFERROR(__xludf.DUMMYFUNCTION("""COMPUTED_VALUE"""),22.73)</f>
        <v/>
      </c>
      <c r="AK55" s="512">
        <f>IFERROR(__xludf.DUMMYFUNCTION("""COMPUTED_VALUE"""),45940.6666666666)</f>
        <v/>
      </c>
      <c r="AL55" s="513">
        <f>IFERROR(__xludf.DUMMYFUNCTION("""COMPUTED_VALUE"""),79.95)</f>
        <v/>
      </c>
      <c r="AN55" s="512">
        <f>IFERROR(__xludf.DUMMYFUNCTION("""COMPUTED_VALUE"""),45940.6666666666)</f>
        <v/>
      </c>
      <c r="AO55" s="513">
        <f>IFERROR(__xludf.DUMMYFUNCTION("""COMPUTED_VALUE"""),111.51)</f>
        <v/>
      </c>
      <c r="AQ55" s="512">
        <f>IFERROR(__xludf.DUMMYFUNCTION("""COMPUTED_VALUE"""),45940.6666666666)</f>
        <v/>
      </c>
      <c r="AR55" s="513">
        <f>IFERROR(__xludf.DUMMYFUNCTION("""COMPUTED_VALUE"""),92.24)</f>
        <v/>
      </c>
      <c r="AT55" s="512">
        <f>IFERROR(__xludf.DUMMYFUNCTION("""COMPUTED_VALUE"""),45940.6666666666)</f>
        <v/>
      </c>
      <c r="AU55" s="513">
        <f>IFERROR(__xludf.DUMMYFUNCTION("""COMPUTED_VALUE"""),51.94)</f>
        <v/>
      </c>
      <c r="AW55" s="512">
        <f>IFERROR(__xludf.DUMMYFUNCTION("""COMPUTED_VALUE"""),45940.6666666666)</f>
        <v/>
      </c>
      <c r="AX55" s="513">
        <f>IFERROR(__xludf.DUMMYFUNCTION("""COMPUTED_VALUE"""),100.43)</f>
        <v/>
      </c>
      <c r="AZ55" s="512">
        <f>IFERROR(__xludf.DUMMYFUNCTION("""COMPUTED_VALUE"""),45940.6666666666)</f>
        <v/>
      </c>
      <c r="BA55" s="513">
        <f>IFERROR(__xludf.DUMMYFUNCTION("""COMPUTED_VALUE"""),111.35)</f>
        <v/>
      </c>
      <c r="BC55" s="512">
        <f>IFERROR(__xludf.DUMMYFUNCTION("""COMPUTED_VALUE"""),45940.6666666666)</f>
        <v/>
      </c>
      <c r="BD55" s="513">
        <f>IFERROR(__xludf.DUMMYFUNCTION("""COMPUTED_VALUE"""),96.91)</f>
        <v/>
      </c>
      <c r="BF55" s="512">
        <f>IFERROR(__xludf.DUMMYFUNCTION("""COMPUTED_VALUE"""),45940.6666666666)</f>
        <v/>
      </c>
      <c r="BG55" s="513">
        <f>IFERROR(__xludf.DUMMYFUNCTION("""COMPUTED_VALUE"""),82.93)</f>
        <v/>
      </c>
      <c r="BI55" s="512">
        <f>IFERROR(__xludf.DUMMYFUNCTION("""COMPUTED_VALUE"""),45940.6666666666)</f>
        <v/>
      </c>
      <c r="BJ55" s="513">
        <f>IFERROR(__xludf.DUMMYFUNCTION("""COMPUTED_VALUE"""),90.62)</f>
        <v/>
      </c>
      <c r="BL55" s="512">
        <f>IFERROR(__xludf.DUMMYFUNCTION("""COMPUTED_VALUE"""),45940.6666666666)</f>
        <v/>
      </c>
      <c r="BM55" s="513">
        <f>IFERROR(__xludf.DUMMYFUNCTION("""COMPUTED_VALUE"""),369.12)</f>
        <v/>
      </c>
      <c r="BO55" s="512">
        <f>IFERROR(__xludf.DUMMYFUNCTION("""COMPUTED_VALUE"""),45940.6666666666)</f>
        <v/>
      </c>
      <c r="BP55" s="513">
        <f>IFERROR(__xludf.DUMMYFUNCTION("""COMPUTED_VALUE"""),91.57)</f>
        <v/>
      </c>
    </row>
    <row r="56">
      <c r="A56" s="512">
        <f>IFERROR(__xludf.DUMMYFUNCTION("""COMPUTED_VALUE"""),45943.6666666666)</f>
        <v/>
      </c>
      <c r="B56" s="513">
        <f>IFERROR(__xludf.DUMMYFUNCTION("""COMPUTED_VALUE"""),663.04)</f>
        <v/>
      </c>
      <c r="D56" s="512">
        <f>IFERROR(__xludf.DUMMYFUNCTION("""COMPUTED_VALUE"""),45943.6666666666)</f>
        <v/>
      </c>
      <c r="E56" s="513">
        <f>IFERROR(__xludf.DUMMYFUNCTION("""COMPUTED_VALUE"""),88.69)</f>
        <v/>
      </c>
      <c r="G56" s="512">
        <f>IFERROR(__xludf.DUMMYFUNCTION("""COMPUTED_VALUE"""),46128.6666666666)</f>
        <v/>
      </c>
      <c r="H56" s="513">
        <f>IFERROR(__xludf.DUMMYFUNCTION("""COMPUTED_VALUE"""),68.63)</f>
        <v/>
      </c>
      <c r="J56" s="512">
        <f>IFERROR(__xludf.DUMMYFUNCTION("""COMPUTED_VALUE"""),45943.6666666666)</f>
        <v/>
      </c>
      <c r="K56" s="513">
        <f>IFERROR(__xludf.DUMMYFUNCTION("""COMPUTED_VALUE"""),79.29)</f>
        <v/>
      </c>
      <c r="M56" s="512">
        <f>IFERROR(__xludf.DUMMYFUNCTION("""COMPUTED_VALUE"""),45943.6666666666)</f>
        <v/>
      </c>
      <c r="N56" s="513">
        <f>IFERROR(__xludf.DUMMYFUNCTION("""COMPUTED_VALUE"""),244.41)</f>
        <v/>
      </c>
      <c r="P56" s="512">
        <f>IFERROR(__xludf.DUMMYFUNCTION("""COMPUTED_VALUE"""),45943.6666666666)</f>
        <v/>
      </c>
      <c r="Q56" s="513">
        <f>IFERROR(__xludf.DUMMYFUNCTION("""COMPUTED_VALUE"""),79.73)</f>
        <v/>
      </c>
      <c r="S56" s="512">
        <f>IFERROR(__xludf.DUMMYFUNCTION("""COMPUTED_VALUE"""),45211.6666666666)</f>
        <v/>
      </c>
      <c r="T56" s="513">
        <f>IFERROR(__xludf.DUMMYFUNCTION("""COMPUTED_VALUE"""),180.71)</f>
        <v/>
      </c>
      <c r="V56" s="512">
        <f>IFERROR(__xludf.DUMMYFUNCTION("""COMPUTED_VALUE"""),45943.6666666666)</f>
        <v/>
      </c>
      <c r="W56" s="513">
        <f>IFERROR(__xludf.DUMMYFUNCTION("""COMPUTED_VALUE"""),22.35)</f>
        <v/>
      </c>
      <c r="Y56" s="512">
        <f>IFERROR(__xludf.DUMMYFUNCTION("""COMPUTED_VALUE"""),45943.6666666666)</f>
        <v/>
      </c>
      <c r="Z56" s="513">
        <f>IFERROR(__xludf.DUMMYFUNCTION("""COMPUTED_VALUE"""),74.64)</f>
        <v/>
      </c>
      <c r="AB56" s="512">
        <f>IFERROR(__xludf.DUMMYFUNCTION("""COMPUTED_VALUE"""),45943.6666666666)</f>
        <v/>
      </c>
      <c r="AC56" s="513">
        <f>IFERROR(__xludf.DUMMYFUNCTION("""COMPUTED_VALUE"""),54)</f>
        <v/>
      </c>
      <c r="AE56" s="512">
        <f>IFERROR(__xludf.DUMMYFUNCTION("""COMPUTED_VALUE"""),45943.6666666666)</f>
        <v/>
      </c>
      <c r="AF56" s="513">
        <f>IFERROR(__xludf.DUMMYFUNCTION("""COMPUTED_VALUE"""),95.28)</f>
        <v/>
      </c>
      <c r="AH56" s="512">
        <f>IFERROR(__xludf.DUMMYFUNCTION("""COMPUTED_VALUE"""),45943.6666666666)</f>
        <v/>
      </c>
      <c r="AI56" s="513">
        <f>IFERROR(__xludf.DUMMYFUNCTION("""COMPUTED_VALUE"""),22.71)</f>
        <v/>
      </c>
      <c r="AK56" s="512">
        <f>IFERROR(__xludf.DUMMYFUNCTION("""COMPUTED_VALUE"""),45943.6666666666)</f>
        <v/>
      </c>
      <c r="AL56" s="513">
        <f>IFERROR(__xludf.DUMMYFUNCTION("""COMPUTED_VALUE"""),80.45)</f>
        <v/>
      </c>
      <c r="AN56" s="512">
        <f>IFERROR(__xludf.DUMMYFUNCTION("""COMPUTED_VALUE"""),45943.6666666666)</f>
        <v/>
      </c>
      <c r="AO56" s="513">
        <f>IFERROR(__xludf.DUMMYFUNCTION("""COMPUTED_VALUE"""),111.79)</f>
        <v/>
      </c>
      <c r="AQ56" s="512">
        <f>IFERROR(__xludf.DUMMYFUNCTION("""COMPUTED_VALUE"""),45943.6666666666)</f>
        <v/>
      </c>
      <c r="AR56" s="513">
        <f>IFERROR(__xludf.DUMMYFUNCTION("""COMPUTED_VALUE"""),92.98)</f>
        <v/>
      </c>
      <c r="AT56" s="512">
        <f>IFERROR(__xludf.DUMMYFUNCTION("""COMPUTED_VALUE"""),45943.6666666666)</f>
        <v/>
      </c>
      <c r="AU56" s="513">
        <f>IFERROR(__xludf.DUMMYFUNCTION("""COMPUTED_VALUE"""),53.45)</f>
        <v/>
      </c>
      <c r="AW56" s="512">
        <f>IFERROR(__xludf.DUMMYFUNCTION("""COMPUTED_VALUE"""),45943.6666666666)</f>
        <v/>
      </c>
      <c r="AX56" s="513">
        <f>IFERROR(__xludf.DUMMYFUNCTION("""COMPUTED_VALUE"""),100.62)</f>
        <v/>
      </c>
      <c r="AZ56" s="512">
        <f>IFERROR(__xludf.DUMMYFUNCTION("""COMPUTED_VALUE"""),45943.6666666666)</f>
        <v/>
      </c>
      <c r="BA56" s="513">
        <f>IFERROR(__xludf.DUMMYFUNCTION("""COMPUTED_VALUE"""),111.73)</f>
        <v/>
      </c>
      <c r="BC56" s="512">
        <f>IFERROR(__xludf.DUMMYFUNCTION("""COMPUTED_VALUE"""),45943.6666666666)</f>
        <v/>
      </c>
      <c r="BD56" s="513">
        <f>IFERROR(__xludf.DUMMYFUNCTION("""COMPUTED_VALUE"""),96.96)</f>
        <v/>
      </c>
      <c r="BF56" s="512">
        <f>IFERROR(__xludf.DUMMYFUNCTION("""COMPUTED_VALUE"""),45943.6666666666)</f>
        <v/>
      </c>
      <c r="BG56" s="513">
        <f>IFERROR(__xludf.DUMMYFUNCTION("""COMPUTED_VALUE"""),83.09)</f>
        <v/>
      </c>
      <c r="BI56" s="512">
        <f>IFERROR(__xludf.DUMMYFUNCTION("""COMPUTED_VALUE"""),45943.6666666666)</f>
        <v/>
      </c>
      <c r="BJ56" s="513">
        <f>IFERROR(__xludf.DUMMYFUNCTION("""COMPUTED_VALUE"""),90.57)</f>
        <v/>
      </c>
      <c r="BL56" s="512">
        <f>IFERROR(__xludf.DUMMYFUNCTION("""COMPUTED_VALUE"""),45943.6666666666)</f>
        <v/>
      </c>
      <c r="BM56" s="513">
        <f>IFERROR(__xludf.DUMMYFUNCTION("""COMPUTED_VALUE"""),378.09)</f>
        <v/>
      </c>
      <c r="BO56" s="512">
        <f>IFERROR(__xludf.DUMMYFUNCTION("""COMPUTED_VALUE"""),45943.6666666666)</f>
        <v/>
      </c>
      <c r="BP56" s="513">
        <f>IFERROR(__xludf.DUMMYFUNCTION("""COMPUTED_VALUE"""),91.58)</f>
        <v/>
      </c>
    </row>
    <row r="57">
      <c r="A57" s="512">
        <f>IFERROR(__xludf.DUMMYFUNCTION("""COMPUTED_VALUE"""),45944.6666666666)</f>
        <v/>
      </c>
      <c r="B57" s="513">
        <f>IFERROR(__xludf.DUMMYFUNCTION("""COMPUTED_VALUE"""),662.23)</f>
        <v/>
      </c>
      <c r="D57" s="512">
        <f>IFERROR(__xludf.DUMMYFUNCTION("""COMPUTED_VALUE"""),45944.6666666666)</f>
        <v/>
      </c>
      <c r="E57" s="513">
        <f>IFERROR(__xludf.DUMMYFUNCTION("""COMPUTED_VALUE"""),89.6)</f>
        <v/>
      </c>
      <c r="G57" s="512">
        <f>IFERROR(__xludf.DUMMYFUNCTION("""COMPUTED_VALUE"""),46129.6666666666)</f>
        <v/>
      </c>
      <c r="H57" s="513">
        <f>IFERROR(__xludf.DUMMYFUNCTION("""COMPUTED_VALUE"""),69.63)</f>
        <v/>
      </c>
      <c r="J57" s="512">
        <f>IFERROR(__xludf.DUMMYFUNCTION("""COMPUTED_VALUE"""),45944.6666666666)</f>
        <v/>
      </c>
      <c r="K57" s="513">
        <f>IFERROR(__xludf.DUMMYFUNCTION("""COMPUTED_VALUE"""),80.04)</f>
        <v/>
      </c>
      <c r="M57" s="512">
        <f>IFERROR(__xludf.DUMMYFUNCTION("""COMPUTED_VALUE"""),45944.6666666666)</f>
        <v/>
      </c>
      <c r="N57" s="513">
        <f>IFERROR(__xludf.DUMMYFUNCTION("""COMPUTED_VALUE"""),247.9)</f>
        <v/>
      </c>
      <c r="P57" s="512">
        <f>IFERROR(__xludf.DUMMYFUNCTION("""COMPUTED_VALUE"""),45944.6666666666)</f>
        <v/>
      </c>
      <c r="Q57" s="513">
        <f>IFERROR(__xludf.DUMMYFUNCTION("""COMPUTED_VALUE"""),80.04)</f>
        <v/>
      </c>
      <c r="S57" s="512">
        <f>IFERROR(__xludf.DUMMYFUNCTION("""COMPUTED_VALUE"""),45212.6666666666)</f>
        <v/>
      </c>
      <c r="T57" s="513">
        <f>IFERROR(__xludf.DUMMYFUNCTION("""COMPUTED_VALUE"""),178.85)</f>
        <v/>
      </c>
      <c r="V57" s="512">
        <f>IFERROR(__xludf.DUMMYFUNCTION("""COMPUTED_VALUE"""),45944.6666666666)</f>
        <v/>
      </c>
      <c r="W57" s="513">
        <f>IFERROR(__xludf.DUMMYFUNCTION("""COMPUTED_VALUE"""),22.1)</f>
        <v/>
      </c>
      <c r="Y57" s="512">
        <f>IFERROR(__xludf.DUMMYFUNCTION("""COMPUTED_VALUE"""),45944.6666666666)</f>
        <v/>
      </c>
      <c r="Z57" s="513">
        <f>IFERROR(__xludf.DUMMYFUNCTION("""COMPUTED_VALUE"""),74.75)</f>
        <v/>
      </c>
      <c r="AB57" s="512">
        <f>IFERROR(__xludf.DUMMYFUNCTION("""COMPUTED_VALUE"""),45944.6666666666)</f>
        <v/>
      </c>
      <c r="AC57" s="513">
        <f>IFERROR(__xludf.DUMMYFUNCTION("""COMPUTED_VALUE"""),53.52)</f>
        <v/>
      </c>
      <c r="AE57" s="512">
        <f>IFERROR(__xludf.DUMMYFUNCTION("""COMPUTED_VALUE"""),45944.6666666666)</f>
        <v/>
      </c>
      <c r="AF57" s="513">
        <f>IFERROR(__xludf.DUMMYFUNCTION("""COMPUTED_VALUE"""),95.24)</f>
        <v/>
      </c>
      <c r="AH57" s="512">
        <f>IFERROR(__xludf.DUMMYFUNCTION("""COMPUTED_VALUE"""),45944.6666666666)</f>
        <v/>
      </c>
      <c r="AI57" s="513">
        <f>IFERROR(__xludf.DUMMYFUNCTION("""COMPUTED_VALUE"""),22.78)</f>
        <v/>
      </c>
      <c r="AK57" s="512">
        <f>IFERROR(__xludf.DUMMYFUNCTION("""COMPUTED_VALUE"""),45944.6666666666)</f>
        <v/>
      </c>
      <c r="AL57" s="513">
        <f>IFERROR(__xludf.DUMMYFUNCTION("""COMPUTED_VALUE"""),80.54)</f>
        <v/>
      </c>
      <c r="AN57" s="512">
        <f>IFERROR(__xludf.DUMMYFUNCTION("""COMPUTED_VALUE"""),45944.6666666666)</f>
        <v/>
      </c>
      <c r="AO57" s="513">
        <f>IFERROR(__xludf.DUMMYFUNCTION("""COMPUTED_VALUE"""),111.67)</f>
        <v/>
      </c>
      <c r="AQ57" s="512">
        <f>IFERROR(__xludf.DUMMYFUNCTION("""COMPUTED_VALUE"""),45944.6666666666)</f>
        <v/>
      </c>
      <c r="AR57" s="513">
        <f>IFERROR(__xludf.DUMMYFUNCTION("""COMPUTED_VALUE"""),93.4)</f>
        <v/>
      </c>
      <c r="AT57" s="512">
        <f>IFERROR(__xludf.DUMMYFUNCTION("""COMPUTED_VALUE"""),45944.6666666666)</f>
        <v/>
      </c>
      <c r="AU57" s="513">
        <f>IFERROR(__xludf.DUMMYFUNCTION("""COMPUTED_VALUE"""),52.97)</f>
        <v/>
      </c>
      <c r="AW57" s="512">
        <f>IFERROR(__xludf.DUMMYFUNCTION("""COMPUTED_VALUE"""),45944.6666666666)</f>
        <v/>
      </c>
      <c r="AX57" s="513">
        <f>IFERROR(__xludf.DUMMYFUNCTION("""COMPUTED_VALUE"""),100.78)</f>
        <v/>
      </c>
      <c r="AZ57" s="512">
        <f>IFERROR(__xludf.DUMMYFUNCTION("""COMPUTED_VALUE"""),45944.6666666666)</f>
        <v/>
      </c>
      <c r="BA57" s="513">
        <f>IFERROR(__xludf.DUMMYFUNCTION("""COMPUTED_VALUE"""),112.1)</f>
        <v/>
      </c>
      <c r="BC57" s="512">
        <f>IFERROR(__xludf.DUMMYFUNCTION("""COMPUTED_VALUE"""),45944.6666666666)</f>
        <v/>
      </c>
      <c r="BD57" s="513">
        <f>IFERROR(__xludf.DUMMYFUNCTION("""COMPUTED_VALUE"""),97.21)</f>
        <v/>
      </c>
      <c r="BF57" s="512">
        <f>IFERROR(__xludf.DUMMYFUNCTION("""COMPUTED_VALUE"""),45944.6666666666)</f>
        <v/>
      </c>
      <c r="BG57" s="513">
        <f>IFERROR(__xludf.DUMMYFUNCTION("""COMPUTED_VALUE"""),83.03)</f>
        <v/>
      </c>
      <c r="BI57" s="512">
        <f>IFERROR(__xludf.DUMMYFUNCTION("""COMPUTED_VALUE"""),45944.6666666666)</f>
        <v/>
      </c>
      <c r="BJ57" s="513">
        <f>IFERROR(__xludf.DUMMYFUNCTION("""COMPUTED_VALUE"""),90.86)</f>
        <v/>
      </c>
      <c r="BL57" s="512">
        <f>IFERROR(__xludf.DUMMYFUNCTION("""COMPUTED_VALUE"""),45944.6666666666)</f>
        <v/>
      </c>
      <c r="BM57" s="513">
        <f>IFERROR(__xludf.DUMMYFUNCTION("""COMPUTED_VALUE"""),380.79)</f>
        <v/>
      </c>
      <c r="BO57" s="512">
        <f>IFERROR(__xludf.DUMMYFUNCTION("""COMPUTED_VALUE"""),45944.6666666666)</f>
        <v/>
      </c>
      <c r="BP57" s="513">
        <f>IFERROR(__xludf.DUMMYFUNCTION("""COMPUTED_VALUE"""),91.58)</f>
        <v/>
      </c>
    </row>
    <row r="58">
      <c r="A58" s="512">
        <f>IFERROR(__xludf.DUMMYFUNCTION("""COMPUTED_VALUE"""),45945.6666666666)</f>
        <v/>
      </c>
      <c r="B58" s="513">
        <f>IFERROR(__xludf.DUMMYFUNCTION("""COMPUTED_VALUE"""),665.17)</f>
        <v/>
      </c>
      <c r="D58" s="512">
        <f>IFERROR(__xludf.DUMMYFUNCTION("""COMPUTED_VALUE"""),45945.6666666666)</f>
        <v/>
      </c>
      <c r="E58" s="513">
        <f>IFERROR(__xludf.DUMMYFUNCTION("""COMPUTED_VALUE"""),90.9)</f>
        <v/>
      </c>
      <c r="G58" s="512">
        <f>IFERROR(__xludf.DUMMYFUNCTION("""COMPUTED_VALUE"""),46132.6666666666)</f>
        <v/>
      </c>
      <c r="H58" s="513">
        <f>IFERROR(__xludf.DUMMYFUNCTION("""COMPUTED_VALUE"""),69.33)</f>
        <v/>
      </c>
      <c r="J58" s="512">
        <f>IFERROR(__xludf.DUMMYFUNCTION("""COMPUTED_VALUE"""),45945.6666666666)</f>
        <v/>
      </c>
      <c r="K58" s="513">
        <f>IFERROR(__xludf.DUMMYFUNCTION("""COMPUTED_VALUE"""),81.29)</f>
        <v/>
      </c>
      <c r="M58" s="512">
        <f>IFERROR(__xludf.DUMMYFUNCTION("""COMPUTED_VALUE"""),45945.6666666666)</f>
        <v/>
      </c>
      <c r="N58" s="513">
        <f>IFERROR(__xludf.DUMMYFUNCTION("""COMPUTED_VALUE"""),250.33)</f>
        <v/>
      </c>
      <c r="P58" s="512">
        <f>IFERROR(__xludf.DUMMYFUNCTION("""COMPUTED_VALUE"""),45945.6666666666)</f>
        <v/>
      </c>
      <c r="Q58" s="513">
        <f>IFERROR(__xludf.DUMMYFUNCTION("""COMPUTED_VALUE"""),80.22)</f>
        <v/>
      </c>
      <c r="S58" s="512">
        <f>IFERROR(__xludf.DUMMYFUNCTION("""COMPUTED_VALUE"""),45215.6666666666)</f>
        <v/>
      </c>
      <c r="T58" s="513">
        <f>IFERROR(__xludf.DUMMYFUNCTION("""COMPUTED_VALUE"""),178.72)</f>
        <v/>
      </c>
      <c r="V58" s="512">
        <f>IFERROR(__xludf.DUMMYFUNCTION("""COMPUTED_VALUE"""),45945.6666666666)</f>
        <v/>
      </c>
      <c r="W58" s="513">
        <f>IFERROR(__xludf.DUMMYFUNCTION("""COMPUTED_VALUE"""),22.18)</f>
        <v/>
      </c>
      <c r="Y58" s="512">
        <f>IFERROR(__xludf.DUMMYFUNCTION("""COMPUTED_VALUE"""),45945.6666666666)</f>
        <v/>
      </c>
      <c r="Z58" s="513">
        <f>IFERROR(__xludf.DUMMYFUNCTION("""COMPUTED_VALUE"""),74.7)</f>
        <v/>
      </c>
      <c r="AB58" s="512">
        <f>IFERROR(__xludf.DUMMYFUNCTION("""COMPUTED_VALUE"""),45945.6666666666)</f>
        <v/>
      </c>
      <c r="AC58" s="513">
        <f>IFERROR(__xludf.DUMMYFUNCTION("""COMPUTED_VALUE"""),54.33)</f>
        <v/>
      </c>
      <c r="AE58" s="512">
        <f>IFERROR(__xludf.DUMMYFUNCTION("""COMPUTED_VALUE"""),45945.6666666666)</f>
        <v/>
      </c>
      <c r="AF58" s="513">
        <f>IFERROR(__xludf.DUMMYFUNCTION("""COMPUTED_VALUE"""),95.57)</f>
        <v/>
      </c>
      <c r="AH58" s="512">
        <f>IFERROR(__xludf.DUMMYFUNCTION("""COMPUTED_VALUE"""),45945.6666666666)</f>
        <v/>
      </c>
      <c r="AI58" s="513">
        <f>IFERROR(__xludf.DUMMYFUNCTION("""COMPUTED_VALUE"""),22.86)</f>
        <v/>
      </c>
      <c r="AK58" s="512">
        <f>IFERROR(__xludf.DUMMYFUNCTION("""COMPUTED_VALUE"""),45945.6666666666)</f>
        <v/>
      </c>
      <c r="AL58" s="513">
        <f>IFERROR(__xludf.DUMMYFUNCTION("""COMPUTED_VALUE"""),80.8)</f>
        <v/>
      </c>
      <c r="AN58" s="512">
        <f>IFERROR(__xludf.DUMMYFUNCTION("""COMPUTED_VALUE"""),45945.6666666666)</f>
        <v/>
      </c>
      <c r="AO58" s="513">
        <f>IFERROR(__xludf.DUMMYFUNCTION("""COMPUTED_VALUE"""),111.64)</f>
        <v/>
      </c>
      <c r="AQ58" s="512">
        <f>IFERROR(__xludf.DUMMYFUNCTION("""COMPUTED_VALUE"""),45945.6666666666)</f>
        <v/>
      </c>
      <c r="AR58" s="513">
        <f>IFERROR(__xludf.DUMMYFUNCTION("""COMPUTED_VALUE"""),93.85)</f>
        <v/>
      </c>
      <c r="AT58" s="512">
        <f>IFERROR(__xludf.DUMMYFUNCTION("""COMPUTED_VALUE"""),45945.6666666666)</f>
        <v/>
      </c>
      <c r="AU58" s="513">
        <f>IFERROR(__xludf.DUMMYFUNCTION("""COMPUTED_VALUE"""),53.84)</f>
        <v/>
      </c>
      <c r="AW58" s="512">
        <f>IFERROR(__xludf.DUMMYFUNCTION("""COMPUTED_VALUE"""),45945.6666666666)</f>
        <v/>
      </c>
      <c r="AX58" s="513">
        <f>IFERROR(__xludf.DUMMYFUNCTION("""COMPUTED_VALUE"""),100.74)</f>
        <v/>
      </c>
      <c r="AZ58" s="512">
        <f>IFERROR(__xludf.DUMMYFUNCTION("""COMPUTED_VALUE"""),45945.6666666666)</f>
        <v/>
      </c>
      <c r="BA58" s="513">
        <f>IFERROR(__xludf.DUMMYFUNCTION("""COMPUTED_VALUE"""),112.1)</f>
        <v/>
      </c>
      <c r="BC58" s="512">
        <f>IFERROR(__xludf.DUMMYFUNCTION("""COMPUTED_VALUE"""),45945.6666666666)</f>
        <v/>
      </c>
      <c r="BD58" s="513">
        <f>IFERROR(__xludf.DUMMYFUNCTION("""COMPUTED_VALUE"""),97.1)</f>
        <v/>
      </c>
      <c r="BF58" s="512">
        <f>IFERROR(__xludf.DUMMYFUNCTION("""COMPUTED_VALUE"""),45945.6666666666)</f>
        <v/>
      </c>
      <c r="BG58" s="513">
        <f>IFERROR(__xludf.DUMMYFUNCTION("""COMPUTED_VALUE"""),82.99)</f>
        <v/>
      </c>
      <c r="BI58" s="512">
        <f>IFERROR(__xludf.DUMMYFUNCTION("""COMPUTED_VALUE"""),45945.6666666666)</f>
        <v/>
      </c>
      <c r="BJ58" s="513">
        <f>IFERROR(__xludf.DUMMYFUNCTION("""COMPUTED_VALUE"""),90.66)</f>
        <v/>
      </c>
      <c r="BL58" s="512">
        <f>IFERROR(__xludf.DUMMYFUNCTION("""COMPUTED_VALUE"""),45945.6666666666)</f>
        <v/>
      </c>
      <c r="BM58" s="513">
        <f>IFERROR(__xludf.DUMMYFUNCTION("""COMPUTED_VALUE"""),387.39)</f>
        <v/>
      </c>
      <c r="BO58" s="512">
        <f>IFERROR(__xludf.DUMMYFUNCTION("""COMPUTED_VALUE"""),45945.6666666666)</f>
        <v/>
      </c>
      <c r="BP58" s="513">
        <f>IFERROR(__xludf.DUMMYFUNCTION("""COMPUTED_VALUE"""),91.59)</f>
        <v/>
      </c>
    </row>
    <row r="59">
      <c r="A59" s="512">
        <f>IFERROR(__xludf.DUMMYFUNCTION("""COMPUTED_VALUE"""),45946.6666666666)</f>
        <v/>
      </c>
      <c r="B59" s="513">
        <f>IFERROR(__xludf.DUMMYFUNCTION("""COMPUTED_VALUE"""),660.64)</f>
        <v/>
      </c>
      <c r="D59" s="512">
        <f>IFERROR(__xludf.DUMMYFUNCTION("""COMPUTED_VALUE"""),45946.6666666666)</f>
        <v/>
      </c>
      <c r="E59" s="513">
        <f>IFERROR(__xludf.DUMMYFUNCTION("""COMPUTED_VALUE"""),90.58)</f>
        <v/>
      </c>
      <c r="G59" s="512">
        <f>IFERROR(__xludf.DUMMYFUNCTION("""COMPUTED_VALUE"""),46133.6666666666)</f>
        <v/>
      </c>
      <c r="H59" s="513">
        <f>IFERROR(__xludf.DUMMYFUNCTION("""COMPUTED_VALUE"""),67.82)</f>
        <v/>
      </c>
      <c r="J59" s="512">
        <f>IFERROR(__xludf.DUMMYFUNCTION("""COMPUTED_VALUE"""),45946.6666666666)</f>
        <v/>
      </c>
      <c r="K59" s="513">
        <f>IFERROR(__xludf.DUMMYFUNCTION("""COMPUTED_VALUE"""),81.55)</f>
        <v/>
      </c>
      <c r="M59" s="512">
        <f>IFERROR(__xludf.DUMMYFUNCTION("""COMPUTED_VALUE"""),45946.6666666666)</f>
        <v/>
      </c>
      <c r="N59" s="513">
        <f>IFERROR(__xludf.DUMMYFUNCTION("""COMPUTED_VALUE"""),245.06)</f>
        <v/>
      </c>
      <c r="P59" s="512">
        <f>IFERROR(__xludf.DUMMYFUNCTION("""COMPUTED_VALUE"""),45946.6666666666)</f>
        <v/>
      </c>
      <c r="Q59" s="513">
        <f>IFERROR(__xludf.DUMMYFUNCTION("""COMPUTED_VALUE"""),80.78)</f>
        <v/>
      </c>
      <c r="S59" s="512">
        <f>IFERROR(__xludf.DUMMYFUNCTION("""COMPUTED_VALUE"""),45216.6666666666)</f>
        <v/>
      </c>
      <c r="T59" s="513">
        <f>IFERROR(__xludf.DUMMYFUNCTION("""COMPUTED_VALUE"""),177.15)</f>
        <v/>
      </c>
      <c r="V59" s="512">
        <f>IFERROR(__xludf.DUMMYFUNCTION("""COMPUTED_VALUE"""),45946.6666666666)</f>
        <v/>
      </c>
      <c r="W59" s="513">
        <f>IFERROR(__xludf.DUMMYFUNCTION("""COMPUTED_VALUE"""),22.14)</f>
        <v/>
      </c>
      <c r="Y59" s="512">
        <f>IFERROR(__xludf.DUMMYFUNCTION("""COMPUTED_VALUE"""),45946.6666666666)</f>
        <v/>
      </c>
      <c r="Z59" s="513">
        <f>IFERROR(__xludf.DUMMYFUNCTION("""COMPUTED_VALUE"""),74.98)</f>
        <v/>
      </c>
      <c r="AB59" s="512">
        <f>IFERROR(__xludf.DUMMYFUNCTION("""COMPUTED_VALUE"""),45946.6666666666)</f>
        <v/>
      </c>
      <c r="AC59" s="513">
        <f>IFERROR(__xludf.DUMMYFUNCTION("""COMPUTED_VALUE"""),54.51)</f>
        <v/>
      </c>
      <c r="AE59" s="512">
        <f>IFERROR(__xludf.DUMMYFUNCTION("""COMPUTED_VALUE"""),45946.6666666666)</f>
        <v/>
      </c>
      <c r="AF59" s="513">
        <f>IFERROR(__xludf.DUMMYFUNCTION("""COMPUTED_VALUE"""),95.71)</f>
        <v/>
      </c>
      <c r="AH59" s="512">
        <f>IFERROR(__xludf.DUMMYFUNCTION("""COMPUTED_VALUE"""),45946.6666666666)</f>
        <v/>
      </c>
      <c r="AI59" s="513">
        <f>IFERROR(__xludf.DUMMYFUNCTION("""COMPUTED_VALUE"""),23.03)</f>
        <v/>
      </c>
      <c r="AK59" s="512">
        <f>IFERROR(__xludf.DUMMYFUNCTION("""COMPUTED_VALUE"""),45946.6666666666)</f>
        <v/>
      </c>
      <c r="AL59" s="513">
        <f>IFERROR(__xludf.DUMMYFUNCTION("""COMPUTED_VALUE"""),80.51)</f>
        <v/>
      </c>
      <c r="AN59" s="512">
        <f>IFERROR(__xludf.DUMMYFUNCTION("""COMPUTED_VALUE"""),45946.6666666666)</f>
        <v/>
      </c>
      <c r="AO59" s="513">
        <f>IFERROR(__xludf.DUMMYFUNCTION("""COMPUTED_VALUE"""),111.9)</f>
        <v/>
      </c>
      <c r="AQ59" s="512">
        <f>IFERROR(__xludf.DUMMYFUNCTION("""COMPUTED_VALUE"""),45946.6666666666)</f>
        <v/>
      </c>
      <c r="AR59" s="513">
        <f>IFERROR(__xludf.DUMMYFUNCTION("""COMPUTED_VALUE"""),94.34)</f>
        <v/>
      </c>
      <c r="AT59" s="512">
        <f>IFERROR(__xludf.DUMMYFUNCTION("""COMPUTED_VALUE"""),45946.6666666666)</f>
        <v/>
      </c>
      <c r="AU59" s="513">
        <f>IFERROR(__xludf.DUMMYFUNCTION("""COMPUTED_VALUE"""),54.19)</f>
        <v/>
      </c>
      <c r="AW59" s="512">
        <f>IFERROR(__xludf.DUMMYFUNCTION("""COMPUTED_VALUE"""),45946.6666666666)</f>
        <v/>
      </c>
      <c r="AX59" s="513">
        <f>IFERROR(__xludf.DUMMYFUNCTION("""COMPUTED_VALUE"""),101.1)</f>
        <v/>
      </c>
      <c r="AZ59" s="512">
        <f>IFERROR(__xludf.DUMMYFUNCTION("""COMPUTED_VALUE"""),45946.6666666666)</f>
        <v/>
      </c>
      <c r="BA59" s="513">
        <f>IFERROR(__xludf.DUMMYFUNCTION("""COMPUTED_VALUE"""),112.42)</f>
        <v/>
      </c>
      <c r="BC59" s="512">
        <f>IFERROR(__xludf.DUMMYFUNCTION("""COMPUTED_VALUE"""),45946.6666666666)</f>
        <v/>
      </c>
      <c r="BD59" s="513">
        <f>IFERROR(__xludf.DUMMYFUNCTION("""COMPUTED_VALUE"""),97.55)</f>
        <v/>
      </c>
      <c r="BF59" s="512">
        <f>IFERROR(__xludf.DUMMYFUNCTION("""COMPUTED_VALUE"""),45946.6666666666)</f>
        <v/>
      </c>
      <c r="BG59" s="513">
        <f>IFERROR(__xludf.DUMMYFUNCTION("""COMPUTED_VALUE"""),83.1)</f>
        <v/>
      </c>
      <c r="BI59" s="512">
        <f>IFERROR(__xludf.DUMMYFUNCTION("""COMPUTED_VALUE"""),45946.6666666666)</f>
        <v/>
      </c>
      <c r="BJ59" s="513">
        <f>IFERROR(__xludf.DUMMYFUNCTION("""COMPUTED_VALUE"""),91.34)</f>
        <v/>
      </c>
      <c r="BL59" s="512">
        <f>IFERROR(__xludf.DUMMYFUNCTION("""COMPUTED_VALUE"""),45946.6666666666)</f>
        <v/>
      </c>
      <c r="BM59" s="513">
        <f>IFERROR(__xludf.DUMMYFUNCTION("""COMPUTED_VALUE"""),396.45)</f>
        <v/>
      </c>
      <c r="BO59" s="512">
        <f>IFERROR(__xludf.DUMMYFUNCTION("""COMPUTED_VALUE"""),45946.6666666666)</f>
        <v/>
      </c>
      <c r="BP59" s="513">
        <f>IFERROR(__xludf.DUMMYFUNCTION("""COMPUTED_VALUE"""),91.6)</f>
        <v/>
      </c>
    </row>
    <row r="60">
      <c r="A60" s="512">
        <f>IFERROR(__xludf.DUMMYFUNCTION("""COMPUTED_VALUE"""),45947.6666666666)</f>
        <v/>
      </c>
      <c r="B60" s="513">
        <f>IFERROR(__xludf.DUMMYFUNCTION("""COMPUTED_VALUE"""),664.39)</f>
        <v/>
      </c>
      <c r="D60" s="512">
        <f>IFERROR(__xludf.DUMMYFUNCTION("""COMPUTED_VALUE"""),45947.6666666666)</f>
        <v/>
      </c>
      <c r="E60" s="513">
        <f>IFERROR(__xludf.DUMMYFUNCTION("""COMPUTED_VALUE"""),91.17)</f>
        <v/>
      </c>
      <c r="G60" s="512">
        <f>IFERROR(__xludf.DUMMYFUNCTION("""COMPUTED_VALUE"""),46134.6666666666)</f>
        <v/>
      </c>
      <c r="H60" s="513">
        <f>IFERROR(__xludf.DUMMYFUNCTION("""COMPUTED_VALUE"""),68.35)</f>
        <v/>
      </c>
      <c r="J60" s="512">
        <f>IFERROR(__xludf.DUMMYFUNCTION("""COMPUTED_VALUE"""),45947.6666666666)</f>
        <v/>
      </c>
      <c r="K60" s="513">
        <f>IFERROR(__xludf.DUMMYFUNCTION("""COMPUTED_VALUE"""),82)</f>
        <v/>
      </c>
      <c r="M60" s="512">
        <f>IFERROR(__xludf.DUMMYFUNCTION("""COMPUTED_VALUE"""),45947.6666666666)</f>
        <v/>
      </c>
      <c r="N60" s="513">
        <f>IFERROR(__xludf.DUMMYFUNCTION("""COMPUTED_VALUE"""),243.41)</f>
        <v/>
      </c>
      <c r="P60" s="512">
        <f>IFERROR(__xludf.DUMMYFUNCTION("""COMPUTED_VALUE"""),45947.6666666666)</f>
        <v/>
      </c>
      <c r="Q60" s="513">
        <f>IFERROR(__xludf.DUMMYFUNCTION("""COMPUTED_VALUE"""),80.8)</f>
        <v/>
      </c>
      <c r="S60" s="512">
        <f>IFERROR(__xludf.DUMMYFUNCTION("""COMPUTED_VALUE"""),45217.6666666666)</f>
        <v/>
      </c>
      <c r="T60" s="513">
        <f>IFERROR(__xludf.DUMMYFUNCTION("""COMPUTED_VALUE"""),175.84)</f>
        <v/>
      </c>
      <c r="V60" s="512">
        <f>IFERROR(__xludf.DUMMYFUNCTION("""COMPUTED_VALUE"""),45947.6666666666)</f>
        <v/>
      </c>
      <c r="W60" s="513">
        <f>IFERROR(__xludf.DUMMYFUNCTION("""COMPUTED_VALUE"""),22.12)</f>
        <v/>
      </c>
      <c r="Y60" s="512">
        <f>IFERROR(__xludf.DUMMYFUNCTION("""COMPUTED_VALUE"""),45947.6666666666)</f>
        <v/>
      </c>
      <c r="Z60" s="513">
        <f>IFERROR(__xludf.DUMMYFUNCTION("""COMPUTED_VALUE"""),74.88)</f>
        <v/>
      </c>
      <c r="AB60" s="512">
        <f>IFERROR(__xludf.DUMMYFUNCTION("""COMPUTED_VALUE"""),45947.6666666666)</f>
        <v/>
      </c>
      <c r="AC60" s="513">
        <f>IFERROR(__xludf.DUMMYFUNCTION("""COMPUTED_VALUE"""),54.38)</f>
        <v/>
      </c>
      <c r="AE60" s="512">
        <f>IFERROR(__xludf.DUMMYFUNCTION("""COMPUTED_VALUE"""),45947.6666666666)</f>
        <v/>
      </c>
      <c r="AF60" s="513">
        <f>IFERROR(__xludf.DUMMYFUNCTION("""COMPUTED_VALUE"""),95.74)</f>
        <v/>
      </c>
      <c r="AH60" s="512">
        <f>IFERROR(__xludf.DUMMYFUNCTION("""COMPUTED_VALUE"""),45947.6666666666)</f>
        <v/>
      </c>
      <c r="AI60" s="513">
        <f>IFERROR(__xludf.DUMMYFUNCTION("""COMPUTED_VALUE"""),22.97)</f>
        <v/>
      </c>
      <c r="AK60" s="512">
        <f>IFERROR(__xludf.DUMMYFUNCTION("""COMPUTED_VALUE"""),45947.6666666666)</f>
        <v/>
      </c>
      <c r="AL60" s="513">
        <f>IFERROR(__xludf.DUMMYFUNCTION("""COMPUTED_VALUE"""),80.72)</f>
        <v/>
      </c>
      <c r="AN60" s="512">
        <f>IFERROR(__xludf.DUMMYFUNCTION("""COMPUTED_VALUE"""),45947.6666666666)</f>
        <v/>
      </c>
      <c r="AO60" s="513">
        <f>IFERROR(__xludf.DUMMYFUNCTION("""COMPUTED_VALUE"""),111.68)</f>
        <v/>
      </c>
      <c r="AQ60" s="512">
        <f>IFERROR(__xludf.DUMMYFUNCTION("""COMPUTED_VALUE"""),45947.6666666666)</f>
        <v/>
      </c>
      <c r="AR60" s="513">
        <f>IFERROR(__xludf.DUMMYFUNCTION("""COMPUTED_VALUE"""),94.51)</f>
        <v/>
      </c>
      <c r="AT60" s="512">
        <f>IFERROR(__xludf.DUMMYFUNCTION("""COMPUTED_VALUE"""),45947.6666666666)</f>
        <v/>
      </c>
      <c r="AU60" s="513">
        <f>IFERROR(__xludf.DUMMYFUNCTION("""COMPUTED_VALUE"""),54.18)</f>
        <v/>
      </c>
      <c r="AW60" s="512">
        <f>IFERROR(__xludf.DUMMYFUNCTION("""COMPUTED_VALUE"""),45947.6666666666)</f>
        <v/>
      </c>
      <c r="AX60" s="513">
        <f>IFERROR(__xludf.DUMMYFUNCTION("""COMPUTED_VALUE"""),100.96)</f>
        <v/>
      </c>
      <c r="AZ60" s="512">
        <f>IFERROR(__xludf.DUMMYFUNCTION("""COMPUTED_VALUE"""),45947.6666666666)</f>
        <v/>
      </c>
      <c r="BA60" s="513">
        <f>IFERROR(__xludf.DUMMYFUNCTION("""COMPUTED_VALUE"""),112.2)</f>
        <v/>
      </c>
      <c r="BC60" s="512">
        <f>IFERROR(__xludf.DUMMYFUNCTION("""COMPUTED_VALUE"""),45947.6666666666)</f>
        <v/>
      </c>
      <c r="BD60" s="513">
        <f>IFERROR(__xludf.DUMMYFUNCTION("""COMPUTED_VALUE"""),97.39)</f>
        <v/>
      </c>
      <c r="BF60" s="512">
        <f>IFERROR(__xludf.DUMMYFUNCTION("""COMPUTED_VALUE"""),45947.6666666666)</f>
        <v/>
      </c>
      <c r="BG60" s="513">
        <f>IFERROR(__xludf.DUMMYFUNCTION("""COMPUTED_VALUE"""),83.09)</f>
        <v/>
      </c>
      <c r="BI60" s="512">
        <f>IFERROR(__xludf.DUMMYFUNCTION("""COMPUTED_VALUE"""),45947.6666666666)</f>
        <v/>
      </c>
      <c r="BJ60" s="513">
        <f>IFERROR(__xludf.DUMMYFUNCTION("""COMPUTED_VALUE"""),91.2)</f>
        <v/>
      </c>
      <c r="BL60" s="512">
        <f>IFERROR(__xludf.DUMMYFUNCTION("""COMPUTED_VALUE"""),45947.6666666666)</f>
        <v/>
      </c>
      <c r="BM60" s="513">
        <f>IFERROR(__xludf.DUMMYFUNCTION("""COMPUTED_VALUE"""),388.99)</f>
        <v/>
      </c>
      <c r="BO60" s="512">
        <f>IFERROR(__xludf.DUMMYFUNCTION("""COMPUTED_VALUE"""),45947.6666666666)</f>
        <v/>
      </c>
      <c r="BP60" s="513">
        <f>IFERROR(__xludf.DUMMYFUNCTION("""COMPUTED_VALUE"""),91.62)</f>
        <v/>
      </c>
    </row>
    <row r="61">
      <c r="A61" s="512">
        <f>IFERROR(__xludf.DUMMYFUNCTION("""COMPUTED_VALUE"""),45950.6666666666)</f>
        <v/>
      </c>
      <c r="B61" s="513">
        <f>IFERROR(__xludf.DUMMYFUNCTION("""COMPUTED_VALUE"""),671.3)</f>
        <v/>
      </c>
      <c r="D61" s="512">
        <f>IFERROR(__xludf.DUMMYFUNCTION("""COMPUTED_VALUE"""),45950.6666666666)</f>
        <v/>
      </c>
      <c r="E61" s="513">
        <f>IFERROR(__xludf.DUMMYFUNCTION("""COMPUTED_VALUE"""),92.09)</f>
        <v/>
      </c>
      <c r="G61" s="512">
        <f>IFERROR(__xludf.DUMMYFUNCTION("""COMPUTED_VALUE"""),46135.6666666666)</f>
        <v/>
      </c>
      <c r="H61" s="513">
        <f>IFERROR(__xludf.DUMMYFUNCTION("""COMPUTED_VALUE"""),67.69)</f>
        <v/>
      </c>
      <c r="J61" s="512">
        <f>IFERROR(__xludf.DUMMYFUNCTION("""COMPUTED_VALUE"""),45950.6666666666)</f>
        <v/>
      </c>
      <c r="K61" s="513">
        <f>IFERROR(__xludf.DUMMYFUNCTION("""COMPUTED_VALUE"""),83.54)</f>
        <v/>
      </c>
      <c r="M61" s="512">
        <f>IFERROR(__xludf.DUMMYFUNCTION("""COMPUTED_VALUE"""),45950.6666666666)</f>
        <v/>
      </c>
      <c r="N61" s="513">
        <f>IFERROR(__xludf.DUMMYFUNCTION("""COMPUTED_VALUE"""),248.16)</f>
        <v/>
      </c>
      <c r="P61" s="512">
        <f>IFERROR(__xludf.DUMMYFUNCTION("""COMPUTED_VALUE"""),45950.6666666666)</f>
        <v/>
      </c>
      <c r="Q61" s="513">
        <f>IFERROR(__xludf.DUMMYFUNCTION("""COMPUTED_VALUE"""),81.15)</f>
        <v/>
      </c>
      <c r="S61" s="512">
        <f>IFERROR(__xludf.DUMMYFUNCTION("""COMPUTED_VALUE"""),45218.6666666666)</f>
        <v/>
      </c>
      <c r="T61" s="513">
        <f>IFERROR(__xludf.DUMMYFUNCTION("""COMPUTED_VALUE"""),175.46)</f>
        <v/>
      </c>
      <c r="V61" s="512">
        <f>IFERROR(__xludf.DUMMYFUNCTION("""COMPUTED_VALUE"""),45950.6666666666)</f>
        <v/>
      </c>
      <c r="W61" s="513">
        <f>IFERROR(__xludf.DUMMYFUNCTION("""COMPUTED_VALUE"""),22.34)</f>
        <v/>
      </c>
      <c r="Y61" s="512">
        <f>IFERROR(__xludf.DUMMYFUNCTION("""COMPUTED_VALUE"""),45950.6666666666)</f>
        <v/>
      </c>
      <c r="Z61" s="513">
        <f>IFERROR(__xludf.DUMMYFUNCTION("""COMPUTED_VALUE"""),74.98)</f>
        <v/>
      </c>
      <c r="AB61" s="512">
        <f>IFERROR(__xludf.DUMMYFUNCTION("""COMPUTED_VALUE"""),45950.6666666666)</f>
        <v/>
      </c>
      <c r="AC61" s="513">
        <f>IFERROR(__xludf.DUMMYFUNCTION("""COMPUTED_VALUE"""),55.03)</f>
        <v/>
      </c>
      <c r="AE61" s="512">
        <f>IFERROR(__xludf.DUMMYFUNCTION("""COMPUTED_VALUE"""),45950.6666666666)</f>
        <v/>
      </c>
      <c r="AF61" s="513">
        <f>IFERROR(__xludf.DUMMYFUNCTION("""COMPUTED_VALUE"""),96.16)</f>
        <v/>
      </c>
      <c r="AH61" s="512">
        <f>IFERROR(__xludf.DUMMYFUNCTION("""COMPUTED_VALUE"""),45950.6666666666)</f>
        <v/>
      </c>
      <c r="AI61" s="513">
        <f>IFERROR(__xludf.DUMMYFUNCTION("""COMPUTED_VALUE"""),23)</f>
        <v/>
      </c>
      <c r="AK61" s="512">
        <f>IFERROR(__xludf.DUMMYFUNCTION("""COMPUTED_VALUE"""),45950.6666666666)</f>
        <v/>
      </c>
      <c r="AL61" s="513">
        <f>IFERROR(__xludf.DUMMYFUNCTION("""COMPUTED_VALUE"""),80.88)</f>
        <v/>
      </c>
      <c r="AN61" s="512">
        <f>IFERROR(__xludf.DUMMYFUNCTION("""COMPUTED_VALUE"""),45950.6666666666)</f>
        <v/>
      </c>
      <c r="AO61" s="513">
        <f>IFERROR(__xludf.DUMMYFUNCTION("""COMPUTED_VALUE"""),111.78)</f>
        <v/>
      </c>
      <c r="AQ61" s="512">
        <f>IFERROR(__xludf.DUMMYFUNCTION("""COMPUTED_VALUE"""),45950.6666666666)</f>
        <v/>
      </c>
      <c r="AR61" s="513">
        <f>IFERROR(__xludf.DUMMYFUNCTION("""COMPUTED_VALUE"""),95.29)</f>
        <v/>
      </c>
      <c r="AT61" s="512">
        <f>IFERROR(__xludf.DUMMYFUNCTION("""COMPUTED_VALUE"""),45950.6666666666)</f>
        <v/>
      </c>
      <c r="AU61" s="513">
        <f>IFERROR(__xludf.DUMMYFUNCTION("""COMPUTED_VALUE"""),54.92)</f>
        <v/>
      </c>
      <c r="AW61" s="512">
        <f>IFERROR(__xludf.DUMMYFUNCTION("""COMPUTED_VALUE"""),45950.6666666666)</f>
        <v/>
      </c>
      <c r="AX61" s="513">
        <f>IFERROR(__xludf.DUMMYFUNCTION("""COMPUTED_VALUE"""),101.13)</f>
        <v/>
      </c>
      <c r="AZ61" s="512">
        <f>IFERROR(__xludf.DUMMYFUNCTION("""COMPUTED_VALUE"""),45950.6666666666)</f>
        <v/>
      </c>
      <c r="BA61" s="513">
        <f>IFERROR(__xludf.DUMMYFUNCTION("""COMPUTED_VALUE"""),112.54)</f>
        <v/>
      </c>
      <c r="BC61" s="512">
        <f>IFERROR(__xludf.DUMMYFUNCTION("""COMPUTED_VALUE"""),45950.6666666666)</f>
        <v/>
      </c>
      <c r="BD61" s="513">
        <f>IFERROR(__xludf.DUMMYFUNCTION("""COMPUTED_VALUE"""),97.52)</f>
        <v/>
      </c>
      <c r="BF61" s="512">
        <f>IFERROR(__xludf.DUMMYFUNCTION("""COMPUTED_VALUE"""),45950.6666666666)</f>
        <v/>
      </c>
      <c r="BG61" s="513">
        <f>IFERROR(__xludf.DUMMYFUNCTION("""COMPUTED_VALUE"""),83.1)</f>
        <v/>
      </c>
      <c r="BI61" s="512">
        <f>IFERROR(__xludf.DUMMYFUNCTION("""COMPUTED_VALUE"""),45950.6666666666)</f>
        <v/>
      </c>
      <c r="BJ61" s="513">
        <f>IFERROR(__xludf.DUMMYFUNCTION("""COMPUTED_VALUE"""),91.55)</f>
        <v/>
      </c>
      <c r="BL61" s="512">
        <f>IFERROR(__xludf.DUMMYFUNCTION("""COMPUTED_VALUE"""),45950.6666666666)</f>
        <v/>
      </c>
      <c r="BM61" s="513">
        <f>IFERROR(__xludf.DUMMYFUNCTION("""COMPUTED_VALUE"""),403.15)</f>
        <v/>
      </c>
      <c r="BO61" s="512">
        <f>IFERROR(__xludf.DUMMYFUNCTION("""COMPUTED_VALUE"""),45950.6666666666)</f>
        <v/>
      </c>
      <c r="BP61" s="513">
        <f>IFERROR(__xludf.DUMMYFUNCTION("""COMPUTED_VALUE"""),91.64)</f>
        <v/>
      </c>
    </row>
    <row r="62">
      <c r="A62" s="512">
        <f>IFERROR(__xludf.DUMMYFUNCTION("""COMPUTED_VALUE"""),45951.6666666666)</f>
        <v/>
      </c>
      <c r="B62" s="513">
        <f>IFERROR(__xludf.DUMMYFUNCTION("""COMPUTED_VALUE"""),671.29)</f>
        <v/>
      </c>
      <c r="D62" s="512">
        <f>IFERROR(__xludf.DUMMYFUNCTION("""COMPUTED_VALUE"""),45951.6666666666)</f>
        <v/>
      </c>
      <c r="E62" s="513">
        <f>IFERROR(__xludf.DUMMYFUNCTION("""COMPUTED_VALUE"""),91.83)</f>
        <v/>
      </c>
      <c r="G62" s="512">
        <f>IFERROR(__xludf.DUMMYFUNCTION("""COMPUTED_VALUE"""),46136.6666666666)</f>
        <v/>
      </c>
      <c r="H62" s="513">
        <f>IFERROR(__xludf.DUMMYFUNCTION("""COMPUTED_VALUE"""),68.14)</f>
        <v/>
      </c>
      <c r="J62" s="512">
        <f>IFERROR(__xludf.DUMMYFUNCTION("""COMPUTED_VALUE"""),45951.6666666666)</f>
        <v/>
      </c>
      <c r="K62" s="513">
        <f>IFERROR(__xludf.DUMMYFUNCTION("""COMPUTED_VALUE"""),82.57)</f>
        <v/>
      </c>
      <c r="M62" s="512">
        <f>IFERROR(__xludf.DUMMYFUNCTION("""COMPUTED_VALUE"""),45951.6666666666)</f>
        <v/>
      </c>
      <c r="N62" s="513">
        <f>IFERROR(__xludf.DUMMYFUNCTION("""COMPUTED_VALUE"""),246.99)</f>
        <v/>
      </c>
      <c r="P62" s="512">
        <f>IFERROR(__xludf.DUMMYFUNCTION("""COMPUTED_VALUE"""),45951.6666666666)</f>
        <v/>
      </c>
      <c r="Q62" s="513">
        <f>IFERROR(__xludf.DUMMYFUNCTION("""COMPUTED_VALUE"""),80.67)</f>
        <v/>
      </c>
      <c r="S62" s="512">
        <f>IFERROR(__xludf.DUMMYFUNCTION("""COMPUTED_VALUE"""),45219.6666666666)</f>
        <v/>
      </c>
      <c r="T62" s="513">
        <f>IFERROR(__xludf.DUMMYFUNCTION("""COMPUTED_VALUE"""),172.88)</f>
        <v/>
      </c>
      <c r="V62" s="512">
        <f>IFERROR(__xludf.DUMMYFUNCTION("""COMPUTED_VALUE"""),45951.6666666666)</f>
        <v/>
      </c>
      <c r="W62" s="513">
        <f>IFERROR(__xludf.DUMMYFUNCTION("""COMPUTED_VALUE"""),22.11)</f>
        <v/>
      </c>
      <c r="Y62" s="512">
        <f>IFERROR(__xludf.DUMMYFUNCTION("""COMPUTED_VALUE"""),45951.6666666666)</f>
        <v/>
      </c>
      <c r="Z62" s="513">
        <f>IFERROR(__xludf.DUMMYFUNCTION("""COMPUTED_VALUE"""),75.07)</f>
        <v/>
      </c>
      <c r="AB62" s="512">
        <f>IFERROR(__xludf.DUMMYFUNCTION("""COMPUTED_VALUE"""),45951.6666666666)</f>
        <v/>
      </c>
      <c r="AC62" s="513">
        <f>IFERROR(__xludf.DUMMYFUNCTION("""COMPUTED_VALUE"""),54.54)</f>
        <v/>
      </c>
      <c r="AE62" s="512">
        <f>IFERROR(__xludf.DUMMYFUNCTION("""COMPUTED_VALUE"""),45951.6666666666)</f>
        <v/>
      </c>
      <c r="AF62" s="513">
        <f>IFERROR(__xludf.DUMMYFUNCTION("""COMPUTED_VALUE"""),96.28)</f>
        <v/>
      </c>
      <c r="AH62" s="512">
        <f>IFERROR(__xludf.DUMMYFUNCTION("""COMPUTED_VALUE"""),45951.6666666666)</f>
        <v/>
      </c>
      <c r="AI62" s="513">
        <f>IFERROR(__xludf.DUMMYFUNCTION("""COMPUTED_VALUE"""),22.9)</f>
        <v/>
      </c>
      <c r="AK62" s="512">
        <f>IFERROR(__xludf.DUMMYFUNCTION("""COMPUTED_VALUE"""),45951.6666666666)</f>
        <v/>
      </c>
      <c r="AL62" s="513">
        <f>IFERROR(__xludf.DUMMYFUNCTION("""COMPUTED_VALUE"""),80.76)</f>
        <v/>
      </c>
      <c r="AN62" s="512">
        <f>IFERROR(__xludf.DUMMYFUNCTION("""COMPUTED_VALUE"""),45951.6666666666)</f>
        <v/>
      </c>
      <c r="AO62" s="513">
        <f>IFERROR(__xludf.DUMMYFUNCTION("""COMPUTED_VALUE"""),112.02)</f>
        <v/>
      </c>
      <c r="AQ62" s="512">
        <f>IFERROR(__xludf.DUMMYFUNCTION("""COMPUTED_VALUE"""),45951.6666666666)</f>
        <v/>
      </c>
      <c r="AR62" s="513">
        <f>IFERROR(__xludf.DUMMYFUNCTION("""COMPUTED_VALUE"""),94.59)</f>
        <v/>
      </c>
      <c r="AT62" s="512">
        <f>IFERROR(__xludf.DUMMYFUNCTION("""COMPUTED_VALUE"""),45951.6666666666)</f>
        <v/>
      </c>
      <c r="AU62" s="513">
        <f>IFERROR(__xludf.DUMMYFUNCTION("""COMPUTED_VALUE"""),54.31)</f>
        <v/>
      </c>
      <c r="AW62" s="512">
        <f>IFERROR(__xludf.DUMMYFUNCTION("""COMPUTED_VALUE"""),45951.6666666666)</f>
        <v/>
      </c>
      <c r="AX62" s="513">
        <f>IFERROR(__xludf.DUMMYFUNCTION("""COMPUTED_VALUE"""),101.23)</f>
        <v/>
      </c>
      <c r="AZ62" s="512">
        <f>IFERROR(__xludf.DUMMYFUNCTION("""COMPUTED_VALUE"""),45951.6666666666)</f>
        <v/>
      </c>
      <c r="BA62" s="513">
        <f>IFERROR(__xludf.DUMMYFUNCTION("""COMPUTED_VALUE"""),112.56)</f>
        <v/>
      </c>
      <c r="BC62" s="512">
        <f>IFERROR(__xludf.DUMMYFUNCTION("""COMPUTED_VALUE"""),45951.6666666666)</f>
        <v/>
      </c>
      <c r="BD62" s="513">
        <f>IFERROR(__xludf.DUMMYFUNCTION("""COMPUTED_VALUE"""),97.7)</f>
        <v/>
      </c>
      <c r="BF62" s="512">
        <f>IFERROR(__xludf.DUMMYFUNCTION("""COMPUTED_VALUE"""),45951.6666666666)</f>
        <v/>
      </c>
      <c r="BG62" s="513">
        <f>IFERROR(__xludf.DUMMYFUNCTION("""COMPUTED_VALUE"""),83.12)</f>
        <v/>
      </c>
      <c r="BI62" s="512">
        <f>IFERROR(__xludf.DUMMYFUNCTION("""COMPUTED_VALUE"""),45951.6666666666)</f>
        <v/>
      </c>
      <c r="BJ62" s="513">
        <f>IFERROR(__xludf.DUMMYFUNCTION("""COMPUTED_VALUE"""),92)</f>
        <v/>
      </c>
      <c r="BL62" s="512">
        <f>IFERROR(__xludf.DUMMYFUNCTION("""COMPUTED_VALUE"""),45951.6666666666)</f>
        <v/>
      </c>
      <c r="BM62" s="513">
        <f>IFERROR(__xludf.DUMMYFUNCTION("""COMPUTED_VALUE"""),377.24)</f>
        <v/>
      </c>
      <c r="BO62" s="512">
        <f>IFERROR(__xludf.DUMMYFUNCTION("""COMPUTED_VALUE"""),45951.6666666666)</f>
        <v/>
      </c>
      <c r="BP62" s="513">
        <f>IFERROR(__xludf.DUMMYFUNCTION("""COMPUTED_VALUE"""),91.64)</f>
        <v/>
      </c>
    </row>
    <row r="63">
      <c r="A63" s="512">
        <f>IFERROR(__xludf.DUMMYFUNCTION("""COMPUTED_VALUE"""),45952.6666666666)</f>
        <v/>
      </c>
      <c r="B63" s="513">
        <f>IFERROR(__xludf.DUMMYFUNCTION("""COMPUTED_VALUE"""),667.8)</f>
        <v/>
      </c>
      <c r="D63" s="512">
        <f>IFERROR(__xludf.DUMMYFUNCTION("""COMPUTED_VALUE"""),45952.6666666666)</f>
        <v/>
      </c>
      <c r="E63" s="513">
        <f>IFERROR(__xludf.DUMMYFUNCTION("""COMPUTED_VALUE"""),92.22)</f>
        <v/>
      </c>
      <c r="G63" s="512">
        <f>IFERROR(__xludf.DUMMYFUNCTION("""COMPUTED_VALUE"""),46139.6666666666)</f>
        <v/>
      </c>
      <c r="H63" s="513">
        <f>IFERROR(__xludf.DUMMYFUNCTION("""COMPUTED_VALUE"""),68.07)</f>
        <v/>
      </c>
      <c r="J63" s="512">
        <f>IFERROR(__xludf.DUMMYFUNCTION("""COMPUTED_VALUE"""),45952.6666666666)</f>
        <v/>
      </c>
      <c r="K63" s="513">
        <f>IFERROR(__xludf.DUMMYFUNCTION("""COMPUTED_VALUE"""),82.18)</f>
        <v/>
      </c>
      <c r="M63" s="512">
        <f>IFERROR(__xludf.DUMMYFUNCTION("""COMPUTED_VALUE"""),45952.6666666666)</f>
        <v/>
      </c>
      <c r="N63" s="513">
        <f>IFERROR(__xludf.DUMMYFUNCTION("""COMPUTED_VALUE"""),243.34)</f>
        <v/>
      </c>
      <c r="P63" s="512">
        <f>IFERROR(__xludf.DUMMYFUNCTION("""COMPUTED_VALUE"""),45952.6666666666)</f>
        <v/>
      </c>
      <c r="Q63" s="513">
        <f>IFERROR(__xludf.DUMMYFUNCTION("""COMPUTED_VALUE"""),80.7)</f>
        <v/>
      </c>
      <c r="S63" s="512">
        <f>IFERROR(__xludf.DUMMYFUNCTION("""COMPUTED_VALUE"""),45222.6666666666)</f>
        <v/>
      </c>
      <c r="T63" s="513">
        <f>IFERROR(__xludf.DUMMYFUNCTION("""COMPUTED_VALUE"""),173)</f>
        <v/>
      </c>
      <c r="V63" s="512">
        <f>IFERROR(__xludf.DUMMYFUNCTION("""COMPUTED_VALUE"""),45952.6666666666)</f>
        <v/>
      </c>
      <c r="W63" s="513">
        <f>IFERROR(__xludf.DUMMYFUNCTION("""COMPUTED_VALUE"""),22.46)</f>
        <v/>
      </c>
      <c r="Y63" s="512">
        <f>IFERROR(__xludf.DUMMYFUNCTION("""COMPUTED_VALUE"""),45952.6666666666)</f>
        <v/>
      </c>
      <c r="Z63" s="513">
        <f>IFERROR(__xludf.DUMMYFUNCTION("""COMPUTED_VALUE"""),75.07)</f>
        <v/>
      </c>
      <c r="AB63" s="512">
        <f>IFERROR(__xludf.DUMMYFUNCTION("""COMPUTED_VALUE"""),45952.6666666666)</f>
        <v/>
      </c>
      <c r="AC63" s="513">
        <f>IFERROR(__xludf.DUMMYFUNCTION("""COMPUTED_VALUE"""),54.51)</f>
        <v/>
      </c>
      <c r="AE63" s="512">
        <f>IFERROR(__xludf.DUMMYFUNCTION("""COMPUTED_VALUE"""),45952.6666666666)</f>
        <v/>
      </c>
      <c r="AF63" s="513">
        <f>IFERROR(__xludf.DUMMYFUNCTION("""COMPUTED_VALUE"""),96.08)</f>
        <v/>
      </c>
      <c r="AH63" s="512">
        <f>IFERROR(__xludf.DUMMYFUNCTION("""COMPUTED_VALUE"""),45952.6666666666)</f>
        <v/>
      </c>
      <c r="AI63" s="513">
        <f>IFERROR(__xludf.DUMMYFUNCTION("""COMPUTED_VALUE"""),22.91)</f>
        <v/>
      </c>
      <c r="AK63" s="512">
        <f>IFERROR(__xludf.DUMMYFUNCTION("""COMPUTED_VALUE"""),45952.6666666666)</f>
        <v/>
      </c>
      <c r="AL63" s="513">
        <f>IFERROR(__xludf.DUMMYFUNCTION("""COMPUTED_VALUE"""),80.68)</f>
        <v/>
      </c>
      <c r="AN63" s="512">
        <f>IFERROR(__xludf.DUMMYFUNCTION("""COMPUTED_VALUE"""),45952.6666666666)</f>
        <v/>
      </c>
      <c r="AO63" s="513">
        <f>IFERROR(__xludf.DUMMYFUNCTION("""COMPUTED_VALUE"""),112.2)</f>
        <v/>
      </c>
      <c r="AQ63" s="512">
        <f>IFERROR(__xludf.DUMMYFUNCTION("""COMPUTED_VALUE"""),45952.6666666666)</f>
        <v/>
      </c>
      <c r="AR63" s="513">
        <f>IFERROR(__xludf.DUMMYFUNCTION("""COMPUTED_VALUE"""),94.45)</f>
        <v/>
      </c>
      <c r="AT63" s="512">
        <f>IFERROR(__xludf.DUMMYFUNCTION("""COMPUTED_VALUE"""),45952.6666666666)</f>
        <v/>
      </c>
      <c r="AU63" s="513">
        <f>IFERROR(__xludf.DUMMYFUNCTION("""COMPUTED_VALUE"""),54.26)</f>
        <v/>
      </c>
      <c r="AW63" s="512">
        <f>IFERROR(__xludf.DUMMYFUNCTION("""COMPUTED_VALUE"""),45952.6666666666)</f>
        <v/>
      </c>
      <c r="AX63" s="513">
        <f>IFERROR(__xludf.DUMMYFUNCTION("""COMPUTED_VALUE"""),101.22)</f>
        <v/>
      </c>
      <c r="AZ63" s="512">
        <f>IFERROR(__xludf.DUMMYFUNCTION("""COMPUTED_VALUE"""),45952.6666666666)</f>
        <v/>
      </c>
      <c r="BA63" s="513">
        <f>IFERROR(__xludf.DUMMYFUNCTION("""COMPUTED_VALUE"""),112.67)</f>
        <v/>
      </c>
      <c r="BC63" s="512">
        <f>IFERROR(__xludf.DUMMYFUNCTION("""COMPUTED_VALUE"""),45952.6666666666)</f>
        <v/>
      </c>
      <c r="BD63" s="513">
        <f>IFERROR(__xludf.DUMMYFUNCTION("""COMPUTED_VALUE"""),97.72)</f>
        <v/>
      </c>
      <c r="BF63" s="512">
        <f>IFERROR(__xludf.DUMMYFUNCTION("""COMPUTED_VALUE"""),45952.6666666666)</f>
        <v/>
      </c>
      <c r="BG63" s="513">
        <f>IFERROR(__xludf.DUMMYFUNCTION("""COMPUTED_VALUE"""),83.12)</f>
        <v/>
      </c>
      <c r="BI63" s="512">
        <f>IFERROR(__xludf.DUMMYFUNCTION("""COMPUTED_VALUE"""),45952.6666666666)</f>
        <v/>
      </c>
      <c r="BJ63" s="513">
        <f>IFERROR(__xludf.DUMMYFUNCTION("""COMPUTED_VALUE"""),92.06)</f>
        <v/>
      </c>
      <c r="BL63" s="512">
        <f>IFERROR(__xludf.DUMMYFUNCTION("""COMPUTED_VALUE"""),45952.6666666666)</f>
        <v/>
      </c>
      <c r="BM63" s="513">
        <f>IFERROR(__xludf.DUMMYFUNCTION("""COMPUTED_VALUE"""),377.28)</f>
        <v/>
      </c>
      <c r="BO63" s="512">
        <f>IFERROR(__xludf.DUMMYFUNCTION("""COMPUTED_VALUE"""),45952.6666666666)</f>
        <v/>
      </c>
      <c r="BP63" s="513">
        <f>IFERROR(__xludf.DUMMYFUNCTION("""COMPUTED_VALUE"""),91.66)</f>
        <v/>
      </c>
    </row>
    <row r="64">
      <c r="A64" s="512">
        <f>IFERROR(__xludf.DUMMYFUNCTION("""COMPUTED_VALUE"""),45953.6666666666)</f>
        <v/>
      </c>
      <c r="B64" s="513">
        <f>IFERROR(__xludf.DUMMYFUNCTION("""COMPUTED_VALUE"""),671.76)</f>
        <v/>
      </c>
      <c r="D64" s="512">
        <f>IFERROR(__xludf.DUMMYFUNCTION("""COMPUTED_VALUE"""),45953.6666666666)</f>
        <v/>
      </c>
      <c r="E64" s="513">
        <f>IFERROR(__xludf.DUMMYFUNCTION("""COMPUTED_VALUE"""),92.16)</f>
        <v/>
      </c>
      <c r="G64" s="512">
        <f>IFERROR(__xludf.DUMMYFUNCTION("""COMPUTED_VALUE"""),46140.6666666666)</f>
        <v/>
      </c>
      <c r="H64" s="513">
        <f>IFERROR(__xludf.DUMMYFUNCTION("""COMPUTED_VALUE"""),67.73)</f>
        <v/>
      </c>
      <c r="J64" s="512">
        <f>IFERROR(__xludf.DUMMYFUNCTION("""COMPUTED_VALUE"""),45953.6666666666)</f>
        <v/>
      </c>
      <c r="K64" s="513">
        <f>IFERROR(__xludf.DUMMYFUNCTION("""COMPUTED_VALUE"""),82.22)</f>
        <v/>
      </c>
      <c r="M64" s="512">
        <f>IFERROR(__xludf.DUMMYFUNCTION("""COMPUTED_VALUE"""),45953.6666666666)</f>
        <v/>
      </c>
      <c r="N64" s="513">
        <f>IFERROR(__xludf.DUMMYFUNCTION("""COMPUTED_VALUE"""),246.42)</f>
        <v/>
      </c>
      <c r="P64" s="512">
        <f>IFERROR(__xludf.DUMMYFUNCTION("""COMPUTED_VALUE"""),45953.6666666666)</f>
        <v/>
      </c>
      <c r="Q64" s="513">
        <f>IFERROR(__xludf.DUMMYFUNCTION("""COMPUTED_VALUE"""),81.17)</f>
        <v/>
      </c>
      <c r="S64" s="512">
        <f>IFERROR(__xludf.DUMMYFUNCTION("""COMPUTED_VALUE"""),45223.6666666666)</f>
        <v/>
      </c>
      <c r="T64" s="513">
        <f>IFERROR(__xludf.DUMMYFUNCTION("""COMPUTED_VALUE"""),173.44)</f>
        <v/>
      </c>
      <c r="V64" s="512">
        <f>IFERROR(__xludf.DUMMYFUNCTION("""COMPUTED_VALUE"""),45953.6666666666)</f>
        <v/>
      </c>
      <c r="W64" s="513">
        <f>IFERROR(__xludf.DUMMYFUNCTION("""COMPUTED_VALUE"""),22.84)</f>
        <v/>
      </c>
      <c r="Y64" s="512">
        <f>IFERROR(__xludf.DUMMYFUNCTION("""COMPUTED_VALUE"""),45953.6666666666)</f>
        <v/>
      </c>
      <c r="Z64" s="513">
        <f>IFERROR(__xludf.DUMMYFUNCTION("""COMPUTED_VALUE"""),74.92)</f>
        <v/>
      </c>
      <c r="AB64" s="512">
        <f>IFERROR(__xludf.DUMMYFUNCTION("""COMPUTED_VALUE"""),45953.6666666666)</f>
        <v/>
      </c>
      <c r="AC64" s="513">
        <f>IFERROR(__xludf.DUMMYFUNCTION("""COMPUTED_VALUE"""),54.92)</f>
        <v/>
      </c>
      <c r="AE64" s="512">
        <f>IFERROR(__xludf.DUMMYFUNCTION("""COMPUTED_VALUE"""),45953.6666666666)</f>
        <v/>
      </c>
      <c r="AF64" s="513">
        <f>IFERROR(__xludf.DUMMYFUNCTION("""COMPUTED_VALUE"""),96.01)</f>
        <v/>
      </c>
      <c r="AH64" s="512">
        <f>IFERROR(__xludf.DUMMYFUNCTION("""COMPUTED_VALUE"""),45953.6666666666)</f>
        <v/>
      </c>
      <c r="AI64" s="513">
        <f>IFERROR(__xludf.DUMMYFUNCTION("""COMPUTED_VALUE"""),22.85)</f>
        <v/>
      </c>
      <c r="AK64" s="512">
        <f>IFERROR(__xludf.DUMMYFUNCTION("""COMPUTED_VALUE"""),45953.6666666666)</f>
        <v/>
      </c>
      <c r="AL64" s="513">
        <f>IFERROR(__xludf.DUMMYFUNCTION("""COMPUTED_VALUE"""),80.86)</f>
        <v/>
      </c>
      <c r="AN64" s="512">
        <f>IFERROR(__xludf.DUMMYFUNCTION("""COMPUTED_VALUE"""),45953.6666666666)</f>
        <v/>
      </c>
      <c r="AO64" s="513">
        <f>IFERROR(__xludf.DUMMYFUNCTION("""COMPUTED_VALUE"""),111.98)</f>
        <v/>
      </c>
      <c r="AQ64" s="512">
        <f>IFERROR(__xludf.DUMMYFUNCTION("""COMPUTED_VALUE"""),45953.6666666666)</f>
        <v/>
      </c>
      <c r="AR64" s="513">
        <f>IFERROR(__xludf.DUMMYFUNCTION("""COMPUTED_VALUE"""),94.89)</f>
        <v/>
      </c>
      <c r="AT64" s="512">
        <f>IFERROR(__xludf.DUMMYFUNCTION("""COMPUTED_VALUE"""),45953.6666666666)</f>
        <v/>
      </c>
      <c r="AU64" s="513">
        <f>IFERROR(__xludf.DUMMYFUNCTION("""COMPUTED_VALUE"""),54.74)</f>
        <v/>
      </c>
      <c r="AW64" s="512">
        <f>IFERROR(__xludf.DUMMYFUNCTION("""COMPUTED_VALUE"""),45953.6666666666)</f>
        <v/>
      </c>
      <c r="AX64" s="513">
        <f>IFERROR(__xludf.DUMMYFUNCTION("""COMPUTED_VALUE"""),101.04)</f>
        <v/>
      </c>
      <c r="AZ64" s="512">
        <f>IFERROR(__xludf.DUMMYFUNCTION("""COMPUTED_VALUE"""),45953.6666666666)</f>
        <v/>
      </c>
      <c r="BA64" s="513">
        <f>IFERROR(__xludf.DUMMYFUNCTION("""COMPUTED_VALUE"""),112.53)</f>
        <v/>
      </c>
      <c r="BC64" s="512">
        <f>IFERROR(__xludf.DUMMYFUNCTION("""COMPUTED_VALUE"""),45953.6666666666)</f>
        <v/>
      </c>
      <c r="BD64" s="513">
        <f>IFERROR(__xludf.DUMMYFUNCTION("""COMPUTED_VALUE"""),97.4)</f>
        <v/>
      </c>
      <c r="BF64" s="512">
        <f>IFERROR(__xludf.DUMMYFUNCTION("""COMPUTED_VALUE"""),45953.6666666666)</f>
        <v/>
      </c>
      <c r="BG64" s="513">
        <f>IFERROR(__xludf.DUMMYFUNCTION("""COMPUTED_VALUE"""),83.06)</f>
        <v/>
      </c>
      <c r="BI64" s="512">
        <f>IFERROR(__xludf.DUMMYFUNCTION("""COMPUTED_VALUE"""),45953.6666666666)</f>
        <v/>
      </c>
      <c r="BJ64" s="513">
        <f>IFERROR(__xludf.DUMMYFUNCTION("""COMPUTED_VALUE"""),91.43)</f>
        <v/>
      </c>
      <c r="BL64" s="512">
        <f>IFERROR(__xludf.DUMMYFUNCTION("""COMPUTED_VALUE"""),45953.6666666666)</f>
        <v/>
      </c>
      <c r="BM64" s="513">
        <f>IFERROR(__xludf.DUMMYFUNCTION("""COMPUTED_VALUE"""),378.79)</f>
        <v/>
      </c>
      <c r="BO64" s="512">
        <f>IFERROR(__xludf.DUMMYFUNCTION("""COMPUTED_VALUE"""),45953.6666666666)</f>
        <v/>
      </c>
      <c r="BP64" s="513">
        <f>IFERROR(__xludf.DUMMYFUNCTION("""COMPUTED_VALUE"""),91.67)</f>
        <v/>
      </c>
    </row>
    <row r="65">
      <c r="A65" s="512">
        <f>IFERROR(__xludf.DUMMYFUNCTION("""COMPUTED_VALUE"""),45954.6666666666)</f>
        <v/>
      </c>
      <c r="B65" s="513">
        <f>IFERROR(__xludf.DUMMYFUNCTION("""COMPUTED_VALUE"""),677.25)</f>
        <v/>
      </c>
      <c r="D65" s="512">
        <f>IFERROR(__xludf.DUMMYFUNCTION("""COMPUTED_VALUE"""),45954.6666666666)</f>
        <v/>
      </c>
      <c r="E65" s="513">
        <f>IFERROR(__xludf.DUMMYFUNCTION("""COMPUTED_VALUE"""),92.43)</f>
        <v/>
      </c>
      <c r="G65" s="512">
        <f>IFERROR(__xludf.DUMMYFUNCTION("""COMPUTED_VALUE"""),46141.6666666666)</f>
        <v/>
      </c>
      <c r="H65" s="513">
        <f>IFERROR(__xludf.DUMMYFUNCTION("""COMPUTED_VALUE"""),67.08)</f>
        <v/>
      </c>
      <c r="J65" s="512">
        <f>IFERROR(__xludf.DUMMYFUNCTION("""COMPUTED_VALUE"""),45954.6666666666)</f>
        <v/>
      </c>
      <c r="K65" s="513">
        <f>IFERROR(__xludf.DUMMYFUNCTION("""COMPUTED_VALUE"""),82.5)</f>
        <v/>
      </c>
      <c r="M65" s="512">
        <f>IFERROR(__xludf.DUMMYFUNCTION("""COMPUTED_VALUE"""),45954.6666666666)</f>
        <v/>
      </c>
      <c r="N65" s="513">
        <f>IFERROR(__xludf.DUMMYFUNCTION("""COMPUTED_VALUE"""),249.43)</f>
        <v/>
      </c>
      <c r="P65" s="512">
        <f>IFERROR(__xludf.DUMMYFUNCTION("""COMPUTED_VALUE"""),45954.6666666666)</f>
        <v/>
      </c>
      <c r="Q65" s="513">
        <f>IFERROR(__xludf.DUMMYFUNCTION("""COMPUTED_VALUE"""),81.29)</f>
        <v/>
      </c>
      <c r="S65" s="512">
        <f>IFERROR(__xludf.DUMMYFUNCTION("""COMPUTED_VALUE"""),45224.6666666666)</f>
        <v/>
      </c>
      <c r="T65" s="513">
        <f>IFERROR(__xludf.DUMMYFUNCTION("""COMPUTED_VALUE"""),171.1)</f>
        <v/>
      </c>
      <c r="V65" s="512">
        <f>IFERROR(__xludf.DUMMYFUNCTION("""COMPUTED_VALUE"""),45954.6666666666)</f>
        <v/>
      </c>
      <c r="W65" s="513">
        <f>IFERROR(__xludf.DUMMYFUNCTION("""COMPUTED_VALUE"""),22.85)</f>
        <v/>
      </c>
      <c r="Y65" s="512">
        <f>IFERROR(__xludf.DUMMYFUNCTION("""COMPUTED_VALUE"""),45954.6666666666)</f>
        <v/>
      </c>
      <c r="Z65" s="513">
        <f>IFERROR(__xludf.DUMMYFUNCTION("""COMPUTED_VALUE"""),75.02)</f>
        <v/>
      </c>
      <c r="AB65" s="512">
        <f>IFERROR(__xludf.DUMMYFUNCTION("""COMPUTED_VALUE"""),45954.6666666666)</f>
        <v/>
      </c>
      <c r="AC65" s="513">
        <f>IFERROR(__xludf.DUMMYFUNCTION("""COMPUTED_VALUE"""),55.18)</f>
        <v/>
      </c>
      <c r="AE65" s="512">
        <f>IFERROR(__xludf.DUMMYFUNCTION("""COMPUTED_VALUE"""),45954.6666666666)</f>
        <v/>
      </c>
      <c r="AF65" s="513">
        <f>IFERROR(__xludf.DUMMYFUNCTION("""COMPUTED_VALUE"""),96.29)</f>
        <v/>
      </c>
      <c r="AH65" s="512">
        <f>IFERROR(__xludf.DUMMYFUNCTION("""COMPUTED_VALUE"""),45954.6666666666)</f>
        <v/>
      </c>
      <c r="AI65" s="513">
        <f>IFERROR(__xludf.DUMMYFUNCTION("""COMPUTED_VALUE"""),22.83)</f>
        <v/>
      </c>
      <c r="AK65" s="512">
        <f>IFERROR(__xludf.DUMMYFUNCTION("""COMPUTED_VALUE"""),45954.6666666666)</f>
        <v/>
      </c>
      <c r="AL65" s="513">
        <f>IFERROR(__xludf.DUMMYFUNCTION("""COMPUTED_VALUE"""),81.08)</f>
        <v/>
      </c>
      <c r="AN65" s="512">
        <f>IFERROR(__xludf.DUMMYFUNCTION("""COMPUTED_VALUE"""),45954.6666666666)</f>
        <v/>
      </c>
      <c r="AO65" s="513">
        <f>IFERROR(__xludf.DUMMYFUNCTION("""COMPUTED_VALUE"""),111.97)</f>
        <v/>
      </c>
      <c r="AQ65" s="512">
        <f>IFERROR(__xludf.DUMMYFUNCTION("""COMPUTED_VALUE"""),45954.6666666666)</f>
        <v/>
      </c>
      <c r="AR65" s="513">
        <f>IFERROR(__xludf.DUMMYFUNCTION("""COMPUTED_VALUE"""),95.04)</f>
        <v/>
      </c>
      <c r="AT65" s="512">
        <f>IFERROR(__xludf.DUMMYFUNCTION("""COMPUTED_VALUE"""),45954.6666666666)</f>
        <v/>
      </c>
      <c r="AU65" s="513">
        <f>IFERROR(__xludf.DUMMYFUNCTION("""COMPUTED_VALUE"""),55.1)</f>
        <v/>
      </c>
      <c r="AW65" s="512">
        <f>IFERROR(__xludf.DUMMYFUNCTION("""COMPUTED_VALUE"""),45954.6666666666)</f>
        <v/>
      </c>
      <c r="AX65" s="513">
        <f>IFERROR(__xludf.DUMMYFUNCTION("""COMPUTED_VALUE"""),101.14)</f>
        <v/>
      </c>
      <c r="AZ65" s="512">
        <f>IFERROR(__xludf.DUMMYFUNCTION("""COMPUTED_VALUE"""),45954.6666666666)</f>
        <v/>
      </c>
      <c r="BA65" s="513">
        <f>IFERROR(__xludf.DUMMYFUNCTION("""COMPUTED_VALUE"""),112.72)</f>
        <v/>
      </c>
      <c r="BC65" s="512">
        <f>IFERROR(__xludf.DUMMYFUNCTION("""COMPUTED_VALUE"""),45954.6666666666)</f>
        <v/>
      </c>
      <c r="BD65" s="513">
        <f>IFERROR(__xludf.DUMMYFUNCTION("""COMPUTED_VALUE"""),97.49)</f>
        <v/>
      </c>
      <c r="BF65" s="512">
        <f>IFERROR(__xludf.DUMMYFUNCTION("""COMPUTED_VALUE"""),45954.6666666666)</f>
        <v/>
      </c>
      <c r="BG65" s="513">
        <f>IFERROR(__xludf.DUMMYFUNCTION("""COMPUTED_VALUE"""),83.11)</f>
        <v/>
      </c>
      <c r="BI65" s="512">
        <f>IFERROR(__xludf.DUMMYFUNCTION("""COMPUTED_VALUE"""),45954.6666666666)</f>
        <v/>
      </c>
      <c r="BJ65" s="513">
        <f>IFERROR(__xludf.DUMMYFUNCTION("""COMPUTED_VALUE"""),91.47)</f>
        <v/>
      </c>
      <c r="BL65" s="512">
        <f>IFERROR(__xludf.DUMMYFUNCTION("""COMPUTED_VALUE"""),45954.6666666666)</f>
        <v/>
      </c>
      <c r="BM65" s="513">
        <f>IFERROR(__xludf.DUMMYFUNCTION("""COMPUTED_VALUE"""),377.52)</f>
        <v/>
      </c>
      <c r="BO65" s="512">
        <f>IFERROR(__xludf.DUMMYFUNCTION("""COMPUTED_VALUE"""),45954.6666666666)</f>
        <v/>
      </c>
      <c r="BP65" s="513">
        <f>IFERROR(__xludf.DUMMYFUNCTION("""COMPUTED_VALUE"""),91.7)</f>
        <v/>
      </c>
    </row>
    <row r="66">
      <c r="A66" s="512">
        <f>IFERROR(__xludf.DUMMYFUNCTION("""COMPUTED_VALUE"""),45957.6666666666)</f>
        <v/>
      </c>
      <c r="B66" s="513">
        <f>IFERROR(__xludf.DUMMYFUNCTION("""COMPUTED_VALUE"""),685.24)</f>
        <v/>
      </c>
      <c r="D66" s="512">
        <f>IFERROR(__xludf.DUMMYFUNCTION("""COMPUTED_VALUE"""),45957.6666666666)</f>
        <v/>
      </c>
      <c r="E66" s="513">
        <f>IFERROR(__xludf.DUMMYFUNCTION("""COMPUTED_VALUE"""),92.69)</f>
        <v/>
      </c>
      <c r="G66" s="512">
        <f>IFERROR(__xludf.DUMMYFUNCTION("""COMPUTED_VALUE"""),46142.6666666666)</f>
        <v/>
      </c>
      <c r="H66" s="513">
        <f>IFERROR(__xludf.DUMMYFUNCTION("""COMPUTED_VALUE"""),68.8)</f>
        <v/>
      </c>
      <c r="J66" s="512">
        <f>IFERROR(__xludf.DUMMYFUNCTION("""COMPUTED_VALUE"""),45957.6666666666)</f>
        <v/>
      </c>
      <c r="K66" s="513">
        <f>IFERROR(__xludf.DUMMYFUNCTION("""COMPUTED_VALUE"""),83.53)</f>
        <v/>
      </c>
      <c r="M66" s="512">
        <f>IFERROR(__xludf.DUMMYFUNCTION("""COMPUTED_VALUE"""),45957.6666666666)</f>
        <v/>
      </c>
      <c r="N66" s="513">
        <f>IFERROR(__xludf.DUMMYFUNCTION("""COMPUTED_VALUE"""),250.3)</f>
        <v/>
      </c>
      <c r="P66" s="512">
        <f>IFERROR(__xludf.DUMMYFUNCTION("""COMPUTED_VALUE"""),45957.6666666666)</f>
        <v/>
      </c>
      <c r="Q66" s="513">
        <f>IFERROR(__xludf.DUMMYFUNCTION("""COMPUTED_VALUE"""),81.69)</f>
        <v/>
      </c>
      <c r="S66" s="512">
        <f>IFERROR(__xludf.DUMMYFUNCTION("""COMPUTED_VALUE"""),45225.6666666666)</f>
        <v/>
      </c>
      <c r="T66" s="513">
        <f>IFERROR(__xludf.DUMMYFUNCTION("""COMPUTED_VALUE"""),166.89)</f>
        <v/>
      </c>
      <c r="V66" s="512">
        <f>IFERROR(__xludf.DUMMYFUNCTION("""COMPUTED_VALUE"""),45957.6666666666)</f>
        <v/>
      </c>
      <c r="W66" s="513">
        <f>IFERROR(__xludf.DUMMYFUNCTION("""COMPUTED_VALUE"""),22.8)</f>
        <v/>
      </c>
      <c r="Y66" s="512">
        <f>IFERROR(__xludf.DUMMYFUNCTION("""COMPUTED_VALUE"""),45957.6666666666)</f>
        <v/>
      </c>
      <c r="Z66" s="513">
        <f>IFERROR(__xludf.DUMMYFUNCTION("""COMPUTED_VALUE"""),75.06)</f>
        <v/>
      </c>
      <c r="AB66" s="512">
        <f>IFERROR(__xludf.DUMMYFUNCTION("""COMPUTED_VALUE"""),45957.6666666666)</f>
        <v/>
      </c>
      <c r="AC66" s="513">
        <f>IFERROR(__xludf.DUMMYFUNCTION("""COMPUTED_VALUE"""),55.64)</f>
        <v/>
      </c>
      <c r="AE66" s="512">
        <f>IFERROR(__xludf.DUMMYFUNCTION("""COMPUTED_VALUE"""),45957.6666666666)</f>
        <v/>
      </c>
      <c r="AF66" s="513">
        <f>IFERROR(__xludf.DUMMYFUNCTION("""COMPUTED_VALUE"""),97.03)</f>
        <v/>
      </c>
      <c r="AH66" s="512">
        <f>IFERROR(__xludf.DUMMYFUNCTION("""COMPUTED_VALUE"""),45957.6666666666)</f>
        <v/>
      </c>
      <c r="AI66" s="513">
        <f>IFERROR(__xludf.DUMMYFUNCTION("""COMPUTED_VALUE"""),22.9)</f>
        <v/>
      </c>
      <c r="AK66" s="512">
        <f>IFERROR(__xludf.DUMMYFUNCTION("""COMPUTED_VALUE"""),45957.6666666666)</f>
        <v/>
      </c>
      <c r="AL66" s="513">
        <f>IFERROR(__xludf.DUMMYFUNCTION("""COMPUTED_VALUE"""),81.28)</f>
        <v/>
      </c>
      <c r="AN66" s="512">
        <f>IFERROR(__xludf.DUMMYFUNCTION("""COMPUTED_VALUE"""),45957.6666666666)</f>
        <v/>
      </c>
      <c r="AO66" s="513">
        <f>IFERROR(__xludf.DUMMYFUNCTION("""COMPUTED_VALUE"""),111.94)</f>
        <v/>
      </c>
      <c r="AQ66" s="512">
        <f>IFERROR(__xludf.DUMMYFUNCTION("""COMPUTED_VALUE"""),45957.6666666666)</f>
        <v/>
      </c>
      <c r="AR66" s="513">
        <f>IFERROR(__xludf.DUMMYFUNCTION("""COMPUTED_VALUE"""),95.7)</f>
        <v/>
      </c>
      <c r="AT66" s="512">
        <f>IFERROR(__xludf.DUMMYFUNCTION("""COMPUTED_VALUE"""),45957.6666666666)</f>
        <v/>
      </c>
      <c r="AU66" s="513">
        <f>IFERROR(__xludf.DUMMYFUNCTION("""COMPUTED_VALUE"""),55.71)</f>
        <v/>
      </c>
      <c r="AW66" s="512">
        <f>IFERROR(__xludf.DUMMYFUNCTION("""COMPUTED_VALUE"""),45957.6666666666)</f>
        <v/>
      </c>
      <c r="AX66" s="513">
        <f>IFERROR(__xludf.DUMMYFUNCTION("""COMPUTED_VALUE"""),101.21)</f>
        <v/>
      </c>
      <c r="AZ66" s="512">
        <f>IFERROR(__xludf.DUMMYFUNCTION("""COMPUTED_VALUE"""),45957.6666666666)</f>
        <v/>
      </c>
      <c r="BA66" s="513">
        <f>IFERROR(__xludf.DUMMYFUNCTION("""COMPUTED_VALUE"""),112.91)</f>
        <v/>
      </c>
      <c r="BC66" s="512">
        <f>IFERROR(__xludf.DUMMYFUNCTION("""COMPUTED_VALUE"""),45957.6666666666)</f>
        <v/>
      </c>
      <c r="BD66" s="513">
        <f>IFERROR(__xludf.DUMMYFUNCTION("""COMPUTED_VALUE"""),97.49)</f>
        <v/>
      </c>
      <c r="BF66" s="512">
        <f>IFERROR(__xludf.DUMMYFUNCTION("""COMPUTED_VALUE"""),45957.6666666666)</f>
        <v/>
      </c>
      <c r="BG66" s="513">
        <f>IFERROR(__xludf.DUMMYFUNCTION("""COMPUTED_VALUE"""),83.09)</f>
        <v/>
      </c>
      <c r="BI66" s="512">
        <f>IFERROR(__xludf.DUMMYFUNCTION("""COMPUTED_VALUE"""),45957.6666666666)</f>
        <v/>
      </c>
      <c r="BJ66" s="513">
        <f>IFERROR(__xludf.DUMMYFUNCTION("""COMPUTED_VALUE"""),91.78)</f>
        <v/>
      </c>
      <c r="BL66" s="512">
        <f>IFERROR(__xludf.DUMMYFUNCTION("""COMPUTED_VALUE"""),45957.6666666666)</f>
        <v/>
      </c>
      <c r="BM66" s="513">
        <f>IFERROR(__xludf.DUMMYFUNCTION("""COMPUTED_VALUE"""),367.01)</f>
        <v/>
      </c>
      <c r="BO66" s="512">
        <f>IFERROR(__xludf.DUMMYFUNCTION("""COMPUTED_VALUE"""),45957.6666666666)</f>
        <v/>
      </c>
      <c r="BP66" s="513">
        <f>IFERROR(__xludf.DUMMYFUNCTION("""COMPUTED_VALUE"""),91.7)</f>
        <v/>
      </c>
    </row>
    <row r="67">
      <c r="A67" s="512">
        <f>IFERROR(__xludf.DUMMYFUNCTION("""COMPUTED_VALUE"""),45958.6666666666)</f>
        <v/>
      </c>
      <c r="B67" s="513">
        <f>IFERROR(__xludf.DUMMYFUNCTION("""COMPUTED_VALUE"""),687.06)</f>
        <v/>
      </c>
      <c r="D67" s="512">
        <f>IFERROR(__xludf.DUMMYFUNCTION("""COMPUTED_VALUE"""),45958.6666666666)</f>
        <v/>
      </c>
      <c r="E67" s="513">
        <f>IFERROR(__xludf.DUMMYFUNCTION("""COMPUTED_VALUE"""),90.87)</f>
        <v/>
      </c>
      <c r="G67" s="512">
        <f>IFERROR(__xludf.DUMMYFUNCTION("""COMPUTED_VALUE"""),46143.6666666666)</f>
        <v/>
      </c>
      <c r="H67" s="513">
        <f>IFERROR(__xludf.DUMMYFUNCTION("""COMPUTED_VALUE"""),68.72)</f>
        <v/>
      </c>
      <c r="J67" s="512">
        <f>IFERROR(__xludf.DUMMYFUNCTION("""COMPUTED_VALUE"""),45958.6666666666)</f>
        <v/>
      </c>
      <c r="K67" s="513">
        <f>IFERROR(__xludf.DUMMYFUNCTION("""COMPUTED_VALUE"""),83.93)</f>
        <v/>
      </c>
      <c r="M67" s="512">
        <f>IFERROR(__xludf.DUMMYFUNCTION("""COMPUTED_VALUE"""),45958.6666666666)</f>
        <v/>
      </c>
      <c r="N67" s="513">
        <f>IFERROR(__xludf.DUMMYFUNCTION("""COMPUTED_VALUE"""),248.96)</f>
        <v/>
      </c>
      <c r="P67" s="512">
        <f>IFERROR(__xludf.DUMMYFUNCTION("""COMPUTED_VALUE"""),45958.6666666666)</f>
        <v/>
      </c>
      <c r="Q67" s="513">
        <f>IFERROR(__xludf.DUMMYFUNCTION("""COMPUTED_VALUE"""),81.48)</f>
        <v/>
      </c>
      <c r="S67" s="512">
        <f>IFERROR(__xludf.DUMMYFUNCTION("""COMPUTED_VALUE"""),45226.6666666666)</f>
        <v/>
      </c>
      <c r="T67" s="513">
        <f>IFERROR(__xludf.DUMMYFUNCTION("""COMPUTED_VALUE"""),168.22)</f>
        <v/>
      </c>
      <c r="V67" s="512">
        <f>IFERROR(__xludf.DUMMYFUNCTION("""COMPUTED_VALUE"""),45958.6666666666)</f>
        <v/>
      </c>
      <c r="W67" s="513">
        <f>IFERROR(__xludf.DUMMYFUNCTION("""COMPUTED_VALUE"""),22.59)</f>
        <v/>
      </c>
      <c r="Y67" s="512">
        <f>IFERROR(__xludf.DUMMYFUNCTION("""COMPUTED_VALUE"""),45958.6666666666)</f>
        <v/>
      </c>
      <c r="Z67" s="513">
        <f>IFERROR(__xludf.DUMMYFUNCTION("""COMPUTED_VALUE"""),75.1)</f>
        <v/>
      </c>
      <c r="AB67" s="512">
        <f>IFERROR(__xludf.DUMMYFUNCTION("""COMPUTED_VALUE"""),45958.6666666666)</f>
        <v/>
      </c>
      <c r="AC67" s="513">
        <f>IFERROR(__xludf.DUMMYFUNCTION("""COMPUTED_VALUE"""),55.61)</f>
        <v/>
      </c>
      <c r="AE67" s="512">
        <f>IFERROR(__xludf.DUMMYFUNCTION("""COMPUTED_VALUE"""),45958.6666666666)</f>
        <v/>
      </c>
      <c r="AF67" s="513">
        <f>IFERROR(__xludf.DUMMYFUNCTION("""COMPUTED_VALUE"""),97.03)</f>
        <v/>
      </c>
      <c r="AH67" s="512">
        <f>IFERROR(__xludf.DUMMYFUNCTION("""COMPUTED_VALUE"""),45958.6666666666)</f>
        <v/>
      </c>
      <c r="AI67" s="513">
        <f>IFERROR(__xludf.DUMMYFUNCTION("""COMPUTED_VALUE"""),22.94)</f>
        <v/>
      </c>
      <c r="AK67" s="512">
        <f>IFERROR(__xludf.DUMMYFUNCTION("""COMPUTED_VALUE"""),45958.6666666666)</f>
        <v/>
      </c>
      <c r="AL67" s="513">
        <f>IFERROR(__xludf.DUMMYFUNCTION("""COMPUTED_VALUE"""),81.2)</f>
        <v/>
      </c>
      <c r="AN67" s="512">
        <f>IFERROR(__xludf.DUMMYFUNCTION("""COMPUTED_VALUE"""),45958.6666666666)</f>
        <v/>
      </c>
      <c r="AO67" s="513">
        <f>IFERROR(__xludf.DUMMYFUNCTION("""COMPUTED_VALUE"""),112.03)</f>
        <v/>
      </c>
      <c r="AQ67" s="512">
        <f>IFERROR(__xludf.DUMMYFUNCTION("""COMPUTED_VALUE"""),45958.6666666666)</f>
        <v/>
      </c>
      <c r="AR67" s="513">
        <f>IFERROR(__xludf.DUMMYFUNCTION("""COMPUTED_VALUE"""),95.66)</f>
        <v/>
      </c>
      <c r="AT67" s="512">
        <f>IFERROR(__xludf.DUMMYFUNCTION("""COMPUTED_VALUE"""),45958.6666666666)</f>
        <v/>
      </c>
      <c r="AU67" s="513">
        <f>IFERROR(__xludf.DUMMYFUNCTION("""COMPUTED_VALUE"""),55.69)</f>
        <v/>
      </c>
      <c r="AW67" s="512">
        <f>IFERROR(__xludf.DUMMYFUNCTION("""COMPUTED_VALUE"""),45958.6666666666)</f>
        <v/>
      </c>
      <c r="AX67" s="513">
        <f>IFERROR(__xludf.DUMMYFUNCTION("""COMPUTED_VALUE"""),101.27)</f>
        <v/>
      </c>
      <c r="AZ67" s="512">
        <f>IFERROR(__xludf.DUMMYFUNCTION("""COMPUTED_VALUE"""),45958.6666666666)</f>
        <v/>
      </c>
      <c r="BA67" s="513">
        <f>IFERROR(__xludf.DUMMYFUNCTION("""COMPUTED_VALUE"""),112.92)</f>
        <v/>
      </c>
      <c r="BC67" s="512">
        <f>IFERROR(__xludf.DUMMYFUNCTION("""COMPUTED_VALUE"""),45958.6666666666)</f>
        <v/>
      </c>
      <c r="BD67" s="513">
        <f>IFERROR(__xludf.DUMMYFUNCTION("""COMPUTED_VALUE"""),97.58)</f>
        <v/>
      </c>
      <c r="BF67" s="512">
        <f>IFERROR(__xludf.DUMMYFUNCTION("""COMPUTED_VALUE"""),45958.6666666666)</f>
        <v/>
      </c>
      <c r="BG67" s="513">
        <f>IFERROR(__xludf.DUMMYFUNCTION("""COMPUTED_VALUE"""),83.1)</f>
        <v/>
      </c>
      <c r="BI67" s="512">
        <f>IFERROR(__xludf.DUMMYFUNCTION("""COMPUTED_VALUE"""),45958.6666666666)</f>
        <v/>
      </c>
      <c r="BJ67" s="513">
        <f>IFERROR(__xludf.DUMMYFUNCTION("""COMPUTED_VALUE"""),92.02)</f>
        <v/>
      </c>
      <c r="BL67" s="512">
        <f>IFERROR(__xludf.DUMMYFUNCTION("""COMPUTED_VALUE"""),45958.6666666666)</f>
        <v/>
      </c>
      <c r="BM67" s="513">
        <f>IFERROR(__xludf.DUMMYFUNCTION("""COMPUTED_VALUE"""),364.38)</f>
        <v/>
      </c>
      <c r="BO67" s="512">
        <f>IFERROR(__xludf.DUMMYFUNCTION("""COMPUTED_VALUE"""),45958.6666666666)</f>
        <v/>
      </c>
      <c r="BP67" s="513">
        <f>IFERROR(__xludf.DUMMYFUNCTION("""COMPUTED_VALUE"""),91.71)</f>
        <v/>
      </c>
    </row>
    <row r="68">
      <c r="A68" s="512">
        <f>IFERROR(__xludf.DUMMYFUNCTION("""COMPUTED_VALUE"""),45959.6666666666)</f>
        <v/>
      </c>
      <c r="B68" s="513">
        <f>IFERROR(__xludf.DUMMYFUNCTION("""COMPUTED_VALUE"""),687.39)</f>
        <v/>
      </c>
      <c r="D68" s="512">
        <f>IFERROR(__xludf.DUMMYFUNCTION("""COMPUTED_VALUE"""),45959.6666666666)</f>
        <v/>
      </c>
      <c r="E68" s="513">
        <f>IFERROR(__xludf.DUMMYFUNCTION("""COMPUTED_VALUE"""),88.53)</f>
        <v/>
      </c>
      <c r="G68" s="512">
        <f>IFERROR(__xludf.DUMMYFUNCTION("""COMPUTED_VALUE"""),46146.6666666666)</f>
        <v/>
      </c>
      <c r="H68" s="513">
        <f>IFERROR(__xludf.DUMMYFUNCTION("""COMPUTED_VALUE"""),67.91)</f>
        <v/>
      </c>
      <c r="J68" s="512">
        <f>IFERROR(__xludf.DUMMYFUNCTION("""COMPUTED_VALUE"""),45959.6666666666)</f>
        <v/>
      </c>
      <c r="K68" s="513">
        <f>IFERROR(__xludf.DUMMYFUNCTION("""COMPUTED_VALUE"""),83.23)</f>
        <v/>
      </c>
      <c r="M68" s="512">
        <f>IFERROR(__xludf.DUMMYFUNCTION("""COMPUTED_VALUE"""),45959.6666666666)</f>
        <v/>
      </c>
      <c r="N68" s="513">
        <f>IFERROR(__xludf.DUMMYFUNCTION("""COMPUTED_VALUE"""),246.84)</f>
        <v/>
      </c>
      <c r="P68" s="512">
        <f>IFERROR(__xludf.DUMMYFUNCTION("""COMPUTED_VALUE"""),45959.6666666666)</f>
        <v/>
      </c>
      <c r="Q68" s="513">
        <f>IFERROR(__xludf.DUMMYFUNCTION("""COMPUTED_VALUE"""),81.04)</f>
        <v/>
      </c>
      <c r="S68" s="512">
        <f>IFERROR(__xludf.DUMMYFUNCTION("""COMPUTED_VALUE"""),45229.6666666666)</f>
        <v/>
      </c>
      <c r="T68" s="513">
        <f>IFERROR(__xludf.DUMMYFUNCTION("""COMPUTED_VALUE"""),170.29)</f>
        <v/>
      </c>
      <c r="V68" s="512">
        <f>IFERROR(__xludf.DUMMYFUNCTION("""COMPUTED_VALUE"""),45959.6666666666)</f>
        <v/>
      </c>
      <c r="W68" s="513">
        <f>IFERROR(__xludf.DUMMYFUNCTION("""COMPUTED_VALUE"""),22.71)</f>
        <v/>
      </c>
      <c r="Y68" s="512">
        <f>IFERROR(__xludf.DUMMYFUNCTION("""COMPUTED_VALUE"""),45959.6666666666)</f>
        <v/>
      </c>
      <c r="Z68" s="513">
        <f>IFERROR(__xludf.DUMMYFUNCTION("""COMPUTED_VALUE"""),74.73)</f>
        <v/>
      </c>
      <c r="AB68" s="512">
        <f>IFERROR(__xludf.DUMMYFUNCTION("""COMPUTED_VALUE"""),45959.6666666666)</f>
        <v/>
      </c>
      <c r="AC68" s="513">
        <f>IFERROR(__xludf.DUMMYFUNCTION("""COMPUTED_VALUE"""),55.77)</f>
        <v/>
      </c>
      <c r="AE68" s="512">
        <f>IFERROR(__xludf.DUMMYFUNCTION("""COMPUTED_VALUE"""),45959.6666666666)</f>
        <v/>
      </c>
      <c r="AF68" s="513">
        <f>IFERROR(__xludf.DUMMYFUNCTION("""COMPUTED_VALUE"""),96.6)</f>
        <v/>
      </c>
      <c r="AH68" s="512">
        <f>IFERROR(__xludf.DUMMYFUNCTION("""COMPUTED_VALUE"""),45959.6666666666)</f>
        <v/>
      </c>
      <c r="AI68" s="513">
        <f>IFERROR(__xludf.DUMMYFUNCTION("""COMPUTED_VALUE"""),22.7)</f>
        <v/>
      </c>
      <c r="AK68" s="512">
        <f>IFERROR(__xludf.DUMMYFUNCTION("""COMPUTED_VALUE"""),45959.6666666666)</f>
        <v/>
      </c>
      <c r="AL68" s="513">
        <f>IFERROR(__xludf.DUMMYFUNCTION("""COMPUTED_VALUE"""),80.95)</f>
        <v/>
      </c>
      <c r="AN68" s="512">
        <f>IFERROR(__xludf.DUMMYFUNCTION("""COMPUTED_VALUE"""),45959.6666666666)</f>
        <v/>
      </c>
      <c r="AO68" s="513">
        <f>IFERROR(__xludf.DUMMYFUNCTION("""COMPUTED_VALUE"""),111.44)</f>
        <v/>
      </c>
      <c r="AQ68" s="512">
        <f>IFERROR(__xludf.DUMMYFUNCTION("""COMPUTED_VALUE"""),45959.6666666666)</f>
        <v/>
      </c>
      <c r="AR68" s="513">
        <f>IFERROR(__xludf.DUMMYFUNCTION("""COMPUTED_VALUE"""),95.12)</f>
        <v/>
      </c>
      <c r="AT68" s="512">
        <f>IFERROR(__xludf.DUMMYFUNCTION("""COMPUTED_VALUE"""),45959.6666666666)</f>
        <v/>
      </c>
      <c r="AU68" s="513">
        <f>IFERROR(__xludf.DUMMYFUNCTION("""COMPUTED_VALUE"""),56.01)</f>
        <v/>
      </c>
      <c r="AW68" s="512">
        <f>IFERROR(__xludf.DUMMYFUNCTION("""COMPUTED_VALUE"""),45959.6666666666)</f>
        <v/>
      </c>
      <c r="AX68" s="513">
        <f>IFERROR(__xludf.DUMMYFUNCTION("""COMPUTED_VALUE"""),100.79)</f>
        <v/>
      </c>
      <c r="AZ68" s="512">
        <f>IFERROR(__xludf.DUMMYFUNCTION("""COMPUTED_VALUE"""),45959.6666666666)</f>
        <v/>
      </c>
      <c r="BA68" s="513">
        <f>IFERROR(__xludf.DUMMYFUNCTION("""COMPUTED_VALUE"""),112.28)</f>
        <v/>
      </c>
      <c r="BC68" s="512">
        <f>IFERROR(__xludf.DUMMYFUNCTION("""COMPUTED_VALUE"""),45959.6666666666)</f>
        <v/>
      </c>
      <c r="BD68" s="513">
        <f>IFERROR(__xludf.DUMMYFUNCTION("""COMPUTED_VALUE"""),96.95)</f>
        <v/>
      </c>
      <c r="BF68" s="512">
        <f>IFERROR(__xludf.DUMMYFUNCTION("""COMPUTED_VALUE"""),45959.6666666666)</f>
        <v/>
      </c>
      <c r="BG68" s="513">
        <f>IFERROR(__xludf.DUMMYFUNCTION("""COMPUTED_VALUE"""),82.94)</f>
        <v/>
      </c>
      <c r="BI68" s="512">
        <f>IFERROR(__xludf.DUMMYFUNCTION("""COMPUTED_VALUE"""),45959.6666666666)</f>
        <v/>
      </c>
      <c r="BJ68" s="513">
        <f>IFERROR(__xludf.DUMMYFUNCTION("""COMPUTED_VALUE"""),91.09)</f>
        <v/>
      </c>
      <c r="BL68" s="512">
        <f>IFERROR(__xludf.DUMMYFUNCTION("""COMPUTED_VALUE"""),45959.6666666666)</f>
        <v/>
      </c>
      <c r="BM68" s="513">
        <f>IFERROR(__xludf.DUMMYFUNCTION("""COMPUTED_VALUE"""),363)</f>
        <v/>
      </c>
      <c r="BO68" s="512">
        <f>IFERROR(__xludf.DUMMYFUNCTION("""COMPUTED_VALUE"""),45959.6666666666)</f>
        <v/>
      </c>
      <c r="BP68" s="513">
        <f>IFERROR(__xludf.DUMMYFUNCTION("""COMPUTED_VALUE"""),91.74)</f>
        <v/>
      </c>
    </row>
    <row r="69">
      <c r="A69" s="512">
        <f>IFERROR(__xludf.DUMMYFUNCTION("""COMPUTED_VALUE"""),45960.6666666666)</f>
        <v/>
      </c>
      <c r="B69" s="513">
        <f>IFERROR(__xludf.DUMMYFUNCTION("""COMPUTED_VALUE"""),679.83)</f>
        <v/>
      </c>
      <c r="D69" s="512">
        <f>IFERROR(__xludf.DUMMYFUNCTION("""COMPUTED_VALUE"""),45960.6666666666)</f>
        <v/>
      </c>
      <c r="E69" s="513">
        <f>IFERROR(__xludf.DUMMYFUNCTION("""COMPUTED_VALUE"""),88.95)</f>
        <v/>
      </c>
      <c r="G69" s="512">
        <f>IFERROR(__xludf.DUMMYFUNCTION("""COMPUTED_VALUE"""),46147.6666666666)</f>
        <v/>
      </c>
      <c r="H69" s="513">
        <f>IFERROR(__xludf.DUMMYFUNCTION("""COMPUTED_VALUE"""),68.98)</f>
        <v/>
      </c>
      <c r="J69" s="512">
        <f>IFERROR(__xludf.DUMMYFUNCTION("""COMPUTED_VALUE"""),45960.6666666666)</f>
        <v/>
      </c>
      <c r="K69" s="513">
        <f>IFERROR(__xludf.DUMMYFUNCTION("""COMPUTED_VALUE"""),83.21)</f>
        <v/>
      </c>
      <c r="M69" s="512">
        <f>IFERROR(__xludf.DUMMYFUNCTION("""COMPUTED_VALUE"""),45960.6666666666)</f>
        <v/>
      </c>
      <c r="N69" s="513">
        <f>IFERROR(__xludf.DUMMYFUNCTION("""COMPUTED_VALUE"""),244.85)</f>
        <v/>
      </c>
      <c r="P69" s="512">
        <f>IFERROR(__xludf.DUMMYFUNCTION("""COMPUTED_VALUE"""),45960.6666666666)</f>
        <v/>
      </c>
      <c r="Q69" s="513">
        <f>IFERROR(__xludf.DUMMYFUNCTION("""COMPUTED_VALUE"""),80.66)</f>
        <v/>
      </c>
      <c r="S69" s="512">
        <f>IFERROR(__xludf.DUMMYFUNCTION("""COMPUTED_VALUE"""),45230.6666666666)</f>
        <v/>
      </c>
      <c r="T69" s="513">
        <f>IFERROR(__xludf.DUMMYFUNCTION("""COMPUTED_VALUE"""),170.77)</f>
        <v/>
      </c>
      <c r="V69" s="512">
        <f>IFERROR(__xludf.DUMMYFUNCTION("""COMPUTED_VALUE"""),45960.6666666666)</f>
        <v/>
      </c>
      <c r="W69" s="513">
        <f>IFERROR(__xludf.DUMMYFUNCTION("""COMPUTED_VALUE"""),22.72)</f>
        <v/>
      </c>
      <c r="Y69" s="512">
        <f>IFERROR(__xludf.DUMMYFUNCTION("""COMPUTED_VALUE"""),45960.6666666666)</f>
        <v/>
      </c>
      <c r="Z69" s="513">
        <f>IFERROR(__xludf.DUMMYFUNCTION("""COMPUTED_VALUE"""),74.6)</f>
        <v/>
      </c>
      <c r="AB69" s="512">
        <f>IFERROR(__xludf.DUMMYFUNCTION("""COMPUTED_VALUE"""),45960.6666666666)</f>
        <v/>
      </c>
      <c r="AC69" s="513">
        <f>IFERROR(__xludf.DUMMYFUNCTION("""COMPUTED_VALUE"""),55.19)</f>
        <v/>
      </c>
      <c r="AE69" s="512">
        <f>IFERROR(__xludf.DUMMYFUNCTION("""COMPUTED_VALUE"""),45960.6666666666)</f>
        <v/>
      </c>
      <c r="AF69" s="513">
        <f>IFERROR(__xludf.DUMMYFUNCTION("""COMPUTED_VALUE"""),96.49)</f>
        <v/>
      </c>
      <c r="AH69" s="512">
        <f>IFERROR(__xludf.DUMMYFUNCTION("""COMPUTED_VALUE"""),45960.6666666666)</f>
        <v/>
      </c>
      <c r="AI69" s="513">
        <f>IFERROR(__xludf.DUMMYFUNCTION("""COMPUTED_VALUE"""),22.73)</f>
        <v/>
      </c>
      <c r="AK69" s="512">
        <f>IFERROR(__xludf.DUMMYFUNCTION("""COMPUTED_VALUE"""),45960.6666666666)</f>
        <v/>
      </c>
      <c r="AL69" s="513">
        <f>IFERROR(__xludf.DUMMYFUNCTION("""COMPUTED_VALUE"""),80.8)</f>
        <v/>
      </c>
      <c r="AN69" s="512">
        <f>IFERROR(__xludf.DUMMYFUNCTION("""COMPUTED_VALUE"""),45960.6666666666)</f>
        <v/>
      </c>
      <c r="AO69" s="513">
        <f>IFERROR(__xludf.DUMMYFUNCTION("""COMPUTED_VALUE"""),111.2)</f>
        <v/>
      </c>
      <c r="AQ69" s="512">
        <f>IFERROR(__xludf.DUMMYFUNCTION("""COMPUTED_VALUE"""),45960.6666666666)</f>
        <v/>
      </c>
      <c r="AR69" s="513">
        <f>IFERROR(__xludf.DUMMYFUNCTION("""COMPUTED_VALUE"""),94.7)</f>
        <v/>
      </c>
      <c r="AT69" s="512">
        <f>IFERROR(__xludf.DUMMYFUNCTION("""COMPUTED_VALUE"""),45960.6666666666)</f>
        <v/>
      </c>
      <c r="AU69" s="513">
        <f>IFERROR(__xludf.DUMMYFUNCTION("""COMPUTED_VALUE"""),55.43)</f>
        <v/>
      </c>
      <c r="AW69" s="512">
        <f>IFERROR(__xludf.DUMMYFUNCTION("""COMPUTED_VALUE"""),45960.6666666666)</f>
        <v/>
      </c>
      <c r="AX69" s="513">
        <f>IFERROR(__xludf.DUMMYFUNCTION("""COMPUTED_VALUE"""),100.6)</f>
        <v/>
      </c>
      <c r="AZ69" s="512">
        <f>IFERROR(__xludf.DUMMYFUNCTION("""COMPUTED_VALUE"""),45960.6666666666)</f>
        <v/>
      </c>
      <c r="BA69" s="513">
        <f>IFERROR(__xludf.DUMMYFUNCTION("""COMPUTED_VALUE"""),111.68)</f>
        <v/>
      </c>
      <c r="BC69" s="512">
        <f>IFERROR(__xludf.DUMMYFUNCTION("""COMPUTED_VALUE"""),45960.6666666666)</f>
        <v/>
      </c>
      <c r="BD69" s="513">
        <f>IFERROR(__xludf.DUMMYFUNCTION("""COMPUTED_VALUE"""),96.81)</f>
        <v/>
      </c>
      <c r="BF69" s="512">
        <f>IFERROR(__xludf.DUMMYFUNCTION("""COMPUTED_VALUE"""),45960.6666666666)</f>
        <v/>
      </c>
      <c r="BG69" s="513">
        <f>IFERROR(__xludf.DUMMYFUNCTION("""COMPUTED_VALUE"""),82.95)</f>
        <v/>
      </c>
      <c r="BI69" s="512">
        <f>IFERROR(__xludf.DUMMYFUNCTION("""COMPUTED_VALUE"""),45960.6666666666)</f>
        <v/>
      </c>
      <c r="BJ69" s="513">
        <f>IFERROR(__xludf.DUMMYFUNCTION("""COMPUTED_VALUE"""),90.56)</f>
        <v/>
      </c>
      <c r="BL69" s="512">
        <f>IFERROR(__xludf.DUMMYFUNCTION("""COMPUTED_VALUE"""),45960.6666666666)</f>
        <v/>
      </c>
      <c r="BM69" s="513">
        <f>IFERROR(__xludf.DUMMYFUNCTION("""COMPUTED_VALUE"""),370.13)</f>
        <v/>
      </c>
      <c r="BO69" s="512">
        <f>IFERROR(__xludf.DUMMYFUNCTION("""COMPUTED_VALUE"""),45960.6666666666)</f>
        <v/>
      </c>
      <c r="BP69" s="513">
        <f>IFERROR(__xludf.DUMMYFUNCTION("""COMPUTED_VALUE"""),91.74)</f>
        <v/>
      </c>
    </row>
    <row r="70">
      <c r="A70" s="512">
        <f>IFERROR(__xludf.DUMMYFUNCTION("""COMPUTED_VALUE"""),45961.6666666666)</f>
        <v/>
      </c>
      <c r="B70" s="513">
        <f>IFERROR(__xludf.DUMMYFUNCTION("""COMPUTED_VALUE"""),682.06)</f>
        <v/>
      </c>
      <c r="D70" s="512">
        <f>IFERROR(__xludf.DUMMYFUNCTION("""COMPUTED_VALUE"""),45961.6666666666)</f>
        <v/>
      </c>
      <c r="E70" s="513">
        <f>IFERROR(__xludf.DUMMYFUNCTION("""COMPUTED_VALUE"""),89.18)</f>
        <v/>
      </c>
      <c r="G70" s="512">
        <f>IFERROR(__xludf.DUMMYFUNCTION("""COMPUTED_VALUE"""),46148.6666666666)</f>
        <v/>
      </c>
      <c r="H70" s="513">
        <f>IFERROR(__xludf.DUMMYFUNCTION("""COMPUTED_VALUE"""),70.87)</f>
        <v/>
      </c>
      <c r="J70" s="512">
        <f>IFERROR(__xludf.DUMMYFUNCTION("""COMPUTED_VALUE"""),45961.6666666666)</f>
        <v/>
      </c>
      <c r="K70" s="513">
        <f>IFERROR(__xludf.DUMMYFUNCTION("""COMPUTED_VALUE"""),83.45)</f>
        <v/>
      </c>
      <c r="M70" s="512">
        <f>IFERROR(__xludf.DUMMYFUNCTION("""COMPUTED_VALUE"""),45961.6666666666)</f>
        <v/>
      </c>
      <c r="N70" s="513">
        <f>IFERROR(__xludf.DUMMYFUNCTION("""COMPUTED_VALUE"""),246.23)</f>
        <v/>
      </c>
      <c r="P70" s="512">
        <f>IFERROR(__xludf.DUMMYFUNCTION("""COMPUTED_VALUE"""),45961.6666666666)</f>
        <v/>
      </c>
      <c r="Q70" s="513">
        <f>IFERROR(__xludf.DUMMYFUNCTION("""COMPUTED_VALUE"""),80.3)</f>
        <v/>
      </c>
      <c r="S70" s="512">
        <f>IFERROR(__xludf.DUMMYFUNCTION("""COMPUTED_VALUE"""),45231.6666666666)</f>
        <v/>
      </c>
      <c r="T70" s="513">
        <f>IFERROR(__xludf.DUMMYFUNCTION("""COMPUTED_VALUE"""),173.97)</f>
        <v/>
      </c>
      <c r="V70" s="512">
        <f>IFERROR(__xludf.DUMMYFUNCTION("""COMPUTED_VALUE"""),45961.6666666666)</f>
        <v/>
      </c>
      <c r="W70" s="513">
        <f>IFERROR(__xludf.DUMMYFUNCTION("""COMPUTED_VALUE"""),22.88)</f>
        <v/>
      </c>
      <c r="Y70" s="512">
        <f>IFERROR(__xludf.DUMMYFUNCTION("""COMPUTED_VALUE"""),45961.6666666666)</f>
        <v/>
      </c>
      <c r="Z70" s="513">
        <f>IFERROR(__xludf.DUMMYFUNCTION("""COMPUTED_VALUE"""),74.58)</f>
        <v/>
      </c>
      <c r="AB70" s="512">
        <f>IFERROR(__xludf.DUMMYFUNCTION("""COMPUTED_VALUE"""),45961.6666666666)</f>
        <v/>
      </c>
      <c r="AC70" s="513">
        <f>IFERROR(__xludf.DUMMYFUNCTION("""COMPUTED_VALUE"""),54.97)</f>
        <v/>
      </c>
      <c r="AE70" s="512">
        <f>IFERROR(__xludf.DUMMYFUNCTION("""COMPUTED_VALUE"""),45961.6666666666)</f>
        <v/>
      </c>
      <c r="AF70" s="513">
        <f>IFERROR(__xludf.DUMMYFUNCTION("""COMPUTED_VALUE"""),96.67)</f>
        <v/>
      </c>
      <c r="AH70" s="512">
        <f>IFERROR(__xludf.DUMMYFUNCTION("""COMPUTED_VALUE"""),45961.6666666666)</f>
        <v/>
      </c>
      <c r="AI70" s="513">
        <f>IFERROR(__xludf.DUMMYFUNCTION("""COMPUTED_VALUE"""),22.73)</f>
        <v/>
      </c>
      <c r="AK70" s="512">
        <f>IFERROR(__xludf.DUMMYFUNCTION("""COMPUTED_VALUE"""),45961.6666666666)</f>
        <v/>
      </c>
      <c r="AL70" s="513">
        <f>IFERROR(__xludf.DUMMYFUNCTION("""COMPUTED_VALUE"""),80.8)</f>
        <v/>
      </c>
      <c r="AN70" s="512">
        <f>IFERROR(__xludf.DUMMYFUNCTION("""COMPUTED_VALUE"""),45961.6666666666)</f>
        <v/>
      </c>
      <c r="AO70" s="513">
        <f>IFERROR(__xludf.DUMMYFUNCTION("""COMPUTED_VALUE"""),111.38)</f>
        <v/>
      </c>
      <c r="AQ70" s="512">
        <f>IFERROR(__xludf.DUMMYFUNCTION("""COMPUTED_VALUE"""),45961.6666666666)</f>
        <v/>
      </c>
      <c r="AR70" s="513">
        <f>IFERROR(__xludf.DUMMYFUNCTION("""COMPUTED_VALUE"""),94.49)</f>
        <v/>
      </c>
      <c r="AT70" s="512">
        <f>IFERROR(__xludf.DUMMYFUNCTION("""COMPUTED_VALUE"""),45961.6666666666)</f>
        <v/>
      </c>
      <c r="AU70" s="513">
        <f>IFERROR(__xludf.DUMMYFUNCTION("""COMPUTED_VALUE"""),55.3)</f>
        <v/>
      </c>
      <c r="AW70" s="512">
        <f>IFERROR(__xludf.DUMMYFUNCTION("""COMPUTED_VALUE"""),45961.6666666666)</f>
        <v/>
      </c>
      <c r="AX70" s="513">
        <f>IFERROR(__xludf.DUMMYFUNCTION("""COMPUTED_VALUE"""),100.54)</f>
        <v/>
      </c>
      <c r="AZ70" s="512">
        <f>IFERROR(__xludf.DUMMYFUNCTION("""COMPUTED_VALUE"""),45961.6666666666)</f>
        <v/>
      </c>
      <c r="BA70" s="513">
        <f>IFERROR(__xludf.DUMMYFUNCTION("""COMPUTED_VALUE"""),111.23)</f>
        <v/>
      </c>
      <c r="BC70" s="512">
        <f>IFERROR(__xludf.DUMMYFUNCTION("""COMPUTED_VALUE"""),45961.6666666666)</f>
        <v/>
      </c>
      <c r="BD70" s="513">
        <f>IFERROR(__xludf.DUMMYFUNCTION("""COMPUTED_VALUE"""),96.85)</f>
        <v/>
      </c>
      <c r="BF70" s="512">
        <f>IFERROR(__xludf.DUMMYFUNCTION("""COMPUTED_VALUE"""),45961.6666666666)</f>
        <v/>
      </c>
      <c r="BG70" s="513">
        <f>IFERROR(__xludf.DUMMYFUNCTION("""COMPUTED_VALUE"""),82.98)</f>
        <v/>
      </c>
      <c r="BI70" s="512">
        <f>IFERROR(__xludf.DUMMYFUNCTION("""COMPUTED_VALUE"""),45961.6666666666)</f>
        <v/>
      </c>
      <c r="BJ70" s="513">
        <f>IFERROR(__xludf.DUMMYFUNCTION("""COMPUTED_VALUE"""),90.29)</f>
        <v/>
      </c>
      <c r="BL70" s="512">
        <f>IFERROR(__xludf.DUMMYFUNCTION("""COMPUTED_VALUE"""),45961.6666666666)</f>
        <v/>
      </c>
      <c r="BM70" s="513">
        <f>IFERROR(__xludf.DUMMYFUNCTION("""COMPUTED_VALUE"""),368.12)</f>
        <v/>
      </c>
      <c r="BO70" s="512">
        <f>IFERROR(__xludf.DUMMYFUNCTION("""COMPUTED_VALUE"""),45961.6666666666)</f>
        <v/>
      </c>
      <c r="BP70" s="513">
        <f>IFERROR(__xludf.DUMMYFUNCTION("""COMPUTED_VALUE"""),91.76)</f>
        <v/>
      </c>
    </row>
    <row r="71">
      <c r="A71" s="512">
        <f>IFERROR(__xludf.DUMMYFUNCTION("""COMPUTED_VALUE"""),45964.6666666666)</f>
        <v/>
      </c>
      <c r="B71" s="513">
        <f>IFERROR(__xludf.DUMMYFUNCTION("""COMPUTED_VALUE"""),683.34)</f>
        <v/>
      </c>
      <c r="D71" s="512">
        <f>IFERROR(__xludf.DUMMYFUNCTION("""COMPUTED_VALUE"""),45964.6666666666)</f>
        <v/>
      </c>
      <c r="E71" s="513">
        <f>IFERROR(__xludf.DUMMYFUNCTION("""COMPUTED_VALUE"""),89.05)</f>
        <v/>
      </c>
      <c r="G71" s="512">
        <f>IFERROR(__xludf.DUMMYFUNCTION("""COMPUTED_VALUE"""),46149.6666666666)</f>
        <v/>
      </c>
      <c r="H71" s="513">
        <f>IFERROR(__xludf.DUMMYFUNCTION("""COMPUTED_VALUE"""),69.67)</f>
        <v/>
      </c>
      <c r="J71" s="512">
        <f>IFERROR(__xludf.DUMMYFUNCTION("""COMPUTED_VALUE"""),45964.6666666666)</f>
        <v/>
      </c>
      <c r="K71" s="513">
        <f>IFERROR(__xludf.DUMMYFUNCTION("""COMPUTED_VALUE"""),83.64)</f>
        <v/>
      </c>
      <c r="M71" s="512">
        <f>IFERROR(__xludf.DUMMYFUNCTION("""COMPUTED_VALUE"""),45964.6666666666)</f>
        <v/>
      </c>
      <c r="N71" s="513">
        <f>IFERROR(__xludf.DUMMYFUNCTION("""COMPUTED_VALUE"""),245.44)</f>
        <v/>
      </c>
      <c r="P71" s="512">
        <f>IFERROR(__xludf.DUMMYFUNCTION("""COMPUTED_VALUE"""),45964.6666666666)</f>
        <v/>
      </c>
      <c r="Q71" s="513">
        <f>IFERROR(__xludf.DUMMYFUNCTION("""COMPUTED_VALUE"""),80.17)</f>
        <v/>
      </c>
      <c r="S71" s="512">
        <f>IFERROR(__xludf.DUMMYFUNCTION("""COMPUTED_VALUE"""),45232.6666666666)</f>
        <v/>
      </c>
      <c r="T71" s="513">
        <f>IFERROR(__xludf.DUMMYFUNCTION("""COMPUTED_VALUE"""),177.57)</f>
        <v/>
      </c>
      <c r="V71" s="512">
        <f>IFERROR(__xludf.DUMMYFUNCTION("""COMPUTED_VALUE"""),45964.6666666666)</f>
        <v/>
      </c>
      <c r="W71" s="513">
        <f>IFERROR(__xludf.DUMMYFUNCTION("""COMPUTED_VALUE"""),23.05)</f>
        <v/>
      </c>
      <c r="Y71" s="512">
        <f>IFERROR(__xludf.DUMMYFUNCTION("""COMPUTED_VALUE"""),45964.6666666666)</f>
        <v/>
      </c>
      <c r="Z71" s="513">
        <f>IFERROR(__xludf.DUMMYFUNCTION("""COMPUTED_VALUE"""),74.25)</f>
        <v/>
      </c>
      <c r="AB71" s="512">
        <f>IFERROR(__xludf.DUMMYFUNCTION("""COMPUTED_VALUE"""),45964.6666666666)</f>
        <v/>
      </c>
      <c r="AC71" s="513">
        <f>IFERROR(__xludf.DUMMYFUNCTION("""COMPUTED_VALUE"""),55.09)</f>
        <v/>
      </c>
      <c r="AE71" s="512">
        <f>IFERROR(__xludf.DUMMYFUNCTION("""COMPUTED_VALUE"""),45964.6666666666)</f>
        <v/>
      </c>
      <c r="AF71" s="513">
        <f>IFERROR(__xludf.DUMMYFUNCTION("""COMPUTED_VALUE"""),95.97)</f>
        <v/>
      </c>
      <c r="AH71" s="512">
        <f>IFERROR(__xludf.DUMMYFUNCTION("""COMPUTED_VALUE"""),45964.6666666666)</f>
        <v/>
      </c>
      <c r="AI71" s="513">
        <f>IFERROR(__xludf.DUMMYFUNCTION("""COMPUTED_VALUE"""),22.58)</f>
        <v/>
      </c>
      <c r="AK71" s="512">
        <f>IFERROR(__xludf.DUMMYFUNCTION("""COMPUTED_VALUE"""),45964.6666666666)</f>
        <v/>
      </c>
      <c r="AL71" s="513">
        <f>IFERROR(__xludf.DUMMYFUNCTION("""COMPUTED_VALUE"""),80.14)</f>
        <v/>
      </c>
      <c r="AN71" s="512">
        <f>IFERROR(__xludf.DUMMYFUNCTION("""COMPUTED_VALUE"""),45964.6666666666)</f>
        <v/>
      </c>
      <c r="AO71" s="513">
        <f>IFERROR(__xludf.DUMMYFUNCTION("""COMPUTED_VALUE"""),110.94)</f>
        <v/>
      </c>
      <c r="AQ71" s="512">
        <f>IFERROR(__xludf.DUMMYFUNCTION("""COMPUTED_VALUE"""),45964.6666666666)</f>
        <v/>
      </c>
      <c r="AR71" s="513">
        <f>IFERROR(__xludf.DUMMYFUNCTION("""COMPUTED_VALUE"""),94.53)</f>
        <v/>
      </c>
      <c r="AT71" s="512">
        <f>IFERROR(__xludf.DUMMYFUNCTION("""COMPUTED_VALUE"""),45964.6666666666)</f>
        <v/>
      </c>
      <c r="AU71" s="513">
        <f>IFERROR(__xludf.DUMMYFUNCTION("""COMPUTED_VALUE"""),55.65)</f>
        <v/>
      </c>
      <c r="AW71" s="512">
        <f>IFERROR(__xludf.DUMMYFUNCTION("""COMPUTED_VALUE"""),45964.6666666666)</f>
        <v/>
      </c>
      <c r="AX71" s="513">
        <f>IFERROR(__xludf.DUMMYFUNCTION("""COMPUTED_VALUE"""),100.09)</f>
        <v/>
      </c>
      <c r="AZ71" s="512">
        <f>IFERROR(__xludf.DUMMYFUNCTION("""COMPUTED_VALUE"""),45964.6666666666)</f>
        <v/>
      </c>
      <c r="BA71" s="513">
        <f>IFERROR(__xludf.DUMMYFUNCTION("""COMPUTED_VALUE"""),110.53)</f>
        <v/>
      </c>
      <c r="BC71" s="512">
        <f>IFERROR(__xludf.DUMMYFUNCTION("""COMPUTED_VALUE"""),45964.6666666666)</f>
        <v/>
      </c>
      <c r="BD71" s="513">
        <f>IFERROR(__xludf.DUMMYFUNCTION("""COMPUTED_VALUE"""),96.5)</f>
        <v/>
      </c>
      <c r="BF71" s="512">
        <f>IFERROR(__xludf.DUMMYFUNCTION("""COMPUTED_VALUE"""),45964.6666666666)</f>
        <v/>
      </c>
      <c r="BG71" s="513">
        <f>IFERROR(__xludf.DUMMYFUNCTION("""COMPUTED_VALUE"""),82.72)</f>
        <v/>
      </c>
      <c r="BI71" s="512">
        <f>IFERROR(__xludf.DUMMYFUNCTION("""COMPUTED_VALUE"""),45964.6666666666)</f>
        <v/>
      </c>
      <c r="BJ71" s="513">
        <f>IFERROR(__xludf.DUMMYFUNCTION("""COMPUTED_VALUE"""),89.74)</f>
        <v/>
      </c>
      <c r="BL71" s="512">
        <f>IFERROR(__xludf.DUMMYFUNCTION("""COMPUTED_VALUE"""),45964.6666666666)</f>
        <v/>
      </c>
      <c r="BM71" s="513">
        <f>IFERROR(__xludf.DUMMYFUNCTION("""COMPUTED_VALUE"""),368.78)</f>
        <v/>
      </c>
      <c r="BO71" s="512">
        <f>IFERROR(__xludf.DUMMYFUNCTION("""COMPUTED_VALUE"""),45964.6666666666)</f>
        <v/>
      </c>
      <c r="BP71" s="513">
        <f>IFERROR(__xludf.DUMMYFUNCTION("""COMPUTED_VALUE"""),91.47)</f>
        <v/>
      </c>
    </row>
    <row r="72">
      <c r="A72" s="512">
        <f>IFERROR(__xludf.DUMMYFUNCTION("""COMPUTED_VALUE"""),45965.6666666666)</f>
        <v/>
      </c>
      <c r="B72" s="513">
        <f>IFERROR(__xludf.DUMMYFUNCTION("""COMPUTED_VALUE"""),675.24)</f>
        <v/>
      </c>
      <c r="D72" s="512">
        <f>IFERROR(__xludf.DUMMYFUNCTION("""COMPUTED_VALUE"""),45965.6666666666)</f>
        <v/>
      </c>
      <c r="E72" s="513">
        <f>IFERROR(__xludf.DUMMYFUNCTION("""COMPUTED_VALUE"""),89.2)</f>
        <v/>
      </c>
      <c r="G72" s="512">
        <f>IFERROR(__xludf.DUMMYFUNCTION("""COMPUTED_VALUE"""),46150.6666666666)</f>
        <v/>
      </c>
      <c r="H72" s="513">
        <f>IFERROR(__xludf.DUMMYFUNCTION("""COMPUTED_VALUE"""),70.83)</f>
        <v/>
      </c>
      <c r="J72" s="512">
        <f>IFERROR(__xludf.DUMMYFUNCTION("""COMPUTED_VALUE"""),45965.6666666666)</f>
        <v/>
      </c>
      <c r="K72" s="513">
        <f>IFERROR(__xludf.DUMMYFUNCTION("""COMPUTED_VALUE"""),82.83)</f>
        <v/>
      </c>
      <c r="M72" s="512">
        <f>IFERROR(__xludf.DUMMYFUNCTION("""COMPUTED_VALUE"""),45965.6666666666)</f>
        <v/>
      </c>
      <c r="N72" s="513">
        <f>IFERROR(__xludf.DUMMYFUNCTION("""COMPUTED_VALUE"""),241.2)</f>
        <v/>
      </c>
      <c r="P72" s="512">
        <f>IFERROR(__xludf.DUMMYFUNCTION("""COMPUTED_VALUE"""),45965.6666666666)</f>
        <v/>
      </c>
      <c r="Q72" s="513">
        <f>IFERROR(__xludf.DUMMYFUNCTION("""COMPUTED_VALUE"""),79.31)</f>
        <v/>
      </c>
      <c r="S72" s="512">
        <f>IFERROR(__xludf.DUMMYFUNCTION("""COMPUTED_VALUE"""),45233.6666666666)</f>
        <v/>
      </c>
      <c r="T72" s="513">
        <f>IFERROR(__xludf.DUMMYFUNCTION("""COMPUTED_VALUE"""),176.65)</f>
        <v/>
      </c>
      <c r="V72" s="512">
        <f>IFERROR(__xludf.DUMMYFUNCTION("""COMPUTED_VALUE"""),45965.6666666666)</f>
        <v/>
      </c>
      <c r="W72" s="513">
        <f>IFERROR(__xludf.DUMMYFUNCTION("""COMPUTED_VALUE"""),22.89)</f>
        <v/>
      </c>
      <c r="Y72" s="512">
        <f>IFERROR(__xludf.DUMMYFUNCTION("""COMPUTED_VALUE"""),45965.6666666666)</f>
        <v/>
      </c>
      <c r="Z72" s="513">
        <f>IFERROR(__xludf.DUMMYFUNCTION("""COMPUTED_VALUE"""),74.29)</f>
        <v/>
      </c>
      <c r="AB72" s="512">
        <f>IFERROR(__xludf.DUMMYFUNCTION("""COMPUTED_VALUE"""),45965.6666666666)</f>
        <v/>
      </c>
      <c r="AC72" s="513">
        <f>IFERROR(__xludf.DUMMYFUNCTION("""COMPUTED_VALUE"""),54.32)</f>
        <v/>
      </c>
      <c r="AE72" s="512">
        <f>IFERROR(__xludf.DUMMYFUNCTION("""COMPUTED_VALUE"""),45965.6666666666)</f>
        <v/>
      </c>
      <c r="AF72" s="513">
        <f>IFERROR(__xludf.DUMMYFUNCTION("""COMPUTED_VALUE"""),95.86)</f>
        <v/>
      </c>
      <c r="AH72" s="512">
        <f>IFERROR(__xludf.DUMMYFUNCTION("""COMPUTED_VALUE"""),45965.6666666666)</f>
        <v/>
      </c>
      <c r="AI72" s="513">
        <f>IFERROR(__xludf.DUMMYFUNCTION("""COMPUTED_VALUE"""),22.56)</f>
        <v/>
      </c>
      <c r="AK72" s="512">
        <f>IFERROR(__xludf.DUMMYFUNCTION("""COMPUTED_VALUE"""),45965.6666666666)</f>
        <v/>
      </c>
      <c r="AL72" s="513">
        <f>IFERROR(__xludf.DUMMYFUNCTION("""COMPUTED_VALUE"""),80.15)</f>
        <v/>
      </c>
      <c r="AN72" s="512">
        <f>IFERROR(__xludf.DUMMYFUNCTION("""COMPUTED_VALUE"""),45965.6666666666)</f>
        <v/>
      </c>
      <c r="AO72" s="513">
        <f>IFERROR(__xludf.DUMMYFUNCTION("""COMPUTED_VALUE"""),110.99)</f>
        <v/>
      </c>
      <c r="AQ72" s="512">
        <f>IFERROR(__xludf.DUMMYFUNCTION("""COMPUTED_VALUE"""),45965.6666666666)</f>
        <v/>
      </c>
      <c r="AR72" s="513">
        <f>IFERROR(__xludf.DUMMYFUNCTION("""COMPUTED_VALUE"""),93.56)</f>
        <v/>
      </c>
      <c r="AT72" s="512">
        <f>IFERROR(__xludf.DUMMYFUNCTION("""COMPUTED_VALUE"""),45965.6666666666)</f>
        <v/>
      </c>
      <c r="AU72" s="513">
        <f>IFERROR(__xludf.DUMMYFUNCTION("""COMPUTED_VALUE"""),54.63)</f>
        <v/>
      </c>
      <c r="AW72" s="512">
        <f>IFERROR(__xludf.DUMMYFUNCTION("""COMPUTED_VALUE"""),45965.6666666666)</f>
        <v/>
      </c>
      <c r="AX72" s="513">
        <f>IFERROR(__xludf.DUMMYFUNCTION("""COMPUTED_VALUE"""),100.14)</f>
        <v/>
      </c>
      <c r="AZ72" s="512">
        <f>IFERROR(__xludf.DUMMYFUNCTION("""COMPUTED_VALUE"""),45965.6666666666)</f>
        <v/>
      </c>
      <c r="BA72" s="513">
        <f>IFERROR(__xludf.DUMMYFUNCTION("""COMPUTED_VALUE"""),110.68)</f>
        <v/>
      </c>
      <c r="BC72" s="512">
        <f>IFERROR(__xludf.DUMMYFUNCTION("""COMPUTED_VALUE"""),45965.6666666666)</f>
        <v/>
      </c>
      <c r="BD72" s="513">
        <f>IFERROR(__xludf.DUMMYFUNCTION("""COMPUTED_VALUE"""),96.62)</f>
        <v/>
      </c>
      <c r="BF72" s="512">
        <f>IFERROR(__xludf.DUMMYFUNCTION("""COMPUTED_VALUE"""),45965.6666666666)</f>
        <v/>
      </c>
      <c r="BG72" s="513">
        <f>IFERROR(__xludf.DUMMYFUNCTION("""COMPUTED_VALUE"""),82.75)</f>
        <v/>
      </c>
      <c r="BI72" s="512">
        <f>IFERROR(__xludf.DUMMYFUNCTION("""COMPUTED_VALUE"""),45965.6666666666)</f>
        <v/>
      </c>
      <c r="BJ72" s="513">
        <f>IFERROR(__xludf.DUMMYFUNCTION("""COMPUTED_VALUE"""),89.94)</f>
        <v/>
      </c>
      <c r="BL72" s="512">
        <f>IFERROR(__xludf.DUMMYFUNCTION("""COMPUTED_VALUE"""),45965.6666666666)</f>
        <v/>
      </c>
      <c r="BM72" s="513">
        <f>IFERROR(__xludf.DUMMYFUNCTION("""COMPUTED_VALUE"""),362.32)</f>
        <v/>
      </c>
      <c r="BO72" s="512">
        <f>IFERROR(__xludf.DUMMYFUNCTION("""COMPUTED_VALUE"""),45965.6666666666)</f>
        <v/>
      </c>
      <c r="BP72" s="513">
        <f>IFERROR(__xludf.DUMMYFUNCTION("""COMPUTED_VALUE"""),91.48)</f>
        <v/>
      </c>
    </row>
    <row r="73">
      <c r="A73" s="512">
        <f>IFERROR(__xludf.DUMMYFUNCTION("""COMPUTED_VALUE"""),45966.6666666666)</f>
        <v/>
      </c>
      <c r="B73" s="513">
        <f>IFERROR(__xludf.DUMMYFUNCTION("""COMPUTED_VALUE"""),677.58)</f>
        <v/>
      </c>
      <c r="D73" s="512">
        <f>IFERROR(__xludf.DUMMYFUNCTION("""COMPUTED_VALUE"""),45966.6666666666)</f>
        <v/>
      </c>
      <c r="E73" s="513">
        <f>IFERROR(__xludf.DUMMYFUNCTION("""COMPUTED_VALUE"""),89.28)</f>
        <v/>
      </c>
      <c r="G73" s="512">
        <f>IFERROR(__xludf.DUMMYFUNCTION("""COMPUTED_VALUE"""),46153.6666666666)</f>
        <v/>
      </c>
      <c r="H73" s="513">
        <f>IFERROR(__xludf.DUMMYFUNCTION("""COMPUTED_VALUE"""),70.82)</f>
        <v/>
      </c>
      <c r="J73" s="512">
        <f>IFERROR(__xludf.DUMMYFUNCTION("""COMPUTED_VALUE"""),45966.6666666666)</f>
        <v/>
      </c>
      <c r="K73" s="513">
        <f>IFERROR(__xludf.DUMMYFUNCTION("""COMPUTED_VALUE"""),82.8)</f>
        <v/>
      </c>
      <c r="M73" s="512">
        <f>IFERROR(__xludf.DUMMYFUNCTION("""COMPUTED_VALUE"""),45966.6666666666)</f>
        <v/>
      </c>
      <c r="N73" s="513">
        <f>IFERROR(__xludf.DUMMYFUNCTION("""COMPUTED_VALUE"""),244.68)</f>
        <v/>
      </c>
      <c r="P73" s="512">
        <f>IFERROR(__xludf.DUMMYFUNCTION("""COMPUTED_VALUE"""),45966.6666666666)</f>
        <v/>
      </c>
      <c r="Q73" s="513">
        <f>IFERROR(__xludf.DUMMYFUNCTION("""COMPUTED_VALUE"""),79.97)</f>
        <v/>
      </c>
      <c r="S73" s="512">
        <f>IFERROR(__xludf.DUMMYFUNCTION("""COMPUTED_VALUE"""),45236.6666666666)</f>
        <v/>
      </c>
      <c r="T73" s="513">
        <f>IFERROR(__xludf.DUMMYFUNCTION("""COMPUTED_VALUE"""),179.23)</f>
        <v/>
      </c>
      <c r="V73" s="512">
        <f>IFERROR(__xludf.DUMMYFUNCTION("""COMPUTED_VALUE"""),45966.6666666666)</f>
        <v/>
      </c>
      <c r="W73" s="513">
        <f>IFERROR(__xludf.DUMMYFUNCTION("""COMPUTED_VALUE"""),22.82)</f>
        <v/>
      </c>
      <c r="Y73" s="512">
        <f>IFERROR(__xludf.DUMMYFUNCTION("""COMPUTED_VALUE"""),45966.6666666666)</f>
        <v/>
      </c>
      <c r="Z73" s="513">
        <f>IFERROR(__xludf.DUMMYFUNCTION("""COMPUTED_VALUE"""),74.08)</f>
        <v/>
      </c>
      <c r="AB73" s="512">
        <f>IFERROR(__xludf.DUMMYFUNCTION("""COMPUTED_VALUE"""),45966.6666666666)</f>
        <v/>
      </c>
      <c r="AC73" s="513">
        <f>IFERROR(__xludf.DUMMYFUNCTION("""COMPUTED_VALUE"""),54.8)</f>
        <v/>
      </c>
      <c r="AE73" s="512">
        <f>IFERROR(__xludf.DUMMYFUNCTION("""COMPUTED_VALUE"""),45966.6666666666)</f>
        <v/>
      </c>
      <c r="AF73" s="513">
        <f>IFERROR(__xludf.DUMMYFUNCTION("""COMPUTED_VALUE"""),95.65)</f>
        <v/>
      </c>
      <c r="AH73" s="512">
        <f>IFERROR(__xludf.DUMMYFUNCTION("""COMPUTED_VALUE"""),45966.6666666666)</f>
        <v/>
      </c>
      <c r="AI73" s="513">
        <f>IFERROR(__xludf.DUMMYFUNCTION("""COMPUTED_VALUE"""),22.52)</f>
        <v/>
      </c>
      <c r="AK73" s="512">
        <f>IFERROR(__xludf.DUMMYFUNCTION("""COMPUTED_VALUE"""),45966.6666666666)</f>
        <v/>
      </c>
      <c r="AL73" s="513">
        <f>IFERROR(__xludf.DUMMYFUNCTION("""COMPUTED_VALUE"""),80.23)</f>
        <v/>
      </c>
      <c r="AN73" s="512">
        <f>IFERROR(__xludf.DUMMYFUNCTION("""COMPUTED_VALUE"""),45966.6666666666)</f>
        <v/>
      </c>
      <c r="AO73" s="513">
        <f>IFERROR(__xludf.DUMMYFUNCTION("""COMPUTED_VALUE"""),110.58)</f>
        <v/>
      </c>
      <c r="AQ73" s="512">
        <f>IFERROR(__xludf.DUMMYFUNCTION("""COMPUTED_VALUE"""),45966.6666666666)</f>
        <v/>
      </c>
      <c r="AR73" s="513">
        <f>IFERROR(__xludf.DUMMYFUNCTION("""COMPUTED_VALUE"""),94.16)</f>
        <v/>
      </c>
      <c r="AT73" s="512">
        <f>IFERROR(__xludf.DUMMYFUNCTION("""COMPUTED_VALUE"""),45966.6666666666)</f>
        <v/>
      </c>
      <c r="AU73" s="513">
        <f>IFERROR(__xludf.DUMMYFUNCTION("""COMPUTED_VALUE"""),55.12)</f>
        <v/>
      </c>
      <c r="AW73" s="512">
        <f>IFERROR(__xludf.DUMMYFUNCTION("""COMPUTED_VALUE"""),45966.6666666666)</f>
        <v/>
      </c>
      <c r="AX73" s="513">
        <f>IFERROR(__xludf.DUMMYFUNCTION("""COMPUTED_VALUE"""),99.87)</f>
        <v/>
      </c>
      <c r="AZ73" s="512">
        <f>IFERROR(__xludf.DUMMYFUNCTION("""COMPUTED_VALUE"""),45966.6666666666)</f>
        <v/>
      </c>
      <c r="BA73" s="513">
        <f>IFERROR(__xludf.DUMMYFUNCTION("""COMPUTED_VALUE"""),110.35)</f>
        <v/>
      </c>
      <c r="BC73" s="512">
        <f>IFERROR(__xludf.DUMMYFUNCTION("""COMPUTED_VALUE"""),45966.6666666666)</f>
        <v/>
      </c>
      <c r="BD73" s="513">
        <f>IFERROR(__xludf.DUMMYFUNCTION("""COMPUTED_VALUE"""),96.16)</f>
        <v/>
      </c>
      <c r="BF73" s="512">
        <f>IFERROR(__xludf.DUMMYFUNCTION("""COMPUTED_VALUE"""),45966.6666666666)</f>
        <v/>
      </c>
      <c r="BG73" s="513">
        <f>IFERROR(__xludf.DUMMYFUNCTION("""COMPUTED_VALUE"""),82.69)</f>
        <v/>
      </c>
      <c r="BI73" s="512">
        <f>IFERROR(__xludf.DUMMYFUNCTION("""COMPUTED_VALUE"""),45966.6666666666)</f>
        <v/>
      </c>
      <c r="BJ73" s="513">
        <f>IFERROR(__xludf.DUMMYFUNCTION("""COMPUTED_VALUE"""),88.96)</f>
        <v/>
      </c>
      <c r="BL73" s="512">
        <f>IFERROR(__xludf.DUMMYFUNCTION("""COMPUTED_VALUE"""),45966.6666666666)</f>
        <v/>
      </c>
      <c r="BM73" s="513">
        <f>IFERROR(__xludf.DUMMYFUNCTION("""COMPUTED_VALUE"""),366.51)</f>
        <v/>
      </c>
      <c r="BO73" s="512">
        <f>IFERROR(__xludf.DUMMYFUNCTION("""COMPUTED_VALUE"""),45966.6666666666)</f>
        <v/>
      </c>
      <c r="BP73" s="513">
        <f>IFERROR(__xludf.DUMMYFUNCTION("""COMPUTED_VALUE"""),91.49)</f>
        <v/>
      </c>
    </row>
    <row r="74">
      <c r="A74" s="512">
        <f>IFERROR(__xludf.DUMMYFUNCTION("""COMPUTED_VALUE"""),45967.6666666666)</f>
        <v/>
      </c>
      <c r="B74" s="513">
        <f>IFERROR(__xludf.DUMMYFUNCTION("""COMPUTED_VALUE"""),670.31)</f>
        <v/>
      </c>
      <c r="D74" s="512">
        <f>IFERROR(__xludf.DUMMYFUNCTION("""COMPUTED_VALUE"""),45967.6666666666)</f>
        <v/>
      </c>
      <c r="E74" s="513">
        <f>IFERROR(__xludf.DUMMYFUNCTION("""COMPUTED_VALUE"""),88.85)</f>
        <v/>
      </c>
      <c r="G74" s="512">
        <f>IFERROR(__xludf.DUMMYFUNCTION("""COMPUTED_VALUE"""),46154.6666666666)</f>
        <v/>
      </c>
      <c r="H74" s="513">
        <f>IFERROR(__xludf.DUMMYFUNCTION("""COMPUTED_VALUE"""),69.97)</f>
        <v/>
      </c>
      <c r="J74" s="512">
        <f>IFERROR(__xludf.DUMMYFUNCTION("""COMPUTED_VALUE"""),45967.6666666666)</f>
        <v/>
      </c>
      <c r="K74" s="513">
        <f>IFERROR(__xludf.DUMMYFUNCTION("""COMPUTED_VALUE"""),82.96)</f>
        <v/>
      </c>
      <c r="M74" s="512">
        <f>IFERROR(__xludf.DUMMYFUNCTION("""COMPUTED_VALUE"""),45967.6666666666)</f>
        <v/>
      </c>
      <c r="N74" s="513">
        <f>IFERROR(__xludf.DUMMYFUNCTION("""COMPUTED_VALUE"""),240.35)</f>
        <v/>
      </c>
      <c r="P74" s="512">
        <f>IFERROR(__xludf.DUMMYFUNCTION("""COMPUTED_VALUE"""),45967.6666666666)</f>
        <v/>
      </c>
      <c r="Q74" s="513">
        <f>IFERROR(__xludf.DUMMYFUNCTION("""COMPUTED_VALUE"""),79.59)</f>
        <v/>
      </c>
      <c r="S74" s="512">
        <f>IFERROR(__xludf.DUMMYFUNCTION("""COMPUTED_VALUE"""),45237.6666666666)</f>
        <v/>
      </c>
      <c r="T74" s="513">
        <f>IFERROR(__xludf.DUMMYFUNCTION("""COMPUTED_VALUE"""),181.82)</f>
        <v/>
      </c>
      <c r="V74" s="512">
        <f>IFERROR(__xludf.DUMMYFUNCTION("""COMPUTED_VALUE"""),45967.6666666666)</f>
        <v/>
      </c>
      <c r="W74" s="513">
        <f>IFERROR(__xludf.DUMMYFUNCTION("""COMPUTED_VALUE"""),22.85)</f>
        <v/>
      </c>
      <c r="Y74" s="512">
        <f>IFERROR(__xludf.DUMMYFUNCTION("""COMPUTED_VALUE"""),45967.6666666666)</f>
        <v/>
      </c>
      <c r="Z74" s="513">
        <f>IFERROR(__xludf.DUMMYFUNCTION("""COMPUTED_VALUE"""),74.37)</f>
        <v/>
      </c>
      <c r="AB74" s="512">
        <f>IFERROR(__xludf.DUMMYFUNCTION("""COMPUTED_VALUE"""),45967.6666666666)</f>
        <v/>
      </c>
      <c r="AC74" s="513">
        <f>IFERROR(__xludf.DUMMYFUNCTION("""COMPUTED_VALUE"""),54.59)</f>
        <v/>
      </c>
      <c r="AE74" s="512">
        <f>IFERROR(__xludf.DUMMYFUNCTION("""COMPUTED_VALUE"""),45967.6666666666)</f>
        <v/>
      </c>
      <c r="AF74" s="513">
        <f>IFERROR(__xludf.DUMMYFUNCTION("""COMPUTED_VALUE"""),95.97)</f>
        <v/>
      </c>
      <c r="AH74" s="512">
        <f>IFERROR(__xludf.DUMMYFUNCTION("""COMPUTED_VALUE"""),45967.6666666666)</f>
        <v/>
      </c>
      <c r="AI74" s="513">
        <f>IFERROR(__xludf.DUMMYFUNCTION("""COMPUTED_VALUE"""),22.64)</f>
        <v/>
      </c>
      <c r="AK74" s="512">
        <f>IFERROR(__xludf.DUMMYFUNCTION("""COMPUTED_VALUE"""),45967.6666666666)</f>
        <v/>
      </c>
      <c r="AL74" s="513">
        <f>IFERROR(__xludf.DUMMYFUNCTION("""COMPUTED_VALUE"""),80.26)</f>
        <v/>
      </c>
      <c r="AN74" s="512">
        <f>IFERROR(__xludf.DUMMYFUNCTION("""COMPUTED_VALUE"""),45967.6666666666)</f>
        <v/>
      </c>
      <c r="AO74" s="513">
        <f>IFERROR(__xludf.DUMMYFUNCTION("""COMPUTED_VALUE"""),110.88)</f>
        <v/>
      </c>
      <c r="AQ74" s="512">
        <f>IFERROR(__xludf.DUMMYFUNCTION("""COMPUTED_VALUE"""),45967.6666666666)</f>
        <v/>
      </c>
      <c r="AR74" s="513">
        <f>IFERROR(__xludf.DUMMYFUNCTION("""COMPUTED_VALUE"""),93.95)</f>
        <v/>
      </c>
      <c r="AT74" s="512">
        <f>IFERROR(__xludf.DUMMYFUNCTION("""COMPUTED_VALUE"""),45967.6666666666)</f>
        <v/>
      </c>
      <c r="AU74" s="513">
        <f>IFERROR(__xludf.DUMMYFUNCTION("""COMPUTED_VALUE"""),54.71)</f>
        <v/>
      </c>
      <c r="AW74" s="512">
        <f>IFERROR(__xludf.DUMMYFUNCTION("""COMPUTED_VALUE"""),45967.6666666666)</f>
        <v/>
      </c>
      <c r="AX74" s="513">
        <f>IFERROR(__xludf.DUMMYFUNCTION("""COMPUTED_VALUE"""),100.24)</f>
        <v/>
      </c>
      <c r="AZ74" s="512">
        <f>IFERROR(__xludf.DUMMYFUNCTION("""COMPUTED_VALUE"""),45967.6666666666)</f>
        <v/>
      </c>
      <c r="BA74" s="513">
        <f>IFERROR(__xludf.DUMMYFUNCTION("""COMPUTED_VALUE"""),110.93)</f>
        <v/>
      </c>
      <c r="BC74" s="512">
        <f>IFERROR(__xludf.DUMMYFUNCTION("""COMPUTED_VALUE"""),45967.6666666666)</f>
        <v/>
      </c>
      <c r="BD74" s="513">
        <f>IFERROR(__xludf.DUMMYFUNCTION("""COMPUTED_VALUE"""),96.65)</f>
        <v/>
      </c>
      <c r="BF74" s="512">
        <f>IFERROR(__xludf.DUMMYFUNCTION("""COMPUTED_VALUE"""),45967.6666666666)</f>
        <v/>
      </c>
      <c r="BG74" s="513">
        <f>IFERROR(__xludf.DUMMYFUNCTION("""COMPUTED_VALUE"""),82.79)</f>
        <v/>
      </c>
      <c r="BI74" s="512">
        <f>IFERROR(__xludf.DUMMYFUNCTION("""COMPUTED_VALUE"""),45967.6666666666)</f>
        <v/>
      </c>
      <c r="BJ74" s="513">
        <f>IFERROR(__xludf.DUMMYFUNCTION("""COMPUTED_VALUE"""),89.76)</f>
        <v/>
      </c>
      <c r="BL74" s="512">
        <f>IFERROR(__xludf.DUMMYFUNCTION("""COMPUTED_VALUE"""),45967.6666666666)</f>
        <v/>
      </c>
      <c r="BM74" s="513">
        <f>IFERROR(__xludf.DUMMYFUNCTION("""COMPUTED_VALUE"""),366.07)</f>
        <v/>
      </c>
      <c r="BO74" s="512">
        <f>IFERROR(__xludf.DUMMYFUNCTION("""COMPUTED_VALUE"""),45967.6666666666)</f>
        <v/>
      </c>
      <c r="BP74" s="513">
        <f>IFERROR(__xludf.DUMMYFUNCTION("""COMPUTED_VALUE"""),91.5)</f>
        <v/>
      </c>
    </row>
    <row r="75">
      <c r="A75" s="512">
        <f>IFERROR(__xludf.DUMMYFUNCTION("""COMPUTED_VALUE"""),45968.6666666666)</f>
        <v/>
      </c>
      <c r="B75" s="513">
        <f>IFERROR(__xludf.DUMMYFUNCTION("""COMPUTED_VALUE"""),670.97)</f>
        <v/>
      </c>
      <c r="D75" s="512">
        <f>IFERROR(__xludf.DUMMYFUNCTION("""COMPUTED_VALUE"""),45968.6666666666)</f>
        <v/>
      </c>
      <c r="E75" s="513">
        <f>IFERROR(__xludf.DUMMYFUNCTION("""COMPUTED_VALUE"""),90.23)</f>
        <v/>
      </c>
      <c r="G75" s="512">
        <f>IFERROR(__xludf.DUMMYFUNCTION("""COMPUTED_VALUE"""),46155.6666666666)</f>
        <v/>
      </c>
      <c r="H75" s="513">
        <f>IFERROR(__xludf.DUMMYFUNCTION("""COMPUTED_VALUE"""),70.63)</f>
        <v/>
      </c>
      <c r="J75" s="512">
        <f>IFERROR(__xludf.DUMMYFUNCTION("""COMPUTED_VALUE"""),45968.6666666666)</f>
        <v/>
      </c>
      <c r="K75" s="513">
        <f>IFERROR(__xludf.DUMMYFUNCTION("""COMPUTED_VALUE"""),83.29)</f>
        <v/>
      </c>
      <c r="M75" s="512">
        <f>IFERROR(__xludf.DUMMYFUNCTION("""COMPUTED_VALUE"""),45968.6666666666)</f>
        <v/>
      </c>
      <c r="N75" s="513">
        <f>IFERROR(__xludf.DUMMYFUNCTION("""COMPUTED_VALUE"""),241.61)</f>
        <v/>
      </c>
      <c r="P75" s="512">
        <f>IFERROR(__xludf.DUMMYFUNCTION("""COMPUTED_VALUE"""),45968.6666666666)</f>
        <v/>
      </c>
      <c r="Q75" s="513">
        <f>IFERROR(__xludf.DUMMYFUNCTION("""COMPUTED_VALUE"""),79.98)</f>
        <v/>
      </c>
      <c r="S75" s="512">
        <f>IFERROR(__xludf.DUMMYFUNCTION("""COMPUTED_VALUE"""),45238.6666666666)</f>
        <v/>
      </c>
      <c r="T75" s="513">
        <f>IFERROR(__xludf.DUMMYFUNCTION("""COMPUTED_VALUE"""),182.89)</f>
        <v/>
      </c>
      <c r="V75" s="512">
        <f>IFERROR(__xludf.DUMMYFUNCTION("""COMPUTED_VALUE"""),45968.6666666666)</f>
        <v/>
      </c>
      <c r="W75" s="513">
        <f>IFERROR(__xludf.DUMMYFUNCTION("""COMPUTED_VALUE"""),22.9)</f>
        <v/>
      </c>
      <c r="Y75" s="512">
        <f>IFERROR(__xludf.DUMMYFUNCTION("""COMPUTED_VALUE"""),45968.6666666666)</f>
        <v/>
      </c>
      <c r="Z75" s="513">
        <f>IFERROR(__xludf.DUMMYFUNCTION("""COMPUTED_VALUE"""),74.33)</f>
        <v/>
      </c>
      <c r="AB75" s="512">
        <f>IFERROR(__xludf.DUMMYFUNCTION("""COMPUTED_VALUE"""),45968.6666666666)</f>
        <v/>
      </c>
      <c r="AC75" s="513">
        <f>IFERROR(__xludf.DUMMYFUNCTION("""COMPUTED_VALUE"""),54.54)</f>
        <v/>
      </c>
      <c r="AE75" s="512">
        <f>IFERROR(__xludf.DUMMYFUNCTION("""COMPUTED_VALUE"""),45968.6666666666)</f>
        <v/>
      </c>
      <c r="AF75" s="513">
        <f>IFERROR(__xludf.DUMMYFUNCTION("""COMPUTED_VALUE"""),96.02)</f>
        <v/>
      </c>
      <c r="AH75" s="512">
        <f>IFERROR(__xludf.DUMMYFUNCTION("""COMPUTED_VALUE"""),45968.6666666666)</f>
        <v/>
      </c>
      <c r="AI75" s="513">
        <f>IFERROR(__xludf.DUMMYFUNCTION("""COMPUTED_VALUE"""),22.64)</f>
        <v/>
      </c>
      <c r="AK75" s="512">
        <f>IFERROR(__xludf.DUMMYFUNCTION("""COMPUTED_VALUE"""),45968.6666666666)</f>
        <v/>
      </c>
      <c r="AL75" s="513">
        <f>IFERROR(__xludf.DUMMYFUNCTION("""COMPUTED_VALUE"""),80.33)</f>
        <v/>
      </c>
      <c r="AN75" s="512">
        <f>IFERROR(__xludf.DUMMYFUNCTION("""COMPUTED_VALUE"""),45968.6666666666)</f>
        <v/>
      </c>
      <c r="AO75" s="513">
        <f>IFERROR(__xludf.DUMMYFUNCTION("""COMPUTED_VALUE"""),110.9)</f>
        <v/>
      </c>
      <c r="AQ75" s="512">
        <f>IFERROR(__xludf.DUMMYFUNCTION("""COMPUTED_VALUE"""),45968.6666666666)</f>
        <v/>
      </c>
      <c r="AR75" s="513">
        <f>IFERROR(__xludf.DUMMYFUNCTION("""COMPUTED_VALUE"""),94.3)</f>
        <v/>
      </c>
      <c r="AT75" s="512">
        <f>IFERROR(__xludf.DUMMYFUNCTION("""COMPUTED_VALUE"""),45968.6666666666)</f>
        <v/>
      </c>
      <c r="AU75" s="513">
        <f>IFERROR(__xludf.DUMMYFUNCTION("""COMPUTED_VALUE"""),54.55)</f>
        <v/>
      </c>
      <c r="AW75" s="512">
        <f>IFERROR(__xludf.DUMMYFUNCTION("""COMPUTED_VALUE"""),45968.6666666666)</f>
        <v/>
      </c>
      <c r="AX75" s="513">
        <f>IFERROR(__xludf.DUMMYFUNCTION("""COMPUTED_VALUE"""),100.2)</f>
        <v/>
      </c>
      <c r="AZ75" s="512">
        <f>IFERROR(__xludf.DUMMYFUNCTION("""COMPUTED_VALUE"""),45968.6666666666)</f>
        <v/>
      </c>
      <c r="BA75" s="513">
        <f>IFERROR(__xludf.DUMMYFUNCTION("""COMPUTED_VALUE"""),110.71)</f>
        <v/>
      </c>
      <c r="BC75" s="512">
        <f>IFERROR(__xludf.DUMMYFUNCTION("""COMPUTED_VALUE"""),45968.6666666666)</f>
        <v/>
      </c>
      <c r="BD75" s="513">
        <f>IFERROR(__xludf.DUMMYFUNCTION("""COMPUTED_VALUE"""),96.69)</f>
        <v/>
      </c>
      <c r="BF75" s="512">
        <f>IFERROR(__xludf.DUMMYFUNCTION("""COMPUTED_VALUE"""),45968.6666666666)</f>
        <v/>
      </c>
      <c r="BG75" s="513">
        <f>IFERROR(__xludf.DUMMYFUNCTION("""COMPUTED_VALUE"""),82.83)</f>
        <v/>
      </c>
      <c r="BI75" s="512">
        <f>IFERROR(__xludf.DUMMYFUNCTION("""COMPUTED_VALUE"""),45968.6666666666)</f>
        <v/>
      </c>
      <c r="BJ75" s="513">
        <f>IFERROR(__xludf.DUMMYFUNCTION("""COMPUTED_VALUE"""),89.57)</f>
        <v/>
      </c>
      <c r="BL75" s="512">
        <f>IFERROR(__xludf.DUMMYFUNCTION("""COMPUTED_VALUE"""),45968.6666666666)</f>
        <v/>
      </c>
      <c r="BM75" s="513">
        <f>IFERROR(__xludf.DUMMYFUNCTION("""COMPUTED_VALUE"""),368.31)</f>
        <v/>
      </c>
      <c r="BO75" s="512">
        <f>IFERROR(__xludf.DUMMYFUNCTION("""COMPUTED_VALUE"""),45968.6666666666)</f>
        <v/>
      </c>
      <c r="BP75" s="513">
        <f>IFERROR(__xludf.DUMMYFUNCTION("""COMPUTED_VALUE"""),91.53)</f>
        <v/>
      </c>
    </row>
    <row r="76">
      <c r="A76" s="512">
        <f>IFERROR(__xludf.DUMMYFUNCTION("""COMPUTED_VALUE"""),45971.6666666666)</f>
        <v/>
      </c>
      <c r="B76" s="513">
        <f>IFERROR(__xludf.DUMMYFUNCTION("""COMPUTED_VALUE"""),681.44)</f>
        <v/>
      </c>
      <c r="D76" s="512">
        <f>IFERROR(__xludf.DUMMYFUNCTION("""COMPUTED_VALUE"""),45971.6666666666)</f>
        <v/>
      </c>
      <c r="E76" s="513">
        <f>IFERROR(__xludf.DUMMYFUNCTION("""COMPUTED_VALUE"""),90.18)</f>
        <v/>
      </c>
      <c r="G76" s="512">
        <f>IFERROR(__xludf.DUMMYFUNCTION("""COMPUTED_VALUE"""),46156.6666666666)</f>
        <v/>
      </c>
      <c r="H76" s="513">
        <f>IFERROR(__xludf.DUMMYFUNCTION("""COMPUTED_VALUE"""),70.56)</f>
        <v/>
      </c>
      <c r="J76" s="512">
        <f>IFERROR(__xludf.DUMMYFUNCTION("""COMPUTED_VALUE"""),45971.6666666666)</f>
        <v/>
      </c>
      <c r="K76" s="513">
        <f>IFERROR(__xludf.DUMMYFUNCTION("""COMPUTED_VALUE"""),83.68)</f>
        <v/>
      </c>
      <c r="M76" s="512">
        <f>IFERROR(__xludf.DUMMYFUNCTION("""COMPUTED_VALUE"""),45971.6666666666)</f>
        <v/>
      </c>
      <c r="N76" s="513">
        <f>IFERROR(__xludf.DUMMYFUNCTION("""COMPUTED_VALUE"""),244.03)</f>
        <v/>
      </c>
      <c r="P76" s="512">
        <f>IFERROR(__xludf.DUMMYFUNCTION("""COMPUTED_VALUE"""),45971.6666666666)</f>
        <v/>
      </c>
      <c r="Q76" s="513">
        <f>IFERROR(__xludf.DUMMYFUNCTION("""COMPUTED_VALUE"""),80.93)</f>
        <v/>
      </c>
      <c r="S76" s="512">
        <f>IFERROR(__xludf.DUMMYFUNCTION("""COMPUTED_VALUE"""),45239.6666666666)</f>
        <v/>
      </c>
      <c r="T76" s="513">
        <f>IFERROR(__xludf.DUMMYFUNCTION("""COMPUTED_VALUE"""),182.41)</f>
        <v/>
      </c>
      <c r="V76" s="512">
        <f>IFERROR(__xludf.DUMMYFUNCTION("""COMPUTED_VALUE"""),45971.6666666666)</f>
        <v/>
      </c>
      <c r="W76" s="513">
        <f>IFERROR(__xludf.DUMMYFUNCTION("""COMPUTED_VALUE"""),23.15)</f>
        <v/>
      </c>
      <c r="Y76" s="512">
        <f>IFERROR(__xludf.DUMMYFUNCTION("""COMPUTED_VALUE"""),45971.6666666666)</f>
        <v/>
      </c>
      <c r="Z76" s="513">
        <f>IFERROR(__xludf.DUMMYFUNCTION("""COMPUTED_VALUE"""),74.31)</f>
        <v/>
      </c>
      <c r="AB76" s="512">
        <f>IFERROR(__xludf.DUMMYFUNCTION("""COMPUTED_VALUE"""),45971.6666666666)</f>
        <v/>
      </c>
      <c r="AC76" s="513">
        <f>IFERROR(__xludf.DUMMYFUNCTION("""COMPUTED_VALUE"""),55.27)</f>
        <v/>
      </c>
      <c r="AE76" s="512">
        <f>IFERROR(__xludf.DUMMYFUNCTION("""COMPUTED_VALUE"""),45971.6666666666)</f>
        <v/>
      </c>
      <c r="AF76" s="513">
        <f>IFERROR(__xludf.DUMMYFUNCTION("""COMPUTED_VALUE"""),96.24)</f>
        <v/>
      </c>
      <c r="AH76" s="512">
        <f>IFERROR(__xludf.DUMMYFUNCTION("""COMPUTED_VALUE"""),45971.6666666666)</f>
        <v/>
      </c>
      <c r="AI76" s="513">
        <f>IFERROR(__xludf.DUMMYFUNCTION("""COMPUTED_VALUE"""),22.64)</f>
        <v/>
      </c>
      <c r="AK76" s="512">
        <f>IFERROR(__xludf.DUMMYFUNCTION("""COMPUTED_VALUE"""),45971.6666666666)</f>
        <v/>
      </c>
      <c r="AL76" s="513">
        <f>IFERROR(__xludf.DUMMYFUNCTION("""COMPUTED_VALUE"""),80.6)</f>
        <v/>
      </c>
      <c r="AN76" s="512">
        <f>IFERROR(__xludf.DUMMYFUNCTION("""COMPUTED_VALUE"""),45971.6666666666)</f>
        <v/>
      </c>
      <c r="AO76" s="513">
        <f>IFERROR(__xludf.DUMMYFUNCTION("""COMPUTED_VALUE"""),110.92)</f>
        <v/>
      </c>
      <c r="AQ76" s="512">
        <f>IFERROR(__xludf.DUMMYFUNCTION("""COMPUTED_VALUE"""),45971.6666666666)</f>
        <v/>
      </c>
      <c r="AR76" s="513">
        <f>IFERROR(__xludf.DUMMYFUNCTION("""COMPUTED_VALUE"""),95.29)</f>
        <v/>
      </c>
      <c r="AT76" s="512">
        <f>IFERROR(__xludf.DUMMYFUNCTION("""COMPUTED_VALUE"""),45971.6666666666)</f>
        <v/>
      </c>
      <c r="AU76" s="513">
        <f>IFERROR(__xludf.DUMMYFUNCTION("""COMPUTED_VALUE"""),55.51)</f>
        <v/>
      </c>
      <c r="AW76" s="512">
        <f>IFERROR(__xludf.DUMMYFUNCTION("""COMPUTED_VALUE"""),45971.6666666666)</f>
        <v/>
      </c>
      <c r="AX76" s="513">
        <f>IFERROR(__xludf.DUMMYFUNCTION("""COMPUTED_VALUE"""),100.16)</f>
        <v/>
      </c>
      <c r="AZ76" s="512">
        <f>IFERROR(__xludf.DUMMYFUNCTION("""COMPUTED_VALUE"""),45971.6666666666)</f>
        <v/>
      </c>
      <c r="BA76" s="513">
        <f>IFERROR(__xludf.DUMMYFUNCTION("""COMPUTED_VALUE"""),110.77)</f>
        <v/>
      </c>
      <c r="BC76" s="512">
        <f>IFERROR(__xludf.DUMMYFUNCTION("""COMPUTED_VALUE"""),45971.6666666666)</f>
        <v/>
      </c>
      <c r="BD76" s="513">
        <f>IFERROR(__xludf.DUMMYFUNCTION("""COMPUTED_VALUE"""),96.56)</f>
        <v/>
      </c>
      <c r="BF76" s="512">
        <f>IFERROR(__xludf.DUMMYFUNCTION("""COMPUTED_VALUE"""),45971.6666666666)</f>
        <v/>
      </c>
      <c r="BG76" s="513">
        <f>IFERROR(__xludf.DUMMYFUNCTION("""COMPUTED_VALUE"""),82.81)</f>
        <v/>
      </c>
      <c r="BI76" s="512">
        <f>IFERROR(__xludf.DUMMYFUNCTION("""COMPUTED_VALUE"""),45971.6666666666)</f>
        <v/>
      </c>
      <c r="BJ76" s="513">
        <f>IFERROR(__xludf.DUMMYFUNCTION("""COMPUTED_VALUE"""),89.55)</f>
        <v/>
      </c>
      <c r="BL76" s="512">
        <f>IFERROR(__xludf.DUMMYFUNCTION("""COMPUTED_VALUE"""),45971.6666666666)</f>
        <v/>
      </c>
      <c r="BM76" s="513">
        <f>IFERROR(__xludf.DUMMYFUNCTION("""COMPUTED_VALUE"""),378.38)</f>
        <v/>
      </c>
      <c r="BO76" s="512">
        <f>IFERROR(__xludf.DUMMYFUNCTION("""COMPUTED_VALUE"""),45971.6666666666)</f>
        <v/>
      </c>
      <c r="BP76" s="513">
        <f>IFERROR(__xludf.DUMMYFUNCTION("""COMPUTED_VALUE"""),91.55)</f>
        <v/>
      </c>
    </row>
    <row r="77">
      <c r="A77" s="512">
        <f>IFERROR(__xludf.DUMMYFUNCTION("""COMPUTED_VALUE"""),45972.6666666666)</f>
        <v/>
      </c>
      <c r="B77" s="513">
        <f>IFERROR(__xludf.DUMMYFUNCTION("""COMPUTED_VALUE"""),683)</f>
        <v/>
      </c>
      <c r="D77" s="512">
        <f>IFERROR(__xludf.DUMMYFUNCTION("""COMPUTED_VALUE"""),45972.6666666666)</f>
        <v/>
      </c>
      <c r="E77" s="513">
        <f>IFERROR(__xludf.DUMMYFUNCTION("""COMPUTED_VALUE"""),91.19)</f>
        <v/>
      </c>
      <c r="G77" s="512">
        <f>IFERROR(__xludf.DUMMYFUNCTION("""COMPUTED_VALUE"""),46157.6666666666)</f>
        <v/>
      </c>
      <c r="H77" s="513">
        <f>IFERROR(__xludf.DUMMYFUNCTION("""COMPUTED_VALUE"""),69.08)</f>
        <v/>
      </c>
      <c r="J77" s="512">
        <f>IFERROR(__xludf.DUMMYFUNCTION("""COMPUTED_VALUE"""),45972.6666666666)</f>
        <v/>
      </c>
      <c r="K77" s="513">
        <f>IFERROR(__xludf.DUMMYFUNCTION("""COMPUTED_VALUE"""),83.75)</f>
        <v/>
      </c>
      <c r="M77" s="512">
        <f>IFERROR(__xludf.DUMMYFUNCTION("""COMPUTED_VALUE"""),45972.6666666666)</f>
        <v/>
      </c>
      <c r="N77" s="513">
        <f>IFERROR(__xludf.DUMMYFUNCTION("""COMPUTED_VALUE"""),244.24)</f>
        <v/>
      </c>
      <c r="P77" s="512">
        <f>IFERROR(__xludf.DUMMYFUNCTION("""COMPUTED_VALUE"""),45972.6666666666)</f>
        <v/>
      </c>
      <c r="Q77" s="513">
        <f>IFERROR(__xludf.DUMMYFUNCTION("""COMPUTED_VALUE"""),81.79)</f>
        <v/>
      </c>
      <c r="S77" s="512">
        <f>IFERROR(__xludf.DUMMYFUNCTION("""COMPUTED_VALUE"""),45240.6666666666)</f>
        <v/>
      </c>
      <c r="T77" s="513">
        <f>IFERROR(__xludf.DUMMYFUNCTION("""COMPUTED_VALUE"""),186.4)</f>
        <v/>
      </c>
      <c r="V77" s="512">
        <f>IFERROR(__xludf.DUMMYFUNCTION("""COMPUTED_VALUE"""),45972.6666666666)</f>
        <v/>
      </c>
      <c r="W77" s="513">
        <f>IFERROR(__xludf.DUMMYFUNCTION("""COMPUTED_VALUE"""),23.3)</f>
        <v/>
      </c>
      <c r="Y77" s="512">
        <f>IFERROR(__xludf.DUMMYFUNCTION("""COMPUTED_VALUE"""),45972.6666666666)</f>
        <v/>
      </c>
      <c r="Z77" s="513">
        <f>IFERROR(__xludf.DUMMYFUNCTION("""COMPUTED_VALUE"""),74.52)</f>
        <v/>
      </c>
      <c r="AB77" s="512">
        <f>IFERROR(__xludf.DUMMYFUNCTION("""COMPUTED_VALUE"""),45972.6666666666)</f>
        <v/>
      </c>
      <c r="AC77" s="513">
        <f>IFERROR(__xludf.DUMMYFUNCTION("""COMPUTED_VALUE"""),55.33)</f>
        <v/>
      </c>
      <c r="AE77" s="512">
        <f>IFERROR(__xludf.DUMMYFUNCTION("""COMPUTED_VALUE"""),45972.6666666666)</f>
        <v/>
      </c>
      <c r="AF77" s="513">
        <f>IFERROR(__xludf.DUMMYFUNCTION("""COMPUTED_VALUE"""),96.46)</f>
        <v/>
      </c>
      <c r="AH77" s="512">
        <f>IFERROR(__xludf.DUMMYFUNCTION("""COMPUTED_VALUE"""),45972.6666666666)</f>
        <v/>
      </c>
      <c r="AI77" s="513">
        <f>IFERROR(__xludf.DUMMYFUNCTION("""COMPUTED_VALUE"""),22.68)</f>
        <v/>
      </c>
      <c r="AK77" s="512">
        <f>IFERROR(__xludf.DUMMYFUNCTION("""COMPUTED_VALUE"""),45972.6666666666)</f>
        <v/>
      </c>
      <c r="AL77" s="513">
        <f>IFERROR(__xludf.DUMMYFUNCTION("""COMPUTED_VALUE"""),80.69)</f>
        <v/>
      </c>
      <c r="AN77" s="512">
        <f>IFERROR(__xludf.DUMMYFUNCTION("""COMPUTED_VALUE"""),45972.6666666666)</f>
        <v/>
      </c>
      <c r="AO77" s="513">
        <f>IFERROR(__xludf.DUMMYFUNCTION("""COMPUTED_VALUE"""),111.37)</f>
        <v/>
      </c>
      <c r="AQ77" s="512">
        <f>IFERROR(__xludf.DUMMYFUNCTION("""COMPUTED_VALUE"""),45972.6666666666)</f>
        <v/>
      </c>
      <c r="AR77" s="513">
        <f>IFERROR(__xludf.DUMMYFUNCTION("""COMPUTED_VALUE"""),95.99)</f>
        <v/>
      </c>
      <c r="AT77" s="512">
        <f>IFERROR(__xludf.DUMMYFUNCTION("""COMPUTED_VALUE"""),45972.6666666666)</f>
        <v/>
      </c>
      <c r="AU77" s="513">
        <f>IFERROR(__xludf.DUMMYFUNCTION("""COMPUTED_VALUE"""),55.57)</f>
        <v/>
      </c>
      <c r="AW77" s="512">
        <f>IFERROR(__xludf.DUMMYFUNCTION("""COMPUTED_VALUE"""),45972.6666666666)</f>
        <v/>
      </c>
      <c r="AX77" s="513">
        <f>IFERROR(__xludf.DUMMYFUNCTION("""COMPUTED_VALUE"""),100.46)</f>
        <v/>
      </c>
      <c r="AZ77" s="512">
        <f>IFERROR(__xludf.DUMMYFUNCTION("""COMPUTED_VALUE"""),45972.6666666666)</f>
        <v/>
      </c>
      <c r="BA77" s="513">
        <f>IFERROR(__xludf.DUMMYFUNCTION("""COMPUTED_VALUE"""),111.21)</f>
        <v/>
      </c>
      <c r="BC77" s="512">
        <f>IFERROR(__xludf.DUMMYFUNCTION("""COMPUTED_VALUE"""),45972.6666666666)</f>
        <v/>
      </c>
      <c r="BD77" s="513">
        <f>IFERROR(__xludf.DUMMYFUNCTION("""COMPUTED_VALUE"""),96.86)</f>
        <v/>
      </c>
      <c r="BF77" s="512">
        <f>IFERROR(__xludf.DUMMYFUNCTION("""COMPUTED_VALUE"""),45972.6666666666)</f>
        <v/>
      </c>
      <c r="BG77" s="513">
        <f>IFERROR(__xludf.DUMMYFUNCTION("""COMPUTED_VALUE"""),82.88)</f>
        <v/>
      </c>
      <c r="BI77" s="512">
        <f>IFERROR(__xludf.DUMMYFUNCTION("""COMPUTED_VALUE"""),45972.6666666666)</f>
        <v/>
      </c>
      <c r="BJ77" s="513">
        <f>IFERROR(__xludf.DUMMYFUNCTION("""COMPUTED_VALUE"""),89.96)</f>
        <v/>
      </c>
      <c r="BL77" s="512">
        <f>IFERROR(__xludf.DUMMYFUNCTION("""COMPUTED_VALUE"""),45972.6666666666)</f>
        <v/>
      </c>
      <c r="BM77" s="513">
        <f>IFERROR(__xludf.DUMMYFUNCTION("""COMPUTED_VALUE"""),379.87)</f>
        <v/>
      </c>
      <c r="BO77" s="512">
        <f>IFERROR(__xludf.DUMMYFUNCTION("""COMPUTED_VALUE"""),45972.6666666666)</f>
        <v/>
      </c>
      <c r="BP77" s="513">
        <f>IFERROR(__xludf.DUMMYFUNCTION("""COMPUTED_VALUE"""),91.54)</f>
        <v/>
      </c>
    </row>
    <row r="78">
      <c r="A78" s="512">
        <f>IFERROR(__xludf.DUMMYFUNCTION("""COMPUTED_VALUE"""),45973.6666666666)</f>
        <v/>
      </c>
      <c r="B78" s="513">
        <f>IFERROR(__xludf.DUMMYFUNCTION("""COMPUTED_VALUE"""),683.38)</f>
        <v/>
      </c>
      <c r="D78" s="512">
        <f>IFERROR(__xludf.DUMMYFUNCTION("""COMPUTED_VALUE"""),45973.6666666666)</f>
        <v/>
      </c>
      <c r="E78" s="513">
        <f>IFERROR(__xludf.DUMMYFUNCTION("""COMPUTED_VALUE"""),90.51)</f>
        <v/>
      </c>
      <c r="G78" s="512">
        <f>IFERROR(__xludf.DUMMYFUNCTION("""COMPUTED_VALUE"""),46160.6666666666)</f>
        <v/>
      </c>
      <c r="H78" s="513">
        <f>IFERROR(__xludf.DUMMYFUNCTION("""COMPUTED_VALUE"""),69.52)</f>
        <v/>
      </c>
      <c r="J78" s="512">
        <f>IFERROR(__xludf.DUMMYFUNCTION("""COMPUTED_VALUE"""),45973.6666666666)</f>
        <v/>
      </c>
      <c r="K78" s="513">
        <f>IFERROR(__xludf.DUMMYFUNCTION("""COMPUTED_VALUE"""),84.34)</f>
        <v/>
      </c>
      <c r="M78" s="512">
        <f>IFERROR(__xludf.DUMMYFUNCTION("""COMPUTED_VALUE"""),45973.6666666666)</f>
        <v/>
      </c>
      <c r="N78" s="513">
        <f>IFERROR(__xludf.DUMMYFUNCTION("""COMPUTED_VALUE"""),243.64)</f>
        <v/>
      </c>
      <c r="P78" s="512">
        <f>IFERROR(__xludf.DUMMYFUNCTION("""COMPUTED_VALUE"""),45973.6666666666)</f>
        <v/>
      </c>
      <c r="Q78" s="513">
        <f>IFERROR(__xludf.DUMMYFUNCTION("""COMPUTED_VALUE"""),82.27)</f>
        <v/>
      </c>
      <c r="S78" s="512">
        <f>IFERROR(__xludf.DUMMYFUNCTION("""COMPUTED_VALUE"""),45243.6666666666)</f>
        <v/>
      </c>
      <c r="T78" s="513">
        <f>IFERROR(__xludf.DUMMYFUNCTION("""COMPUTED_VALUE"""),184.8)</f>
        <v/>
      </c>
      <c r="V78" s="512">
        <f>IFERROR(__xludf.DUMMYFUNCTION("""COMPUTED_VALUE"""),45973.6666666666)</f>
        <v/>
      </c>
      <c r="W78" s="513">
        <f>IFERROR(__xludf.DUMMYFUNCTION("""COMPUTED_VALUE"""),23.04)</f>
        <v/>
      </c>
      <c r="Y78" s="512">
        <f>IFERROR(__xludf.DUMMYFUNCTION("""COMPUTED_VALUE"""),45973.6666666666)</f>
        <v/>
      </c>
      <c r="Z78" s="513">
        <f>IFERROR(__xludf.DUMMYFUNCTION("""COMPUTED_VALUE"""),74.49)</f>
        <v/>
      </c>
      <c r="AB78" s="512">
        <f>IFERROR(__xludf.DUMMYFUNCTION("""COMPUTED_VALUE"""),45973.6666666666)</f>
        <v/>
      </c>
      <c r="AC78" s="513">
        <f>IFERROR(__xludf.DUMMYFUNCTION("""COMPUTED_VALUE"""),55.32)</f>
        <v/>
      </c>
      <c r="AE78" s="512">
        <f>IFERROR(__xludf.DUMMYFUNCTION("""COMPUTED_VALUE"""),45973.6666666666)</f>
        <v/>
      </c>
      <c r="AF78" s="513">
        <f>IFERROR(__xludf.DUMMYFUNCTION("""COMPUTED_VALUE"""),96.5)</f>
        <v/>
      </c>
      <c r="AH78" s="512">
        <f>IFERROR(__xludf.DUMMYFUNCTION("""COMPUTED_VALUE"""),45973.6666666666)</f>
        <v/>
      </c>
      <c r="AI78" s="513">
        <f>IFERROR(__xludf.DUMMYFUNCTION("""COMPUTED_VALUE"""),22.65)</f>
        <v/>
      </c>
      <c r="AK78" s="512">
        <f>IFERROR(__xludf.DUMMYFUNCTION("""COMPUTED_VALUE"""),45973.6666666666)</f>
        <v/>
      </c>
      <c r="AL78" s="513">
        <f>IFERROR(__xludf.DUMMYFUNCTION("""COMPUTED_VALUE"""),80.53)</f>
        <v/>
      </c>
      <c r="AN78" s="512">
        <f>IFERROR(__xludf.DUMMYFUNCTION("""COMPUTED_VALUE"""),45973.6666666666)</f>
        <v/>
      </c>
      <c r="AO78" s="513">
        <f>IFERROR(__xludf.DUMMYFUNCTION("""COMPUTED_VALUE"""),111.13)</f>
        <v/>
      </c>
      <c r="AQ78" s="512">
        <f>IFERROR(__xludf.DUMMYFUNCTION("""COMPUTED_VALUE"""),45973.6666666666)</f>
        <v/>
      </c>
      <c r="AR78" s="513">
        <f>IFERROR(__xludf.DUMMYFUNCTION("""COMPUTED_VALUE"""),96.56)</f>
        <v/>
      </c>
      <c r="AT78" s="512">
        <f>IFERROR(__xludf.DUMMYFUNCTION("""COMPUTED_VALUE"""),45973.6666666666)</f>
        <v/>
      </c>
      <c r="AU78" s="513">
        <f>IFERROR(__xludf.DUMMYFUNCTION("""COMPUTED_VALUE"""),55.58)</f>
        <v/>
      </c>
      <c r="AW78" s="512">
        <f>IFERROR(__xludf.DUMMYFUNCTION("""COMPUTED_VALUE"""),45973.6666666666)</f>
        <v/>
      </c>
      <c r="AX78" s="513">
        <f>IFERROR(__xludf.DUMMYFUNCTION("""COMPUTED_VALUE"""),100.42)</f>
        <v/>
      </c>
      <c r="AZ78" s="512">
        <f>IFERROR(__xludf.DUMMYFUNCTION("""COMPUTED_VALUE"""),45973.6666666666)</f>
        <v/>
      </c>
      <c r="BA78" s="513">
        <f>IFERROR(__xludf.DUMMYFUNCTION("""COMPUTED_VALUE"""),111.1)</f>
        <v/>
      </c>
      <c r="BC78" s="512">
        <f>IFERROR(__xludf.DUMMYFUNCTION("""COMPUTED_VALUE"""),45973.6666666666)</f>
        <v/>
      </c>
      <c r="BD78" s="513">
        <f>IFERROR(__xludf.DUMMYFUNCTION("""COMPUTED_VALUE"""),96.88)</f>
        <v/>
      </c>
      <c r="BF78" s="512">
        <f>IFERROR(__xludf.DUMMYFUNCTION("""COMPUTED_VALUE"""),45973.6666666666)</f>
        <v/>
      </c>
      <c r="BG78" s="513">
        <f>IFERROR(__xludf.DUMMYFUNCTION("""COMPUTED_VALUE"""),82.85)</f>
        <v/>
      </c>
      <c r="BI78" s="512">
        <f>IFERROR(__xludf.DUMMYFUNCTION("""COMPUTED_VALUE"""),45973.6666666666)</f>
        <v/>
      </c>
      <c r="BJ78" s="513">
        <f>IFERROR(__xludf.DUMMYFUNCTION("""COMPUTED_VALUE"""),90.12)</f>
        <v/>
      </c>
      <c r="BL78" s="512">
        <f>IFERROR(__xludf.DUMMYFUNCTION("""COMPUTED_VALUE"""),45973.6666666666)</f>
        <v/>
      </c>
      <c r="BM78" s="513">
        <f>IFERROR(__xludf.DUMMYFUNCTION("""COMPUTED_VALUE"""),385.99)</f>
        <v/>
      </c>
      <c r="BO78" s="512">
        <f>IFERROR(__xludf.DUMMYFUNCTION("""COMPUTED_VALUE"""),45973.6666666666)</f>
        <v/>
      </c>
      <c r="BP78" s="513">
        <f>IFERROR(__xludf.DUMMYFUNCTION("""COMPUTED_VALUE"""),91.55)</f>
        <v/>
      </c>
    </row>
    <row r="79">
      <c r="A79" s="512">
        <f>IFERROR(__xludf.DUMMYFUNCTION("""COMPUTED_VALUE"""),45974.6666666666)</f>
        <v/>
      </c>
      <c r="B79" s="513">
        <f>IFERROR(__xludf.DUMMYFUNCTION("""COMPUTED_VALUE"""),672.04)</f>
        <v/>
      </c>
      <c r="D79" s="512">
        <f>IFERROR(__xludf.DUMMYFUNCTION("""COMPUTED_VALUE"""),45974.6666666666)</f>
        <v/>
      </c>
      <c r="E79" s="513">
        <f>IFERROR(__xludf.DUMMYFUNCTION("""COMPUTED_VALUE"""),89.4)</f>
        <v/>
      </c>
      <c r="G79" s="512">
        <f>IFERROR(__xludf.DUMMYFUNCTION("""COMPUTED_VALUE"""),46161.6666666666)</f>
        <v/>
      </c>
      <c r="H79" s="513">
        <f>IFERROR(__xludf.DUMMYFUNCTION("""COMPUTED_VALUE"""),68.99)</f>
        <v/>
      </c>
      <c r="J79" s="512">
        <f>IFERROR(__xludf.DUMMYFUNCTION("""COMPUTED_VALUE"""),45974.6666666666)</f>
        <v/>
      </c>
      <c r="K79" s="513">
        <f>IFERROR(__xludf.DUMMYFUNCTION("""COMPUTED_VALUE"""),83.01)</f>
        <v/>
      </c>
      <c r="M79" s="512">
        <f>IFERROR(__xludf.DUMMYFUNCTION("""COMPUTED_VALUE"""),45974.6666666666)</f>
        <v/>
      </c>
      <c r="N79" s="513">
        <f>IFERROR(__xludf.DUMMYFUNCTION("""COMPUTED_VALUE"""),236.79)</f>
        <v/>
      </c>
      <c r="P79" s="512">
        <f>IFERROR(__xludf.DUMMYFUNCTION("""COMPUTED_VALUE"""),45974.6666666666)</f>
        <v/>
      </c>
      <c r="Q79" s="513">
        <f>IFERROR(__xludf.DUMMYFUNCTION("""COMPUTED_VALUE"""),81.68)</f>
        <v/>
      </c>
      <c r="S79" s="512">
        <f>IFERROR(__xludf.DUMMYFUNCTION("""COMPUTED_VALUE"""),45244.6666666666)</f>
        <v/>
      </c>
      <c r="T79" s="513">
        <f>IFERROR(__xludf.DUMMYFUNCTION("""COMPUTED_VALUE"""),187.44)</f>
        <v/>
      </c>
      <c r="V79" s="512">
        <f>IFERROR(__xludf.DUMMYFUNCTION("""COMPUTED_VALUE"""),45974.6666666666)</f>
        <v/>
      </c>
      <c r="W79" s="513">
        <f>IFERROR(__xludf.DUMMYFUNCTION("""COMPUTED_VALUE"""),22.92)</f>
        <v/>
      </c>
      <c r="Y79" s="512">
        <f>IFERROR(__xludf.DUMMYFUNCTION("""COMPUTED_VALUE"""),45974.6666666666)</f>
        <v/>
      </c>
      <c r="Z79" s="513">
        <f>IFERROR(__xludf.DUMMYFUNCTION("""COMPUTED_VALUE"""),74.27)</f>
        <v/>
      </c>
      <c r="AB79" s="512">
        <f>IFERROR(__xludf.DUMMYFUNCTION("""COMPUTED_VALUE"""),45974.6666666666)</f>
        <v/>
      </c>
      <c r="AC79" s="513">
        <f>IFERROR(__xludf.DUMMYFUNCTION("""COMPUTED_VALUE"""),54.83)</f>
        <v/>
      </c>
      <c r="AE79" s="512">
        <f>IFERROR(__xludf.DUMMYFUNCTION("""COMPUTED_VALUE"""),45974.6666666666)</f>
        <v/>
      </c>
      <c r="AF79" s="513">
        <f>IFERROR(__xludf.DUMMYFUNCTION("""COMPUTED_VALUE"""),96.03)</f>
        <v/>
      </c>
      <c r="AH79" s="512">
        <f>IFERROR(__xludf.DUMMYFUNCTION("""COMPUTED_VALUE"""),45974.6666666666)</f>
        <v/>
      </c>
      <c r="AI79" s="513">
        <f>IFERROR(__xludf.DUMMYFUNCTION("""COMPUTED_VALUE"""),22.71)</f>
        <v/>
      </c>
      <c r="AK79" s="512">
        <f>IFERROR(__xludf.DUMMYFUNCTION("""COMPUTED_VALUE"""),45974.6666666666)</f>
        <v/>
      </c>
      <c r="AL79" s="513">
        <f>IFERROR(__xludf.DUMMYFUNCTION("""COMPUTED_VALUE"""),80.2)</f>
        <v/>
      </c>
      <c r="AN79" s="512">
        <f>IFERROR(__xludf.DUMMYFUNCTION("""COMPUTED_VALUE"""),45974.6666666666)</f>
        <v/>
      </c>
      <c r="AO79" s="513">
        <f>IFERROR(__xludf.DUMMYFUNCTION("""COMPUTED_VALUE"""),110.88)</f>
        <v/>
      </c>
      <c r="AQ79" s="512">
        <f>IFERROR(__xludf.DUMMYFUNCTION("""COMPUTED_VALUE"""),45974.6666666666)</f>
        <v/>
      </c>
      <c r="AR79" s="513">
        <f>IFERROR(__xludf.DUMMYFUNCTION("""COMPUTED_VALUE"""),95.53)</f>
        <v/>
      </c>
      <c r="AT79" s="512">
        <f>IFERROR(__xludf.DUMMYFUNCTION("""COMPUTED_VALUE"""),45974.6666666666)</f>
        <v/>
      </c>
      <c r="AU79" s="513">
        <f>IFERROR(__xludf.DUMMYFUNCTION("""COMPUTED_VALUE"""),54.93)</f>
        <v/>
      </c>
      <c r="AW79" s="512">
        <f>IFERROR(__xludf.DUMMYFUNCTION("""COMPUTED_VALUE"""),45974.6666666666)</f>
        <v/>
      </c>
      <c r="AX79" s="513">
        <f>IFERROR(__xludf.DUMMYFUNCTION("""COMPUTED_VALUE"""),100.12)</f>
        <v/>
      </c>
      <c r="AZ79" s="512">
        <f>IFERROR(__xludf.DUMMYFUNCTION("""COMPUTED_VALUE"""),45974.6666666666)</f>
        <v/>
      </c>
      <c r="BA79" s="513">
        <f>IFERROR(__xludf.DUMMYFUNCTION("""COMPUTED_VALUE"""),110.55)</f>
        <v/>
      </c>
      <c r="BC79" s="512">
        <f>IFERROR(__xludf.DUMMYFUNCTION("""COMPUTED_VALUE"""),45974.6666666666)</f>
        <v/>
      </c>
      <c r="BD79" s="513">
        <f>IFERROR(__xludf.DUMMYFUNCTION("""COMPUTED_VALUE"""),96.6)</f>
        <v/>
      </c>
      <c r="BF79" s="512">
        <f>IFERROR(__xludf.DUMMYFUNCTION("""COMPUTED_VALUE"""),45974.6666666666)</f>
        <v/>
      </c>
      <c r="BG79" s="513">
        <f>IFERROR(__xludf.DUMMYFUNCTION("""COMPUTED_VALUE"""),82.8)</f>
        <v/>
      </c>
      <c r="BI79" s="512">
        <f>IFERROR(__xludf.DUMMYFUNCTION("""COMPUTED_VALUE"""),45974.6666666666)</f>
        <v/>
      </c>
      <c r="BJ79" s="513">
        <f>IFERROR(__xludf.DUMMYFUNCTION("""COMPUTED_VALUE"""),89.38)</f>
        <v/>
      </c>
      <c r="BL79" s="512">
        <f>IFERROR(__xludf.DUMMYFUNCTION("""COMPUTED_VALUE"""),45974.6666666666)</f>
        <v/>
      </c>
      <c r="BM79" s="513">
        <f>IFERROR(__xludf.DUMMYFUNCTION("""COMPUTED_VALUE"""),382.87)</f>
        <v/>
      </c>
      <c r="BO79" s="512">
        <f>IFERROR(__xludf.DUMMYFUNCTION("""COMPUTED_VALUE"""),45974.6666666666)</f>
        <v/>
      </c>
      <c r="BP79" s="513">
        <f>IFERROR(__xludf.DUMMYFUNCTION("""COMPUTED_VALUE"""),91.56)</f>
        <v/>
      </c>
    </row>
    <row r="80">
      <c r="A80" s="512">
        <f>IFERROR(__xludf.DUMMYFUNCTION("""COMPUTED_VALUE"""),45975.6666666666)</f>
        <v/>
      </c>
      <c r="B80" s="513">
        <f>IFERROR(__xludf.DUMMYFUNCTION("""COMPUTED_VALUE"""),671.93)</f>
        <v/>
      </c>
      <c r="D80" s="512">
        <f>IFERROR(__xludf.DUMMYFUNCTION("""COMPUTED_VALUE"""),45975.6666666666)</f>
        <v/>
      </c>
      <c r="E80" s="513">
        <f>IFERROR(__xludf.DUMMYFUNCTION("""COMPUTED_VALUE"""),89.59)</f>
        <v/>
      </c>
      <c r="G80" s="512">
        <f>IFERROR(__xludf.DUMMYFUNCTION("""COMPUTED_VALUE"""),46162.6666666666)</f>
        <v/>
      </c>
      <c r="H80" s="513">
        <f>IFERROR(__xludf.DUMMYFUNCTION("""COMPUTED_VALUE"""),70.2)</f>
        <v/>
      </c>
      <c r="J80" s="512">
        <f>IFERROR(__xludf.DUMMYFUNCTION("""COMPUTED_VALUE"""),45975.6666666666)</f>
        <v/>
      </c>
      <c r="K80" s="513">
        <f>IFERROR(__xludf.DUMMYFUNCTION("""COMPUTED_VALUE"""),83.98)</f>
        <v/>
      </c>
      <c r="M80" s="512">
        <f>IFERROR(__xludf.DUMMYFUNCTION("""COMPUTED_VALUE"""),45975.6666666666)</f>
        <v/>
      </c>
      <c r="N80" s="513">
        <f>IFERROR(__xludf.DUMMYFUNCTION("""COMPUTED_VALUE"""),237.48)</f>
        <v/>
      </c>
      <c r="P80" s="512">
        <f>IFERROR(__xludf.DUMMYFUNCTION("""COMPUTED_VALUE"""),45975.6666666666)</f>
        <v/>
      </c>
      <c r="Q80" s="513">
        <f>IFERROR(__xludf.DUMMYFUNCTION("""COMPUTED_VALUE"""),81.06)</f>
        <v/>
      </c>
      <c r="S80" s="512">
        <f>IFERROR(__xludf.DUMMYFUNCTION("""COMPUTED_VALUE"""),45245.6666666666)</f>
        <v/>
      </c>
      <c r="T80" s="513">
        <f>IFERROR(__xludf.DUMMYFUNCTION("""COMPUTED_VALUE"""),188.01)</f>
        <v/>
      </c>
      <c r="V80" s="512">
        <f>IFERROR(__xludf.DUMMYFUNCTION("""COMPUTED_VALUE"""),45975.6666666666)</f>
        <v/>
      </c>
      <c r="W80" s="513">
        <f>IFERROR(__xludf.DUMMYFUNCTION("""COMPUTED_VALUE"""),22.97)</f>
        <v/>
      </c>
      <c r="Y80" s="512">
        <f>IFERROR(__xludf.DUMMYFUNCTION("""COMPUTED_VALUE"""),45975.6666666666)</f>
        <v/>
      </c>
      <c r="Z80" s="513">
        <f>IFERROR(__xludf.DUMMYFUNCTION("""COMPUTED_VALUE"""),74.16)</f>
        <v/>
      </c>
      <c r="AB80" s="512">
        <f>IFERROR(__xludf.DUMMYFUNCTION("""COMPUTED_VALUE"""),45975.6666666666)</f>
        <v/>
      </c>
      <c r="AC80" s="513">
        <f>IFERROR(__xludf.DUMMYFUNCTION("""COMPUTED_VALUE"""),54.85)</f>
        <v/>
      </c>
      <c r="AE80" s="512">
        <f>IFERROR(__xludf.DUMMYFUNCTION("""COMPUTED_VALUE"""),45975.6666666666)</f>
        <v/>
      </c>
      <c r="AF80" s="513">
        <f>IFERROR(__xludf.DUMMYFUNCTION("""COMPUTED_VALUE"""),95.97)</f>
        <v/>
      </c>
      <c r="AH80" s="512">
        <f>IFERROR(__xludf.DUMMYFUNCTION("""COMPUTED_VALUE"""),45975.6666666666)</f>
        <v/>
      </c>
      <c r="AI80" s="513">
        <f>IFERROR(__xludf.DUMMYFUNCTION("""COMPUTED_VALUE"""),22.6)</f>
        <v/>
      </c>
      <c r="AK80" s="512">
        <f>IFERROR(__xludf.DUMMYFUNCTION("""COMPUTED_VALUE"""),45975.6666666666)</f>
        <v/>
      </c>
      <c r="AL80" s="513">
        <f>IFERROR(__xludf.DUMMYFUNCTION("""COMPUTED_VALUE"""),80.22)</f>
        <v/>
      </c>
      <c r="AN80" s="512">
        <f>IFERROR(__xludf.DUMMYFUNCTION("""COMPUTED_VALUE"""),45975.6666666666)</f>
        <v/>
      </c>
      <c r="AO80" s="513">
        <f>IFERROR(__xludf.DUMMYFUNCTION("""COMPUTED_VALUE"""),110.75)</f>
        <v/>
      </c>
      <c r="AQ80" s="512">
        <f>IFERROR(__xludf.DUMMYFUNCTION("""COMPUTED_VALUE"""),45975.6666666666)</f>
        <v/>
      </c>
      <c r="AR80" s="513">
        <f>IFERROR(__xludf.DUMMYFUNCTION("""COMPUTED_VALUE"""),95.26)</f>
        <v/>
      </c>
      <c r="AT80" s="512">
        <f>IFERROR(__xludf.DUMMYFUNCTION("""COMPUTED_VALUE"""),45975.6666666666)</f>
        <v/>
      </c>
      <c r="AU80" s="513">
        <f>IFERROR(__xludf.DUMMYFUNCTION("""COMPUTED_VALUE"""),54.96)</f>
        <v/>
      </c>
      <c r="AW80" s="512">
        <f>IFERROR(__xludf.DUMMYFUNCTION("""COMPUTED_VALUE"""),45975.6666666666)</f>
        <v/>
      </c>
      <c r="AX80" s="513">
        <f>IFERROR(__xludf.DUMMYFUNCTION("""COMPUTED_VALUE"""),100)</f>
        <v/>
      </c>
      <c r="AZ80" s="512">
        <f>IFERROR(__xludf.DUMMYFUNCTION("""COMPUTED_VALUE"""),45975.6666666666)</f>
        <v/>
      </c>
      <c r="BA80" s="513">
        <f>IFERROR(__xludf.DUMMYFUNCTION("""COMPUTED_VALUE"""),110.25)</f>
        <v/>
      </c>
      <c r="BC80" s="512">
        <f>IFERROR(__xludf.DUMMYFUNCTION("""COMPUTED_VALUE"""),45975.6666666666)</f>
        <v/>
      </c>
      <c r="BD80" s="513">
        <f>IFERROR(__xludf.DUMMYFUNCTION("""COMPUTED_VALUE"""),96.44)</f>
        <v/>
      </c>
      <c r="BF80" s="512">
        <f>IFERROR(__xludf.DUMMYFUNCTION("""COMPUTED_VALUE"""),45975.6666666666)</f>
        <v/>
      </c>
      <c r="BG80" s="513">
        <f>IFERROR(__xludf.DUMMYFUNCTION("""COMPUTED_VALUE"""),82.83)</f>
        <v/>
      </c>
      <c r="BI80" s="512">
        <f>IFERROR(__xludf.DUMMYFUNCTION("""COMPUTED_VALUE"""),45975.6666666666)</f>
        <v/>
      </c>
      <c r="BJ80" s="513">
        <f>IFERROR(__xludf.DUMMYFUNCTION("""COMPUTED_VALUE"""),88.87)</f>
        <v/>
      </c>
      <c r="BL80" s="512">
        <f>IFERROR(__xludf.DUMMYFUNCTION("""COMPUTED_VALUE"""),45975.6666666666)</f>
        <v/>
      </c>
      <c r="BM80" s="513">
        <f>IFERROR(__xludf.DUMMYFUNCTION("""COMPUTED_VALUE"""),375.96)</f>
        <v/>
      </c>
      <c r="BO80" s="512">
        <f>IFERROR(__xludf.DUMMYFUNCTION("""COMPUTED_VALUE"""),45975.6666666666)</f>
        <v/>
      </c>
      <c r="BP80" s="513">
        <f>IFERROR(__xludf.DUMMYFUNCTION("""COMPUTED_VALUE"""),91.6)</f>
        <v/>
      </c>
    </row>
    <row r="81">
      <c r="A81" s="512">
        <f>IFERROR(__xludf.DUMMYFUNCTION("""COMPUTED_VALUE"""),45978.6666666666)</f>
        <v/>
      </c>
      <c r="B81" s="513">
        <f>IFERROR(__xludf.DUMMYFUNCTION("""COMPUTED_VALUE"""),665.67)</f>
        <v/>
      </c>
      <c r="D81" s="512">
        <f>IFERROR(__xludf.DUMMYFUNCTION("""COMPUTED_VALUE"""),45978.6666666666)</f>
        <v/>
      </c>
      <c r="E81" s="513">
        <f>IFERROR(__xludf.DUMMYFUNCTION("""COMPUTED_VALUE"""),88.85)</f>
        <v/>
      </c>
      <c r="G81" s="512">
        <f>IFERROR(__xludf.DUMMYFUNCTION("""COMPUTED_VALUE"""),46163.6666666666)</f>
        <v/>
      </c>
      <c r="H81" s="513">
        <f>IFERROR(__xludf.DUMMYFUNCTION("""COMPUTED_VALUE"""),70.69)</f>
        <v/>
      </c>
      <c r="J81" s="512">
        <f>IFERROR(__xludf.DUMMYFUNCTION("""COMPUTED_VALUE"""),45978.6666666666)</f>
        <v/>
      </c>
      <c r="K81" s="513">
        <f>IFERROR(__xludf.DUMMYFUNCTION("""COMPUTED_VALUE"""),82.47)</f>
        <v/>
      </c>
      <c r="M81" s="512">
        <f>IFERROR(__xludf.DUMMYFUNCTION("""COMPUTED_VALUE"""),45978.6666666666)</f>
        <v/>
      </c>
      <c r="N81" s="513">
        <f>IFERROR(__xludf.DUMMYFUNCTION("""COMPUTED_VALUE"""),232.76)</f>
        <v/>
      </c>
      <c r="P81" s="512">
        <f>IFERROR(__xludf.DUMMYFUNCTION("""COMPUTED_VALUE"""),45978.6666666666)</f>
        <v/>
      </c>
      <c r="Q81" s="513">
        <f>IFERROR(__xludf.DUMMYFUNCTION("""COMPUTED_VALUE"""),80.07)</f>
        <v/>
      </c>
      <c r="S81" s="512">
        <f>IFERROR(__xludf.DUMMYFUNCTION("""COMPUTED_VALUE"""),45246.6666666666)</f>
        <v/>
      </c>
      <c r="T81" s="513">
        <f>IFERROR(__xludf.DUMMYFUNCTION("""COMPUTED_VALUE"""),189.71)</f>
        <v/>
      </c>
      <c r="V81" s="512">
        <f>IFERROR(__xludf.DUMMYFUNCTION("""COMPUTED_VALUE"""),45978.6666666666)</f>
        <v/>
      </c>
      <c r="W81" s="513">
        <f>IFERROR(__xludf.DUMMYFUNCTION("""COMPUTED_VALUE"""),22.94)</f>
        <v/>
      </c>
      <c r="Y81" s="512">
        <f>IFERROR(__xludf.DUMMYFUNCTION("""COMPUTED_VALUE"""),45978.6666666666)</f>
        <v/>
      </c>
      <c r="Z81" s="513">
        <f>IFERROR(__xludf.DUMMYFUNCTION("""COMPUTED_VALUE"""),74.2)</f>
        <v/>
      </c>
      <c r="AB81" s="512">
        <f>IFERROR(__xludf.DUMMYFUNCTION("""COMPUTED_VALUE"""),45978.6666666666)</f>
        <v/>
      </c>
      <c r="AC81" s="513">
        <f>IFERROR(__xludf.DUMMYFUNCTION("""COMPUTED_VALUE"""),54.22)</f>
        <v/>
      </c>
      <c r="AE81" s="512">
        <f>IFERROR(__xludf.DUMMYFUNCTION("""COMPUTED_VALUE"""),45978.6666666666)</f>
        <v/>
      </c>
      <c r="AF81" s="513">
        <f>IFERROR(__xludf.DUMMYFUNCTION("""COMPUTED_VALUE"""),95.99)</f>
        <v/>
      </c>
      <c r="AH81" s="512">
        <f>IFERROR(__xludf.DUMMYFUNCTION("""COMPUTED_VALUE"""),45978.6666666666)</f>
        <v/>
      </c>
      <c r="AI81" s="513">
        <f>IFERROR(__xludf.DUMMYFUNCTION("""COMPUTED_VALUE"""),22.58)</f>
        <v/>
      </c>
      <c r="AK81" s="512">
        <f>IFERROR(__xludf.DUMMYFUNCTION("""COMPUTED_VALUE"""),45978.6666666666)</f>
        <v/>
      </c>
      <c r="AL81" s="513">
        <f>IFERROR(__xludf.DUMMYFUNCTION("""COMPUTED_VALUE"""),80.09)</f>
        <v/>
      </c>
      <c r="AN81" s="512">
        <f>IFERROR(__xludf.DUMMYFUNCTION("""COMPUTED_VALUE"""),45978.6666666666)</f>
        <v/>
      </c>
      <c r="AO81" s="513">
        <f>IFERROR(__xludf.DUMMYFUNCTION("""COMPUTED_VALUE"""),110.77)</f>
        <v/>
      </c>
      <c r="AQ81" s="512">
        <f>IFERROR(__xludf.DUMMYFUNCTION("""COMPUTED_VALUE"""),45978.6666666666)</f>
        <v/>
      </c>
      <c r="AR81" s="513">
        <f>IFERROR(__xludf.DUMMYFUNCTION("""COMPUTED_VALUE"""),94.02)</f>
        <v/>
      </c>
      <c r="AT81" s="512">
        <f>IFERROR(__xludf.DUMMYFUNCTION("""COMPUTED_VALUE"""),45978.6666666666)</f>
        <v/>
      </c>
      <c r="AU81" s="513">
        <f>IFERROR(__xludf.DUMMYFUNCTION("""COMPUTED_VALUE"""),54.31)</f>
        <v/>
      </c>
      <c r="AW81" s="512">
        <f>IFERROR(__xludf.DUMMYFUNCTION("""COMPUTED_VALUE"""),45978.6666666666)</f>
        <v/>
      </c>
      <c r="AX81" s="513">
        <f>IFERROR(__xludf.DUMMYFUNCTION("""COMPUTED_VALUE"""),100.02)</f>
        <v/>
      </c>
      <c r="AZ81" s="512">
        <f>IFERROR(__xludf.DUMMYFUNCTION("""COMPUTED_VALUE"""),45978.6666666666)</f>
        <v/>
      </c>
      <c r="BA81" s="513">
        <f>IFERROR(__xludf.DUMMYFUNCTION("""COMPUTED_VALUE"""),110.32)</f>
        <v/>
      </c>
      <c r="BC81" s="512">
        <f>IFERROR(__xludf.DUMMYFUNCTION("""COMPUTED_VALUE"""),45978.6666666666)</f>
        <v/>
      </c>
      <c r="BD81" s="513">
        <f>IFERROR(__xludf.DUMMYFUNCTION("""COMPUTED_VALUE"""),96.55)</f>
        <v/>
      </c>
      <c r="BF81" s="512">
        <f>IFERROR(__xludf.DUMMYFUNCTION("""COMPUTED_VALUE"""),45978.6666666666)</f>
        <v/>
      </c>
      <c r="BG81" s="513">
        <f>IFERROR(__xludf.DUMMYFUNCTION("""COMPUTED_VALUE"""),82.82)</f>
        <v/>
      </c>
      <c r="BI81" s="512">
        <f>IFERROR(__xludf.DUMMYFUNCTION("""COMPUTED_VALUE"""),45978.6666666666)</f>
        <v/>
      </c>
      <c r="BJ81" s="513">
        <f>IFERROR(__xludf.DUMMYFUNCTION("""COMPUTED_VALUE"""),89.09)</f>
        <v/>
      </c>
      <c r="BL81" s="512">
        <f>IFERROR(__xludf.DUMMYFUNCTION("""COMPUTED_VALUE"""),45978.6666666666)</f>
        <v/>
      </c>
      <c r="BM81" s="513">
        <f>IFERROR(__xludf.DUMMYFUNCTION("""COMPUTED_VALUE"""),371.65)</f>
        <v/>
      </c>
      <c r="BO81" s="512">
        <f>IFERROR(__xludf.DUMMYFUNCTION("""COMPUTED_VALUE"""),45978.6666666666)</f>
        <v/>
      </c>
      <c r="BP81" s="513">
        <f>IFERROR(__xludf.DUMMYFUNCTION("""COMPUTED_VALUE"""),91.6)</f>
        <v/>
      </c>
    </row>
    <row r="82">
      <c r="A82" s="512">
        <f>IFERROR(__xludf.DUMMYFUNCTION("""COMPUTED_VALUE"""),45979.6666666666)</f>
        <v/>
      </c>
      <c r="B82" s="513">
        <f>IFERROR(__xludf.DUMMYFUNCTION("""COMPUTED_VALUE"""),660.08)</f>
        <v/>
      </c>
      <c r="D82" s="512">
        <f>IFERROR(__xludf.DUMMYFUNCTION("""COMPUTED_VALUE"""),45979.6666666666)</f>
        <v/>
      </c>
      <c r="E82" s="513">
        <f>IFERROR(__xludf.DUMMYFUNCTION("""COMPUTED_VALUE"""),89.21)</f>
        <v/>
      </c>
      <c r="G82" s="512">
        <f>IFERROR(__xludf.DUMMYFUNCTION("""COMPUTED_VALUE"""),46164.6666666666)</f>
        <v/>
      </c>
      <c r="H82" s="513">
        <f>IFERROR(__xludf.DUMMYFUNCTION("""COMPUTED_VALUE"""),70.46)</f>
        <v/>
      </c>
      <c r="J82" s="512">
        <f>IFERROR(__xludf.DUMMYFUNCTION("""COMPUTED_VALUE"""),45979.6666666666)</f>
        <v/>
      </c>
      <c r="K82" s="513">
        <f>IFERROR(__xludf.DUMMYFUNCTION("""COMPUTED_VALUE"""),80.78)</f>
        <v/>
      </c>
      <c r="M82" s="512">
        <f>IFERROR(__xludf.DUMMYFUNCTION("""COMPUTED_VALUE"""),45979.6666666666)</f>
        <v/>
      </c>
      <c r="N82" s="513">
        <f>IFERROR(__xludf.DUMMYFUNCTION("""COMPUTED_VALUE"""),233.47)</f>
        <v/>
      </c>
      <c r="P82" s="512">
        <f>IFERROR(__xludf.DUMMYFUNCTION("""COMPUTED_VALUE"""),45979.6666666666)</f>
        <v/>
      </c>
      <c r="Q82" s="513">
        <f>IFERROR(__xludf.DUMMYFUNCTION("""COMPUTED_VALUE"""),79.29)</f>
        <v/>
      </c>
      <c r="S82" s="512">
        <f>IFERROR(__xludf.DUMMYFUNCTION("""COMPUTED_VALUE"""),45247.6666666666)</f>
        <v/>
      </c>
      <c r="T82" s="513">
        <f>IFERROR(__xludf.DUMMYFUNCTION("""COMPUTED_VALUE"""),189.69)</f>
        <v/>
      </c>
      <c r="V82" s="512">
        <f>IFERROR(__xludf.DUMMYFUNCTION("""COMPUTED_VALUE"""),45979.6666666666)</f>
        <v/>
      </c>
      <c r="W82" s="513">
        <f>IFERROR(__xludf.DUMMYFUNCTION("""COMPUTED_VALUE"""),23.13)</f>
        <v/>
      </c>
      <c r="Y82" s="512">
        <f>IFERROR(__xludf.DUMMYFUNCTION("""COMPUTED_VALUE"""),45979.6666666666)</f>
        <v/>
      </c>
      <c r="Z82" s="513">
        <f>IFERROR(__xludf.DUMMYFUNCTION("""COMPUTED_VALUE"""),74.26)</f>
        <v/>
      </c>
      <c r="AB82" s="512">
        <f>IFERROR(__xludf.DUMMYFUNCTION("""COMPUTED_VALUE"""),45979.6666666666)</f>
        <v/>
      </c>
      <c r="AC82" s="513">
        <f>IFERROR(__xludf.DUMMYFUNCTION("""COMPUTED_VALUE"""),54.04)</f>
        <v/>
      </c>
      <c r="AE82" s="512">
        <f>IFERROR(__xludf.DUMMYFUNCTION("""COMPUTED_VALUE"""),45979.6666666666)</f>
        <v/>
      </c>
      <c r="AF82" s="513">
        <f>IFERROR(__xludf.DUMMYFUNCTION("""COMPUTED_VALUE"""),95.96)</f>
        <v/>
      </c>
      <c r="AH82" s="512">
        <f>IFERROR(__xludf.DUMMYFUNCTION("""COMPUTED_VALUE"""),45979.6666666666)</f>
        <v/>
      </c>
      <c r="AI82" s="513">
        <f>IFERROR(__xludf.DUMMYFUNCTION("""COMPUTED_VALUE"""),22.5)</f>
        <v/>
      </c>
      <c r="AK82" s="512">
        <f>IFERROR(__xludf.DUMMYFUNCTION("""COMPUTED_VALUE"""),45979.6666666666)</f>
        <v/>
      </c>
      <c r="AL82" s="513">
        <f>IFERROR(__xludf.DUMMYFUNCTION("""COMPUTED_VALUE"""),80.11)</f>
        <v/>
      </c>
      <c r="AN82" s="512">
        <f>IFERROR(__xludf.DUMMYFUNCTION("""COMPUTED_VALUE"""),45979.6666666666)</f>
        <v/>
      </c>
      <c r="AO82" s="513">
        <f>IFERROR(__xludf.DUMMYFUNCTION("""COMPUTED_VALUE"""),110.85)</f>
        <v/>
      </c>
      <c r="AQ82" s="512">
        <f>IFERROR(__xludf.DUMMYFUNCTION("""COMPUTED_VALUE"""),45979.6666666666)</f>
        <v/>
      </c>
      <c r="AR82" s="513">
        <f>IFERROR(__xludf.DUMMYFUNCTION("""COMPUTED_VALUE"""),92.8)</f>
        <v/>
      </c>
      <c r="AT82" s="512">
        <f>IFERROR(__xludf.DUMMYFUNCTION("""COMPUTED_VALUE"""),45979.6666666666)</f>
        <v/>
      </c>
      <c r="AU82" s="513">
        <f>IFERROR(__xludf.DUMMYFUNCTION("""COMPUTED_VALUE"""),54.04)</f>
        <v/>
      </c>
      <c r="AW82" s="512">
        <f>IFERROR(__xludf.DUMMYFUNCTION("""COMPUTED_VALUE"""),45979.6666666666)</f>
        <v/>
      </c>
      <c r="AX82" s="513">
        <f>IFERROR(__xludf.DUMMYFUNCTION("""COMPUTED_VALUE"""),100.08)</f>
        <v/>
      </c>
      <c r="AZ82" s="512">
        <f>IFERROR(__xludf.DUMMYFUNCTION("""COMPUTED_VALUE"""),45979.6666666666)</f>
        <v/>
      </c>
      <c r="BA82" s="513">
        <f>IFERROR(__xludf.DUMMYFUNCTION("""COMPUTED_VALUE"""),110.37)</f>
        <v/>
      </c>
      <c r="BC82" s="512">
        <f>IFERROR(__xludf.DUMMYFUNCTION("""COMPUTED_VALUE"""),45979.6666666666)</f>
        <v/>
      </c>
      <c r="BD82" s="513">
        <f>IFERROR(__xludf.DUMMYFUNCTION("""COMPUTED_VALUE"""),96.71)</f>
        <v/>
      </c>
      <c r="BF82" s="512">
        <f>IFERROR(__xludf.DUMMYFUNCTION("""COMPUTED_VALUE"""),45979.6666666666)</f>
        <v/>
      </c>
      <c r="BG82" s="513">
        <f>IFERROR(__xludf.DUMMYFUNCTION("""COMPUTED_VALUE"""),82.87)</f>
        <v/>
      </c>
      <c r="BI82" s="512">
        <f>IFERROR(__xludf.DUMMYFUNCTION("""COMPUTED_VALUE"""),45979.6666666666)</f>
        <v/>
      </c>
      <c r="BJ82" s="513">
        <f>IFERROR(__xludf.DUMMYFUNCTION("""COMPUTED_VALUE"""),89.06)</f>
        <v/>
      </c>
      <c r="BL82" s="512">
        <f>IFERROR(__xludf.DUMMYFUNCTION("""COMPUTED_VALUE"""),45979.6666666666)</f>
        <v/>
      </c>
      <c r="BM82" s="513">
        <f>IFERROR(__xludf.DUMMYFUNCTION("""COMPUTED_VALUE"""),374.35)</f>
        <v/>
      </c>
      <c r="BO82" s="512">
        <f>IFERROR(__xludf.DUMMYFUNCTION("""COMPUTED_VALUE"""),45979.6666666666)</f>
        <v/>
      </c>
      <c r="BP82" s="513">
        <f>IFERROR(__xludf.DUMMYFUNCTION("""COMPUTED_VALUE"""),91.62)</f>
        <v/>
      </c>
    </row>
    <row r="83">
      <c r="A83" s="512">
        <f>IFERROR(__xludf.DUMMYFUNCTION("""COMPUTED_VALUE"""),45980.6666666666)</f>
        <v/>
      </c>
      <c r="B83" s="513">
        <f>IFERROR(__xludf.DUMMYFUNCTION("""COMPUTED_VALUE"""),662.63)</f>
        <v/>
      </c>
      <c r="D83" s="512">
        <f>IFERROR(__xludf.DUMMYFUNCTION("""COMPUTED_VALUE"""),45980.6666666666)</f>
        <v/>
      </c>
      <c r="E83" s="513">
        <f>IFERROR(__xludf.DUMMYFUNCTION("""COMPUTED_VALUE"""),88.51)</f>
        <v/>
      </c>
      <c r="G83" s="512">
        <f>IFERROR(__xludf.DUMMYFUNCTION("""COMPUTED_VALUE"""),46168.6666666666)</f>
        <v/>
      </c>
      <c r="H83" s="513">
        <f>IFERROR(__xludf.DUMMYFUNCTION("""COMPUTED_VALUE"""),71.78)</f>
        <v/>
      </c>
      <c r="J83" s="512">
        <f>IFERROR(__xludf.DUMMYFUNCTION("""COMPUTED_VALUE"""),45980.6666666666)</f>
        <v/>
      </c>
      <c r="K83" s="513">
        <f>IFERROR(__xludf.DUMMYFUNCTION("""COMPUTED_VALUE"""),80.68)</f>
        <v/>
      </c>
      <c r="M83" s="512">
        <f>IFERROR(__xludf.DUMMYFUNCTION("""COMPUTED_VALUE"""),45980.6666666666)</f>
        <v/>
      </c>
      <c r="N83" s="513">
        <f>IFERROR(__xludf.DUMMYFUNCTION("""COMPUTED_VALUE"""),233.43)</f>
        <v/>
      </c>
      <c r="P83" s="512">
        <f>IFERROR(__xludf.DUMMYFUNCTION("""COMPUTED_VALUE"""),45980.6666666666)</f>
        <v/>
      </c>
      <c r="Q83" s="513">
        <f>IFERROR(__xludf.DUMMYFUNCTION("""COMPUTED_VALUE"""),78.98)</f>
        <v/>
      </c>
      <c r="S83" s="512">
        <f>IFERROR(__xludf.DUMMYFUNCTION("""COMPUTED_VALUE"""),45250.6666666666)</f>
        <v/>
      </c>
      <c r="T83" s="513">
        <f>IFERROR(__xludf.DUMMYFUNCTION("""COMPUTED_VALUE"""),191.45)</f>
        <v/>
      </c>
      <c r="V83" s="512">
        <f>IFERROR(__xludf.DUMMYFUNCTION("""COMPUTED_VALUE"""),45980.6666666666)</f>
        <v/>
      </c>
      <c r="W83" s="513">
        <f>IFERROR(__xludf.DUMMYFUNCTION("""COMPUTED_VALUE"""),22.9)</f>
        <v/>
      </c>
      <c r="Y83" s="512">
        <f>IFERROR(__xludf.DUMMYFUNCTION("""COMPUTED_VALUE"""),45980.6666666666)</f>
        <v/>
      </c>
      <c r="Z83" s="513">
        <f>IFERROR(__xludf.DUMMYFUNCTION("""COMPUTED_VALUE"""),74.23)</f>
        <v/>
      </c>
      <c r="AB83" s="512">
        <f>IFERROR(__xludf.DUMMYFUNCTION("""COMPUTED_VALUE"""),45980.6666666666)</f>
        <v/>
      </c>
      <c r="AC83" s="513">
        <f>IFERROR(__xludf.DUMMYFUNCTION("""COMPUTED_VALUE"""),53.92)</f>
        <v/>
      </c>
      <c r="AE83" s="512">
        <f>IFERROR(__xludf.DUMMYFUNCTION("""COMPUTED_VALUE"""),45980.6666666666)</f>
        <v/>
      </c>
      <c r="AF83" s="513">
        <f>IFERROR(__xludf.DUMMYFUNCTION("""COMPUTED_VALUE"""),96.12)</f>
        <v/>
      </c>
      <c r="AH83" s="512">
        <f>IFERROR(__xludf.DUMMYFUNCTION("""COMPUTED_VALUE"""),45980.6666666666)</f>
        <v/>
      </c>
      <c r="AI83" s="513">
        <f>IFERROR(__xludf.DUMMYFUNCTION("""COMPUTED_VALUE"""),22.37)</f>
        <v/>
      </c>
      <c r="AK83" s="512">
        <f>IFERROR(__xludf.DUMMYFUNCTION("""COMPUTED_VALUE"""),45980.6666666666)</f>
        <v/>
      </c>
      <c r="AL83" s="513">
        <f>IFERROR(__xludf.DUMMYFUNCTION("""COMPUTED_VALUE"""),80.15)</f>
        <v/>
      </c>
      <c r="AN83" s="512">
        <f>IFERROR(__xludf.DUMMYFUNCTION("""COMPUTED_VALUE"""),45980.6666666666)</f>
        <v/>
      </c>
      <c r="AO83" s="513">
        <f>IFERROR(__xludf.DUMMYFUNCTION("""COMPUTED_VALUE"""),110.71)</f>
        <v/>
      </c>
      <c r="AQ83" s="512">
        <f>IFERROR(__xludf.DUMMYFUNCTION("""COMPUTED_VALUE"""),45980.6666666666)</f>
        <v/>
      </c>
      <c r="AR83" s="513">
        <f>IFERROR(__xludf.DUMMYFUNCTION("""COMPUTED_VALUE"""),92.52)</f>
        <v/>
      </c>
      <c r="AT83" s="512">
        <f>IFERROR(__xludf.DUMMYFUNCTION("""COMPUTED_VALUE"""),45980.6666666666)</f>
        <v/>
      </c>
      <c r="AU83" s="513">
        <f>IFERROR(__xludf.DUMMYFUNCTION("""COMPUTED_VALUE"""),53.85)</f>
        <v/>
      </c>
      <c r="AW83" s="512">
        <f>IFERROR(__xludf.DUMMYFUNCTION("""COMPUTED_VALUE"""),45980.6666666666)</f>
        <v/>
      </c>
      <c r="AX83" s="513">
        <f>IFERROR(__xludf.DUMMYFUNCTION("""COMPUTED_VALUE"""),100.08)</f>
        <v/>
      </c>
      <c r="AZ83" s="512">
        <f>IFERROR(__xludf.DUMMYFUNCTION("""COMPUTED_VALUE"""),45980.6666666666)</f>
        <v/>
      </c>
      <c r="BA83" s="513">
        <f>IFERROR(__xludf.DUMMYFUNCTION("""COMPUTED_VALUE"""),110.38)</f>
        <v/>
      </c>
      <c r="BC83" s="512">
        <f>IFERROR(__xludf.DUMMYFUNCTION("""COMPUTED_VALUE"""),45980.6666666666)</f>
        <v/>
      </c>
      <c r="BD83" s="513">
        <f>IFERROR(__xludf.DUMMYFUNCTION("""COMPUTED_VALUE"""),96.64)</f>
        <v/>
      </c>
      <c r="BF83" s="512">
        <f>IFERROR(__xludf.DUMMYFUNCTION("""COMPUTED_VALUE"""),45980.6666666666)</f>
        <v/>
      </c>
      <c r="BG83" s="513">
        <f>IFERROR(__xludf.DUMMYFUNCTION("""COMPUTED_VALUE"""),82.86)</f>
        <v/>
      </c>
      <c r="BI83" s="512">
        <f>IFERROR(__xludf.DUMMYFUNCTION("""COMPUTED_VALUE"""),45980.6666666666)</f>
        <v/>
      </c>
      <c r="BJ83" s="513">
        <f>IFERROR(__xludf.DUMMYFUNCTION("""COMPUTED_VALUE"""),88.88)</f>
        <v/>
      </c>
      <c r="BL83" s="512">
        <f>IFERROR(__xludf.DUMMYFUNCTION("""COMPUTED_VALUE"""),45980.6666666666)</f>
        <v/>
      </c>
      <c r="BM83" s="513">
        <f>IFERROR(__xludf.DUMMYFUNCTION("""COMPUTED_VALUE"""),374.96)</f>
        <v/>
      </c>
      <c r="BO83" s="512">
        <f>IFERROR(__xludf.DUMMYFUNCTION("""COMPUTED_VALUE"""),45980.6666666666)</f>
        <v/>
      </c>
      <c r="BP83" s="513">
        <f>IFERROR(__xludf.DUMMYFUNCTION("""COMPUTED_VALUE"""),91.62)</f>
        <v/>
      </c>
    </row>
    <row r="84">
      <c r="A84" s="512">
        <f>IFERROR(__xludf.DUMMYFUNCTION("""COMPUTED_VALUE"""),45981.6666666666)</f>
        <v/>
      </c>
      <c r="B84" s="513">
        <f>IFERROR(__xludf.DUMMYFUNCTION("""COMPUTED_VALUE"""),652.53)</f>
        <v/>
      </c>
      <c r="D84" s="512">
        <f>IFERROR(__xludf.DUMMYFUNCTION("""COMPUTED_VALUE"""),45981.6666666666)</f>
        <v/>
      </c>
      <c r="E84" s="513">
        <f>IFERROR(__xludf.DUMMYFUNCTION("""COMPUTED_VALUE"""),88.14)</f>
        <v/>
      </c>
      <c r="G84" s="512">
        <f>IFERROR(__xludf.DUMMYFUNCTION("""COMPUTED_VALUE"""),46169.6666666666)</f>
        <v/>
      </c>
      <c r="H84" s="513">
        <f>IFERROR(__xludf.DUMMYFUNCTION("""COMPUTED_VALUE"""),71.41)</f>
        <v/>
      </c>
      <c r="J84" s="512">
        <f>IFERROR(__xludf.DUMMYFUNCTION("""COMPUTED_VALUE"""),45981.6666666666)</f>
        <v/>
      </c>
      <c r="K84" s="513">
        <f>IFERROR(__xludf.DUMMYFUNCTION("""COMPUTED_VALUE"""),79.49)</f>
        <v/>
      </c>
      <c r="M84" s="512">
        <f>IFERROR(__xludf.DUMMYFUNCTION("""COMPUTED_VALUE"""),45981.6666666666)</f>
        <v/>
      </c>
      <c r="N84" s="513">
        <f>IFERROR(__xludf.DUMMYFUNCTION("""COMPUTED_VALUE"""),229.11)</f>
        <v/>
      </c>
      <c r="P84" s="512">
        <f>IFERROR(__xludf.DUMMYFUNCTION("""COMPUTED_VALUE"""),45981.6666666666)</f>
        <v/>
      </c>
      <c r="Q84" s="513">
        <f>IFERROR(__xludf.DUMMYFUNCTION("""COMPUTED_VALUE"""),77.9)</f>
        <v/>
      </c>
      <c r="S84" s="512">
        <f>IFERROR(__xludf.DUMMYFUNCTION("""COMPUTED_VALUE"""),45251.6666666666)</f>
        <v/>
      </c>
      <c r="T84" s="513">
        <f>IFERROR(__xludf.DUMMYFUNCTION("""COMPUTED_VALUE"""),190.64)</f>
        <v/>
      </c>
      <c r="V84" s="512">
        <f>IFERROR(__xludf.DUMMYFUNCTION("""COMPUTED_VALUE"""),45981.6666666666)</f>
        <v/>
      </c>
      <c r="W84" s="513">
        <f>IFERROR(__xludf.DUMMYFUNCTION("""COMPUTED_VALUE"""),22.68)</f>
        <v/>
      </c>
      <c r="Y84" s="512">
        <f>IFERROR(__xludf.DUMMYFUNCTION("""COMPUTED_VALUE"""),45981.6666666666)</f>
        <v/>
      </c>
      <c r="Z84" s="513">
        <f>IFERROR(__xludf.DUMMYFUNCTION("""COMPUTED_VALUE"""),74.34)</f>
        <v/>
      </c>
      <c r="AB84" s="512">
        <f>IFERROR(__xludf.DUMMYFUNCTION("""COMPUTED_VALUE"""),45981.6666666666)</f>
        <v/>
      </c>
      <c r="AC84" s="513">
        <f>IFERROR(__xludf.DUMMYFUNCTION("""COMPUTED_VALUE"""),53.28)</f>
        <v/>
      </c>
      <c r="AE84" s="512">
        <f>IFERROR(__xludf.DUMMYFUNCTION("""COMPUTED_VALUE"""),45981.6666666666)</f>
        <v/>
      </c>
      <c r="AF84" s="513">
        <f>IFERROR(__xludf.DUMMYFUNCTION("""COMPUTED_VALUE"""),95.89)</f>
        <v/>
      </c>
      <c r="AH84" s="512">
        <f>IFERROR(__xludf.DUMMYFUNCTION("""COMPUTED_VALUE"""),45981.6666666666)</f>
        <v/>
      </c>
      <c r="AI84" s="513">
        <f>IFERROR(__xludf.DUMMYFUNCTION("""COMPUTED_VALUE"""),22.32)</f>
        <v/>
      </c>
      <c r="AK84" s="512">
        <f>IFERROR(__xludf.DUMMYFUNCTION("""COMPUTED_VALUE"""),45981.6666666666)</f>
        <v/>
      </c>
      <c r="AL84" s="513">
        <f>IFERROR(__xludf.DUMMYFUNCTION("""COMPUTED_VALUE"""),80.1)</f>
        <v/>
      </c>
      <c r="AN84" s="512">
        <f>IFERROR(__xludf.DUMMYFUNCTION("""COMPUTED_VALUE"""),45981.6666666666)</f>
        <v/>
      </c>
      <c r="AO84" s="513">
        <f>IFERROR(__xludf.DUMMYFUNCTION("""COMPUTED_VALUE"""),110.76)</f>
        <v/>
      </c>
      <c r="AQ84" s="512">
        <f>IFERROR(__xludf.DUMMYFUNCTION("""COMPUTED_VALUE"""),45981.6666666666)</f>
        <v/>
      </c>
      <c r="AR84" s="513">
        <f>IFERROR(__xludf.DUMMYFUNCTION("""COMPUTED_VALUE"""),91.24)</f>
        <v/>
      </c>
      <c r="AT84" s="512">
        <f>IFERROR(__xludf.DUMMYFUNCTION("""COMPUTED_VALUE"""),45981.6666666666)</f>
        <v/>
      </c>
      <c r="AU84" s="513">
        <f>IFERROR(__xludf.DUMMYFUNCTION("""COMPUTED_VALUE"""),53.11)</f>
        <v/>
      </c>
      <c r="AW84" s="512">
        <f>IFERROR(__xludf.DUMMYFUNCTION("""COMPUTED_VALUE"""),45981.6666666666)</f>
        <v/>
      </c>
      <c r="AX84" s="513">
        <f>IFERROR(__xludf.DUMMYFUNCTION("""COMPUTED_VALUE"""),100.2)</f>
        <v/>
      </c>
      <c r="AZ84" s="512">
        <f>IFERROR(__xludf.DUMMYFUNCTION("""COMPUTED_VALUE"""),45981.6666666666)</f>
        <v/>
      </c>
      <c r="BA84" s="513">
        <f>IFERROR(__xludf.DUMMYFUNCTION("""COMPUTED_VALUE"""),110.53)</f>
        <v/>
      </c>
      <c r="BC84" s="512">
        <f>IFERROR(__xludf.DUMMYFUNCTION("""COMPUTED_VALUE"""),45981.6666666666)</f>
        <v/>
      </c>
      <c r="BD84" s="513">
        <f>IFERROR(__xludf.DUMMYFUNCTION("""COMPUTED_VALUE"""),96.87)</f>
        <v/>
      </c>
      <c r="BF84" s="512">
        <f>IFERROR(__xludf.DUMMYFUNCTION("""COMPUTED_VALUE"""),45981.6666666666)</f>
        <v/>
      </c>
      <c r="BG84" s="513">
        <f>IFERROR(__xludf.DUMMYFUNCTION("""COMPUTED_VALUE"""),82.93)</f>
        <v/>
      </c>
      <c r="BI84" s="512">
        <f>IFERROR(__xludf.DUMMYFUNCTION("""COMPUTED_VALUE"""),45981.6666666666)</f>
        <v/>
      </c>
      <c r="BJ84" s="513">
        <f>IFERROR(__xludf.DUMMYFUNCTION("""COMPUTED_VALUE"""),89.23)</f>
        <v/>
      </c>
      <c r="BL84" s="512">
        <f>IFERROR(__xludf.DUMMYFUNCTION("""COMPUTED_VALUE"""),45981.6666666666)</f>
        <v/>
      </c>
      <c r="BM84" s="513">
        <f>IFERROR(__xludf.DUMMYFUNCTION("""COMPUTED_VALUE"""),374.85)</f>
        <v/>
      </c>
      <c r="BO84" s="512">
        <f>IFERROR(__xludf.DUMMYFUNCTION("""COMPUTED_VALUE"""),45981.6666666666)</f>
        <v/>
      </c>
      <c r="BP84" s="513">
        <f>IFERROR(__xludf.DUMMYFUNCTION("""COMPUTED_VALUE"""),91.64)</f>
        <v/>
      </c>
    </row>
    <row r="85">
      <c r="A85" s="512">
        <f>IFERROR(__xludf.DUMMYFUNCTION("""COMPUTED_VALUE"""),45982.6666666666)</f>
        <v/>
      </c>
      <c r="B85" s="513">
        <f>IFERROR(__xludf.DUMMYFUNCTION("""COMPUTED_VALUE"""),659.03)</f>
        <v/>
      </c>
      <c r="D85" s="512">
        <f>IFERROR(__xludf.DUMMYFUNCTION("""COMPUTED_VALUE"""),45982.6666666666)</f>
        <v/>
      </c>
      <c r="E85" s="513">
        <f>IFERROR(__xludf.DUMMYFUNCTION("""COMPUTED_VALUE"""),89.57)</f>
        <v/>
      </c>
      <c r="G85" s="512">
        <f>IFERROR(__xludf.DUMMYFUNCTION("""COMPUTED_VALUE"""),46170.6666666666)</f>
        <v/>
      </c>
      <c r="H85" s="513">
        <f>IFERROR(__xludf.DUMMYFUNCTION("""COMPUTED_VALUE"""),71.66)</f>
        <v/>
      </c>
      <c r="J85" s="512">
        <f>IFERROR(__xludf.DUMMYFUNCTION("""COMPUTED_VALUE"""),45982.6666666666)</f>
        <v/>
      </c>
      <c r="K85" s="513">
        <f>IFERROR(__xludf.DUMMYFUNCTION("""COMPUTED_VALUE"""),81.19)</f>
        <v/>
      </c>
      <c r="M85" s="512">
        <f>IFERROR(__xludf.DUMMYFUNCTION("""COMPUTED_VALUE"""),45982.6666666666)</f>
        <v/>
      </c>
      <c r="N85" s="513">
        <f>IFERROR(__xludf.DUMMYFUNCTION("""COMPUTED_VALUE"""),235.6)</f>
        <v/>
      </c>
      <c r="P85" s="512">
        <f>IFERROR(__xludf.DUMMYFUNCTION("""COMPUTED_VALUE"""),45982.6666666666)</f>
        <v/>
      </c>
      <c r="Q85" s="513">
        <f>IFERROR(__xludf.DUMMYFUNCTION("""COMPUTED_VALUE"""),79.09)</f>
        <v/>
      </c>
      <c r="S85" s="512">
        <f>IFERROR(__xludf.DUMMYFUNCTION("""COMPUTED_VALUE"""),45252.6666666666)</f>
        <v/>
      </c>
      <c r="T85" s="513">
        <f>IFERROR(__xludf.DUMMYFUNCTION("""COMPUTED_VALUE"""),191.31)</f>
        <v/>
      </c>
      <c r="V85" s="512">
        <f>IFERROR(__xludf.DUMMYFUNCTION("""COMPUTED_VALUE"""),45982.6666666666)</f>
        <v/>
      </c>
      <c r="W85" s="513">
        <f>IFERROR(__xludf.DUMMYFUNCTION("""COMPUTED_VALUE"""),22.53)</f>
        <v/>
      </c>
      <c r="Y85" s="512">
        <f>IFERROR(__xludf.DUMMYFUNCTION("""COMPUTED_VALUE"""),45982.6666666666)</f>
        <v/>
      </c>
      <c r="Z85" s="513">
        <f>IFERROR(__xludf.DUMMYFUNCTION("""COMPUTED_VALUE"""),74.52)</f>
        <v/>
      </c>
      <c r="AB85" s="512">
        <f>IFERROR(__xludf.DUMMYFUNCTION("""COMPUTED_VALUE"""),45982.6666666666)</f>
        <v/>
      </c>
      <c r="AC85" s="513">
        <f>IFERROR(__xludf.DUMMYFUNCTION("""COMPUTED_VALUE"""),53.07)</f>
        <v/>
      </c>
      <c r="AE85" s="512">
        <f>IFERROR(__xludf.DUMMYFUNCTION("""COMPUTED_VALUE"""),45982.6666666666)</f>
        <v/>
      </c>
      <c r="AF85" s="513">
        <f>IFERROR(__xludf.DUMMYFUNCTION("""COMPUTED_VALUE"""),96.15)</f>
        <v/>
      </c>
      <c r="AH85" s="512">
        <f>IFERROR(__xludf.DUMMYFUNCTION("""COMPUTED_VALUE"""),45982.6666666666)</f>
        <v/>
      </c>
      <c r="AI85" s="513">
        <f>IFERROR(__xludf.DUMMYFUNCTION("""COMPUTED_VALUE"""),22.37)</f>
        <v/>
      </c>
      <c r="AK85" s="512">
        <f>IFERROR(__xludf.DUMMYFUNCTION("""COMPUTED_VALUE"""),45982.6666666666)</f>
        <v/>
      </c>
      <c r="AL85" s="513">
        <f>IFERROR(__xludf.DUMMYFUNCTION("""COMPUTED_VALUE"""),80.37)</f>
        <v/>
      </c>
      <c r="AN85" s="512">
        <f>IFERROR(__xludf.DUMMYFUNCTION("""COMPUTED_VALUE"""),45982.6666666666)</f>
        <v/>
      </c>
      <c r="AO85" s="513">
        <f>IFERROR(__xludf.DUMMYFUNCTION("""COMPUTED_VALUE"""),111.02)</f>
        <v/>
      </c>
      <c r="AQ85" s="512">
        <f>IFERROR(__xludf.DUMMYFUNCTION("""COMPUTED_VALUE"""),45982.6666666666)</f>
        <v/>
      </c>
      <c r="AR85" s="513">
        <f>IFERROR(__xludf.DUMMYFUNCTION("""COMPUTED_VALUE"""),92.65)</f>
        <v/>
      </c>
      <c r="AT85" s="512">
        <f>IFERROR(__xludf.DUMMYFUNCTION("""COMPUTED_VALUE"""),45982.6666666666)</f>
        <v/>
      </c>
      <c r="AU85" s="513">
        <f>IFERROR(__xludf.DUMMYFUNCTION("""COMPUTED_VALUE"""),53.1)</f>
        <v/>
      </c>
      <c r="AW85" s="512">
        <f>IFERROR(__xludf.DUMMYFUNCTION("""COMPUTED_VALUE"""),45982.6666666666)</f>
        <v/>
      </c>
      <c r="AX85" s="513">
        <f>IFERROR(__xludf.DUMMYFUNCTION("""COMPUTED_VALUE"""),100.44)</f>
        <v/>
      </c>
      <c r="AZ85" s="512">
        <f>IFERROR(__xludf.DUMMYFUNCTION("""COMPUTED_VALUE"""),45982.6666666666)</f>
        <v/>
      </c>
      <c r="BA85" s="513">
        <f>IFERROR(__xludf.DUMMYFUNCTION("""COMPUTED_VALUE"""),110.92)</f>
        <v/>
      </c>
      <c r="BC85" s="512">
        <f>IFERROR(__xludf.DUMMYFUNCTION("""COMPUTED_VALUE"""),45982.6666666666)</f>
        <v/>
      </c>
      <c r="BD85" s="513">
        <f>IFERROR(__xludf.DUMMYFUNCTION("""COMPUTED_VALUE"""),97.19)</f>
        <v/>
      </c>
      <c r="BF85" s="512">
        <f>IFERROR(__xludf.DUMMYFUNCTION("""COMPUTED_VALUE"""),45982.6666666666)</f>
        <v/>
      </c>
      <c r="BG85" s="513">
        <f>IFERROR(__xludf.DUMMYFUNCTION("""COMPUTED_VALUE"""),83.03)</f>
        <v/>
      </c>
      <c r="BI85" s="512">
        <f>IFERROR(__xludf.DUMMYFUNCTION("""COMPUTED_VALUE"""),45982.6666666666)</f>
        <v/>
      </c>
      <c r="BJ85" s="513">
        <f>IFERROR(__xludf.DUMMYFUNCTION("""COMPUTED_VALUE"""),89.5)</f>
        <v/>
      </c>
      <c r="BL85" s="512">
        <f>IFERROR(__xludf.DUMMYFUNCTION("""COMPUTED_VALUE"""),45982.6666666666)</f>
        <v/>
      </c>
      <c r="BM85" s="513">
        <f>IFERROR(__xludf.DUMMYFUNCTION("""COMPUTED_VALUE"""),374.27)</f>
        <v/>
      </c>
      <c r="BO85" s="512">
        <f>IFERROR(__xludf.DUMMYFUNCTION("""COMPUTED_VALUE"""),45982.6666666666)</f>
        <v/>
      </c>
      <c r="BP85" s="513">
        <f>IFERROR(__xludf.DUMMYFUNCTION("""COMPUTED_VALUE"""),91.66)</f>
        <v/>
      </c>
    </row>
    <row r="86">
      <c r="A86" s="512">
        <f>IFERROR(__xludf.DUMMYFUNCTION("""COMPUTED_VALUE"""),45985.6666666666)</f>
        <v/>
      </c>
      <c r="B86" s="513">
        <f>IFERROR(__xludf.DUMMYFUNCTION("""COMPUTED_VALUE"""),668.73)</f>
        <v/>
      </c>
      <c r="D86" s="512">
        <f>IFERROR(__xludf.DUMMYFUNCTION("""COMPUTED_VALUE"""),45985.6666666666)</f>
        <v/>
      </c>
      <c r="E86" s="513">
        <f>IFERROR(__xludf.DUMMYFUNCTION("""COMPUTED_VALUE"""),89.81)</f>
        <v/>
      </c>
      <c r="G86" s="512">
        <f>IFERROR(__xludf.DUMMYFUNCTION("""COMPUTED_VALUE"""),46171.6666666666)</f>
        <v/>
      </c>
      <c r="H86" s="513">
        <f>IFERROR(__xludf.DUMMYFUNCTION("""COMPUTED_VALUE"""),71.77)</f>
        <v/>
      </c>
      <c r="J86" s="512">
        <f>IFERROR(__xludf.DUMMYFUNCTION("""COMPUTED_VALUE"""),45985.6666666666)</f>
        <v/>
      </c>
      <c r="K86" s="513">
        <f>IFERROR(__xludf.DUMMYFUNCTION("""COMPUTED_VALUE"""),81.74)</f>
        <v/>
      </c>
      <c r="M86" s="512">
        <f>IFERROR(__xludf.DUMMYFUNCTION("""COMPUTED_VALUE"""),45985.6666666666)</f>
        <v/>
      </c>
      <c r="N86" s="513">
        <f>IFERROR(__xludf.DUMMYFUNCTION("""COMPUTED_VALUE"""),239.9)</f>
        <v/>
      </c>
      <c r="P86" s="512">
        <f>IFERROR(__xludf.DUMMYFUNCTION("""COMPUTED_VALUE"""),45985.6666666666)</f>
        <v/>
      </c>
      <c r="Q86" s="513">
        <f>IFERROR(__xludf.DUMMYFUNCTION("""COMPUTED_VALUE"""),78.89)</f>
        <v/>
      </c>
      <c r="S86" s="512">
        <f>IFERROR(__xludf.DUMMYFUNCTION("""COMPUTED_VALUE"""),45254.5451388888)</f>
        <v/>
      </c>
      <c r="T86" s="513">
        <f>IFERROR(__xludf.DUMMYFUNCTION("""COMPUTED_VALUE"""),189.97)</f>
        <v/>
      </c>
      <c r="V86" s="512">
        <f>IFERROR(__xludf.DUMMYFUNCTION("""COMPUTED_VALUE"""),45985.6666666666)</f>
        <v/>
      </c>
      <c r="W86" s="513">
        <f>IFERROR(__xludf.DUMMYFUNCTION("""COMPUTED_VALUE"""),22.64)</f>
        <v/>
      </c>
      <c r="Y86" s="512">
        <f>IFERROR(__xludf.DUMMYFUNCTION("""COMPUTED_VALUE"""),45985.6666666666)</f>
        <v/>
      </c>
      <c r="Z86" s="513">
        <f>IFERROR(__xludf.DUMMYFUNCTION("""COMPUTED_VALUE"""),74.65)</f>
        <v/>
      </c>
      <c r="AB86" s="512">
        <f>IFERROR(__xludf.DUMMYFUNCTION("""COMPUTED_VALUE"""),45985.6666666666)</f>
        <v/>
      </c>
      <c r="AC86" s="513">
        <f>IFERROR(__xludf.DUMMYFUNCTION("""COMPUTED_VALUE"""),53.61)</f>
        <v/>
      </c>
      <c r="AE86" s="512">
        <f>IFERROR(__xludf.DUMMYFUNCTION("""COMPUTED_VALUE"""),45985.6666666666)</f>
        <v/>
      </c>
      <c r="AF86" s="513">
        <f>IFERROR(__xludf.DUMMYFUNCTION("""COMPUTED_VALUE"""),96.35)</f>
        <v/>
      </c>
      <c r="AH86" s="512">
        <f>IFERROR(__xludf.DUMMYFUNCTION("""COMPUTED_VALUE"""),45985.6666666666)</f>
        <v/>
      </c>
      <c r="AI86" s="513">
        <f>IFERROR(__xludf.DUMMYFUNCTION("""COMPUTED_VALUE"""),22.4)</f>
        <v/>
      </c>
      <c r="AK86" s="512">
        <f>IFERROR(__xludf.DUMMYFUNCTION("""COMPUTED_VALUE"""),45985.6666666666)</f>
        <v/>
      </c>
      <c r="AL86" s="513">
        <f>IFERROR(__xludf.DUMMYFUNCTION("""COMPUTED_VALUE"""),80.59)</f>
        <v/>
      </c>
      <c r="AN86" s="512">
        <f>IFERROR(__xludf.DUMMYFUNCTION("""COMPUTED_VALUE"""),45985.6666666666)</f>
        <v/>
      </c>
      <c r="AO86" s="513">
        <f>IFERROR(__xludf.DUMMYFUNCTION("""COMPUTED_VALUE"""),111.07)</f>
        <v/>
      </c>
      <c r="AQ86" s="512">
        <f>IFERROR(__xludf.DUMMYFUNCTION("""COMPUTED_VALUE"""),45985.6666666666)</f>
        <v/>
      </c>
      <c r="AR86" s="513">
        <f>IFERROR(__xludf.DUMMYFUNCTION("""COMPUTED_VALUE"""),92.73)</f>
        <v/>
      </c>
      <c r="AT86" s="512">
        <f>IFERROR(__xludf.DUMMYFUNCTION("""COMPUTED_VALUE"""),45985.6666666666)</f>
        <v/>
      </c>
      <c r="AU86" s="513">
        <f>IFERROR(__xludf.DUMMYFUNCTION("""COMPUTED_VALUE"""),53.66)</f>
        <v/>
      </c>
      <c r="AW86" s="512">
        <f>IFERROR(__xludf.DUMMYFUNCTION("""COMPUTED_VALUE"""),45985.6666666666)</f>
        <v/>
      </c>
      <c r="AX86" s="513">
        <f>IFERROR(__xludf.DUMMYFUNCTION("""COMPUTED_VALUE"""),100.64)</f>
        <v/>
      </c>
      <c r="AZ86" s="512">
        <f>IFERROR(__xludf.DUMMYFUNCTION("""COMPUTED_VALUE"""),45985.6666666666)</f>
        <v/>
      </c>
      <c r="BA86" s="513">
        <f>IFERROR(__xludf.DUMMYFUNCTION("""COMPUTED_VALUE"""),111.36)</f>
        <v/>
      </c>
      <c r="BC86" s="512">
        <f>IFERROR(__xludf.DUMMYFUNCTION("""COMPUTED_VALUE"""),45985.6666666666)</f>
        <v/>
      </c>
      <c r="BD86" s="513">
        <f>IFERROR(__xludf.DUMMYFUNCTION("""COMPUTED_VALUE"""),97.34)</f>
        <v/>
      </c>
      <c r="BF86" s="512">
        <f>IFERROR(__xludf.DUMMYFUNCTION("""COMPUTED_VALUE"""),45985.6666666666)</f>
        <v/>
      </c>
      <c r="BG86" s="513">
        <f>IFERROR(__xludf.DUMMYFUNCTION("""COMPUTED_VALUE"""),83.04)</f>
        <v/>
      </c>
      <c r="BI86" s="512">
        <f>IFERROR(__xludf.DUMMYFUNCTION("""COMPUTED_VALUE"""),45985.6666666666)</f>
        <v/>
      </c>
      <c r="BJ86" s="513">
        <f>IFERROR(__xludf.DUMMYFUNCTION("""COMPUTED_VALUE"""),90.01)</f>
        <v/>
      </c>
      <c r="BL86" s="512">
        <f>IFERROR(__xludf.DUMMYFUNCTION("""COMPUTED_VALUE"""),45985.6666666666)</f>
        <v/>
      </c>
      <c r="BM86" s="513">
        <f>IFERROR(__xludf.DUMMYFUNCTION("""COMPUTED_VALUE"""),380.2)</f>
        <v/>
      </c>
      <c r="BO86" s="512">
        <f>IFERROR(__xludf.DUMMYFUNCTION("""COMPUTED_VALUE"""),45985.6666666666)</f>
        <v/>
      </c>
      <c r="BP86" s="513">
        <f>IFERROR(__xludf.DUMMYFUNCTION("""COMPUTED_VALUE"""),91.66)</f>
        <v/>
      </c>
    </row>
    <row r="87">
      <c r="A87" s="512">
        <f>IFERROR(__xludf.DUMMYFUNCTION("""COMPUTED_VALUE"""),45986.6666666666)</f>
        <v/>
      </c>
      <c r="B87" s="513">
        <f>IFERROR(__xludf.DUMMYFUNCTION("""COMPUTED_VALUE"""),675.02)</f>
        <v/>
      </c>
      <c r="D87" s="512">
        <f>IFERROR(__xludf.DUMMYFUNCTION("""COMPUTED_VALUE"""),45986.6666666666)</f>
        <v/>
      </c>
      <c r="E87" s="513">
        <f>IFERROR(__xludf.DUMMYFUNCTION("""COMPUTED_VALUE"""),90.64)</f>
        <v/>
      </c>
      <c r="G87" s="512">
        <f>IFERROR(__xludf.DUMMYFUNCTION("""COMPUTED_VALUE"""),46174.6666666666)</f>
        <v/>
      </c>
      <c r="H87" s="513">
        <f>IFERROR(__xludf.DUMMYFUNCTION("""COMPUTED_VALUE"""),71.87)</f>
        <v/>
      </c>
      <c r="J87" s="512">
        <f>IFERROR(__xludf.DUMMYFUNCTION("""COMPUTED_VALUE"""),45986.6666666666)</f>
        <v/>
      </c>
      <c r="K87" s="513">
        <f>IFERROR(__xludf.DUMMYFUNCTION("""COMPUTED_VALUE"""),81.92)</f>
        <v/>
      </c>
      <c r="M87" s="512">
        <f>IFERROR(__xludf.DUMMYFUNCTION("""COMPUTED_VALUE"""),45986.6666666666)</f>
        <v/>
      </c>
      <c r="N87" s="513">
        <f>IFERROR(__xludf.DUMMYFUNCTION("""COMPUTED_VALUE"""),245.13)</f>
        <v/>
      </c>
      <c r="P87" s="512">
        <f>IFERROR(__xludf.DUMMYFUNCTION("""COMPUTED_VALUE"""),45986.6666666666)</f>
        <v/>
      </c>
      <c r="Q87" s="513">
        <f>IFERROR(__xludf.DUMMYFUNCTION("""COMPUTED_VALUE"""),80.24)</f>
        <v/>
      </c>
      <c r="S87" s="512">
        <f>IFERROR(__xludf.DUMMYFUNCTION("""COMPUTED_VALUE"""),45257.6666666666)</f>
        <v/>
      </c>
      <c r="T87" s="513">
        <f>IFERROR(__xludf.DUMMYFUNCTION("""COMPUTED_VALUE"""),189.79)</f>
        <v/>
      </c>
      <c r="V87" s="512">
        <f>IFERROR(__xludf.DUMMYFUNCTION("""COMPUTED_VALUE"""),45986.6666666666)</f>
        <v/>
      </c>
      <c r="W87" s="513">
        <f>IFERROR(__xludf.DUMMYFUNCTION("""COMPUTED_VALUE"""),22.52)</f>
        <v/>
      </c>
      <c r="Y87" s="512">
        <f>IFERROR(__xludf.DUMMYFUNCTION("""COMPUTED_VALUE"""),45986.6666666666)</f>
        <v/>
      </c>
      <c r="Z87" s="513">
        <f>IFERROR(__xludf.DUMMYFUNCTION("""COMPUTED_VALUE"""),74.82)</f>
        <v/>
      </c>
      <c r="AB87" s="512">
        <f>IFERROR(__xludf.DUMMYFUNCTION("""COMPUTED_VALUE"""),45986.6666666666)</f>
        <v/>
      </c>
      <c r="AC87" s="513">
        <f>IFERROR(__xludf.DUMMYFUNCTION("""COMPUTED_VALUE"""),53.85)</f>
        <v/>
      </c>
      <c r="AE87" s="512">
        <f>IFERROR(__xludf.DUMMYFUNCTION("""COMPUTED_VALUE"""),45986.6666666666)</f>
        <v/>
      </c>
      <c r="AF87" s="513">
        <f>IFERROR(__xludf.DUMMYFUNCTION("""COMPUTED_VALUE"""),96.6)</f>
        <v/>
      </c>
      <c r="AH87" s="512">
        <f>IFERROR(__xludf.DUMMYFUNCTION("""COMPUTED_VALUE"""),45986.6666666666)</f>
        <v/>
      </c>
      <c r="AI87" s="513">
        <f>IFERROR(__xludf.DUMMYFUNCTION("""COMPUTED_VALUE"""),22.52)</f>
        <v/>
      </c>
      <c r="AK87" s="512">
        <f>IFERROR(__xludf.DUMMYFUNCTION("""COMPUTED_VALUE"""),45986.6666666666)</f>
        <v/>
      </c>
      <c r="AL87" s="513">
        <f>IFERROR(__xludf.DUMMYFUNCTION("""COMPUTED_VALUE"""),80.87)</f>
        <v/>
      </c>
      <c r="AN87" s="512">
        <f>IFERROR(__xludf.DUMMYFUNCTION("""COMPUTED_VALUE"""),45986.6666666666)</f>
        <v/>
      </c>
      <c r="AO87" s="513">
        <f>IFERROR(__xludf.DUMMYFUNCTION("""COMPUTED_VALUE"""),111.27)</f>
        <v/>
      </c>
      <c r="AQ87" s="512">
        <f>IFERROR(__xludf.DUMMYFUNCTION("""COMPUTED_VALUE"""),45986.6666666666)</f>
        <v/>
      </c>
      <c r="AR87" s="513">
        <f>IFERROR(__xludf.DUMMYFUNCTION("""COMPUTED_VALUE"""),93.84)</f>
        <v/>
      </c>
      <c r="AT87" s="512">
        <f>IFERROR(__xludf.DUMMYFUNCTION("""COMPUTED_VALUE"""),45986.6666666666)</f>
        <v/>
      </c>
      <c r="AU87" s="513">
        <f>IFERROR(__xludf.DUMMYFUNCTION("""COMPUTED_VALUE"""),53.85)</f>
        <v/>
      </c>
      <c r="AW87" s="512">
        <f>IFERROR(__xludf.DUMMYFUNCTION("""COMPUTED_VALUE"""),45986.6666666666)</f>
        <v/>
      </c>
      <c r="AX87" s="513">
        <f>IFERROR(__xludf.DUMMYFUNCTION("""COMPUTED_VALUE"""),100.8)</f>
        <v/>
      </c>
      <c r="AZ87" s="512">
        <f>IFERROR(__xludf.DUMMYFUNCTION("""COMPUTED_VALUE"""),45986.6666666666)</f>
        <v/>
      </c>
      <c r="BA87" s="513">
        <f>IFERROR(__xludf.DUMMYFUNCTION("""COMPUTED_VALUE"""),111.67)</f>
        <v/>
      </c>
      <c r="BC87" s="512">
        <f>IFERROR(__xludf.DUMMYFUNCTION("""COMPUTED_VALUE"""),45986.6666666666)</f>
        <v/>
      </c>
      <c r="BD87" s="513">
        <f>IFERROR(__xludf.DUMMYFUNCTION("""COMPUTED_VALUE"""),97.59)</f>
        <v/>
      </c>
      <c r="BF87" s="512">
        <f>IFERROR(__xludf.DUMMYFUNCTION("""COMPUTED_VALUE"""),45986.6666666666)</f>
        <v/>
      </c>
      <c r="BG87" s="513">
        <f>IFERROR(__xludf.DUMMYFUNCTION("""COMPUTED_VALUE"""),83.09)</f>
        <v/>
      </c>
      <c r="BI87" s="512">
        <f>IFERROR(__xludf.DUMMYFUNCTION("""COMPUTED_VALUE"""),45986.6666666666)</f>
        <v/>
      </c>
      <c r="BJ87" s="513">
        <f>IFERROR(__xludf.DUMMYFUNCTION("""COMPUTED_VALUE"""),90.24)</f>
        <v/>
      </c>
      <c r="BL87" s="512">
        <f>IFERROR(__xludf.DUMMYFUNCTION("""COMPUTED_VALUE"""),45986.6666666666)</f>
        <v/>
      </c>
      <c r="BM87" s="513">
        <f>IFERROR(__xludf.DUMMYFUNCTION("""COMPUTED_VALUE"""),380.08)</f>
        <v/>
      </c>
      <c r="BO87" s="512">
        <f>IFERROR(__xludf.DUMMYFUNCTION("""COMPUTED_VALUE"""),45986.6666666666)</f>
        <v/>
      </c>
      <c r="BP87" s="513">
        <f>IFERROR(__xludf.DUMMYFUNCTION("""COMPUTED_VALUE"""),91.68)</f>
        <v/>
      </c>
    </row>
    <row r="88">
      <c r="A88" s="512">
        <f>IFERROR(__xludf.DUMMYFUNCTION("""COMPUTED_VALUE"""),45987.6666666666)</f>
        <v/>
      </c>
      <c r="B88" s="513">
        <f>IFERROR(__xludf.DUMMYFUNCTION("""COMPUTED_VALUE"""),679.68)</f>
        <v/>
      </c>
      <c r="D88" s="512">
        <f>IFERROR(__xludf.DUMMYFUNCTION("""COMPUTED_VALUE"""),45987.6666666666)</f>
        <v/>
      </c>
      <c r="E88" s="513">
        <f>IFERROR(__xludf.DUMMYFUNCTION("""COMPUTED_VALUE"""),91.04)</f>
        <v/>
      </c>
      <c r="G88" s="512">
        <f>IFERROR(__xludf.DUMMYFUNCTION("""COMPUTED_VALUE"""),46175.6666666666)</f>
        <v/>
      </c>
      <c r="H88" s="513">
        <f>IFERROR(__xludf.DUMMYFUNCTION("""COMPUTED_VALUE"""),72.32)</f>
        <v/>
      </c>
      <c r="J88" s="512">
        <f>IFERROR(__xludf.DUMMYFUNCTION("""COMPUTED_VALUE"""),45987.6666666666)</f>
        <v/>
      </c>
      <c r="K88" s="513">
        <f>IFERROR(__xludf.DUMMYFUNCTION("""COMPUTED_VALUE"""),83.26)</f>
        <v/>
      </c>
      <c r="M88" s="512">
        <f>IFERROR(__xludf.DUMMYFUNCTION("""COMPUTED_VALUE"""),45987.6666666666)</f>
        <v/>
      </c>
      <c r="N88" s="513">
        <f>IFERROR(__xludf.DUMMYFUNCTION("""COMPUTED_VALUE"""),247.3)</f>
        <v/>
      </c>
      <c r="P88" s="512">
        <f>IFERROR(__xludf.DUMMYFUNCTION("""COMPUTED_VALUE"""),45987.6666666666)</f>
        <v/>
      </c>
      <c r="Q88" s="513">
        <f>IFERROR(__xludf.DUMMYFUNCTION("""COMPUTED_VALUE"""),81)</f>
        <v/>
      </c>
      <c r="S88" s="512">
        <f>IFERROR(__xludf.DUMMYFUNCTION("""COMPUTED_VALUE"""),45258.6666666666)</f>
        <v/>
      </c>
      <c r="T88" s="513">
        <f>IFERROR(__xludf.DUMMYFUNCTION("""COMPUTED_VALUE"""),190.4)</f>
        <v/>
      </c>
      <c r="V88" s="512">
        <f>IFERROR(__xludf.DUMMYFUNCTION("""COMPUTED_VALUE"""),45987.6666666666)</f>
        <v/>
      </c>
      <c r="W88" s="513">
        <f>IFERROR(__xludf.DUMMYFUNCTION("""COMPUTED_VALUE"""),22.76)</f>
        <v/>
      </c>
      <c r="Y88" s="512">
        <f>IFERROR(__xludf.DUMMYFUNCTION("""COMPUTED_VALUE"""),45987.6666666666)</f>
        <v/>
      </c>
      <c r="Z88" s="513">
        <f>IFERROR(__xludf.DUMMYFUNCTION("""COMPUTED_VALUE"""),74.9)</f>
        <v/>
      </c>
      <c r="AB88" s="512">
        <f>IFERROR(__xludf.DUMMYFUNCTION("""COMPUTED_VALUE"""),45987.6666666666)</f>
        <v/>
      </c>
      <c r="AC88" s="513">
        <f>IFERROR(__xludf.DUMMYFUNCTION("""COMPUTED_VALUE"""),54.11)</f>
        <v/>
      </c>
      <c r="AE88" s="512">
        <f>IFERROR(__xludf.DUMMYFUNCTION("""COMPUTED_VALUE"""),45987.6666666666)</f>
        <v/>
      </c>
      <c r="AF88" s="513">
        <f>IFERROR(__xludf.DUMMYFUNCTION("""COMPUTED_VALUE"""),96.7)</f>
        <v/>
      </c>
      <c r="AH88" s="512">
        <f>IFERROR(__xludf.DUMMYFUNCTION("""COMPUTED_VALUE"""),45987.6666666666)</f>
        <v/>
      </c>
      <c r="AI88" s="513">
        <f>IFERROR(__xludf.DUMMYFUNCTION("""COMPUTED_VALUE"""),22.53)</f>
        <v/>
      </c>
      <c r="AK88" s="512">
        <f>IFERROR(__xludf.DUMMYFUNCTION("""COMPUTED_VALUE"""),45987.6666666666)</f>
        <v/>
      </c>
      <c r="AL88" s="513">
        <f>IFERROR(__xludf.DUMMYFUNCTION("""COMPUTED_VALUE"""),80.95)</f>
        <v/>
      </c>
      <c r="AN88" s="512">
        <f>IFERROR(__xludf.DUMMYFUNCTION("""COMPUTED_VALUE"""),45987.6666666666)</f>
        <v/>
      </c>
      <c r="AO88" s="513">
        <f>IFERROR(__xludf.DUMMYFUNCTION("""COMPUTED_VALUE"""),111.51)</f>
        <v/>
      </c>
      <c r="AQ88" s="512">
        <f>IFERROR(__xludf.DUMMYFUNCTION("""COMPUTED_VALUE"""),45987.6666666666)</f>
        <v/>
      </c>
      <c r="AR88" s="513">
        <f>IFERROR(__xludf.DUMMYFUNCTION("""COMPUTED_VALUE"""),94.87)</f>
        <v/>
      </c>
      <c r="AT88" s="512">
        <f>IFERROR(__xludf.DUMMYFUNCTION("""COMPUTED_VALUE"""),45987.6666666666)</f>
        <v/>
      </c>
      <c r="AU88" s="513">
        <f>IFERROR(__xludf.DUMMYFUNCTION("""COMPUTED_VALUE"""),54.24)</f>
        <v/>
      </c>
      <c r="AW88" s="512">
        <f>IFERROR(__xludf.DUMMYFUNCTION("""COMPUTED_VALUE"""),45987.6666666666)</f>
        <v/>
      </c>
      <c r="AX88" s="513">
        <f>IFERROR(__xludf.DUMMYFUNCTION("""COMPUTED_VALUE"""),100.96)</f>
        <v/>
      </c>
      <c r="AZ88" s="512">
        <f>IFERROR(__xludf.DUMMYFUNCTION("""COMPUTED_VALUE"""),45987.6666666666)</f>
        <v/>
      </c>
      <c r="BA88" s="513">
        <f>IFERROR(__xludf.DUMMYFUNCTION("""COMPUTED_VALUE"""),112.05)</f>
        <v/>
      </c>
      <c r="BC88" s="512">
        <f>IFERROR(__xludf.DUMMYFUNCTION("""COMPUTED_VALUE"""),45987.6666666666)</f>
        <v/>
      </c>
      <c r="BD88" s="513">
        <f>IFERROR(__xludf.DUMMYFUNCTION("""COMPUTED_VALUE"""),97.67)</f>
        <v/>
      </c>
      <c r="BF88" s="512">
        <f>IFERROR(__xludf.DUMMYFUNCTION("""COMPUTED_VALUE"""),45987.6666666666)</f>
        <v/>
      </c>
      <c r="BG88" s="513">
        <f>IFERROR(__xludf.DUMMYFUNCTION("""COMPUTED_VALUE"""),83.08)</f>
        <v/>
      </c>
      <c r="BI88" s="512">
        <f>IFERROR(__xludf.DUMMYFUNCTION("""COMPUTED_VALUE"""),45987.6666666666)</f>
        <v/>
      </c>
      <c r="BJ88" s="513">
        <f>IFERROR(__xludf.DUMMYFUNCTION("""COMPUTED_VALUE"""),90.64)</f>
        <v/>
      </c>
      <c r="BL88" s="512">
        <f>IFERROR(__xludf.DUMMYFUNCTION("""COMPUTED_VALUE"""),45987.6666666666)</f>
        <v/>
      </c>
      <c r="BM88" s="513">
        <f>IFERROR(__xludf.DUMMYFUNCTION("""COMPUTED_VALUE"""),383.12)</f>
        <v/>
      </c>
      <c r="BO88" s="512">
        <f>IFERROR(__xludf.DUMMYFUNCTION("""COMPUTED_VALUE"""),45987.6666666666)</f>
        <v/>
      </c>
      <c r="BP88" s="513">
        <f>IFERROR(__xludf.DUMMYFUNCTION("""COMPUTED_VALUE"""),91.69)</f>
        <v/>
      </c>
    </row>
    <row r="89">
      <c r="A89" s="512">
        <f>IFERROR(__xludf.DUMMYFUNCTION("""COMPUTED_VALUE"""),45989.5520833333)</f>
        <v/>
      </c>
      <c r="B89" s="513">
        <f>IFERROR(__xludf.DUMMYFUNCTION("""COMPUTED_VALUE"""),683.39)</f>
        <v/>
      </c>
      <c r="D89" s="512">
        <f>IFERROR(__xludf.DUMMYFUNCTION("""COMPUTED_VALUE"""),45989.5520833333)</f>
        <v/>
      </c>
      <c r="E89" s="513">
        <f>IFERROR(__xludf.DUMMYFUNCTION("""COMPUTED_VALUE"""),91.34)</f>
        <v/>
      </c>
      <c r="G89" s="512">
        <f>IFERROR(__xludf.DUMMYFUNCTION("""COMPUTED_VALUE"""),46176.6666666666)</f>
        <v/>
      </c>
      <c r="H89" s="513">
        <f>IFERROR(__xludf.DUMMYFUNCTION("""COMPUTED_VALUE"""),71.67)</f>
        <v/>
      </c>
      <c r="J89" s="512">
        <f>IFERROR(__xludf.DUMMYFUNCTION("""COMPUTED_VALUE"""),45989.5520833333)</f>
        <v/>
      </c>
      <c r="K89" s="513">
        <f>IFERROR(__xludf.DUMMYFUNCTION("""COMPUTED_VALUE"""),83.01)</f>
        <v/>
      </c>
      <c r="M89" s="512">
        <f>IFERROR(__xludf.DUMMYFUNCTION("""COMPUTED_VALUE"""),45989.5520833333)</f>
        <v/>
      </c>
      <c r="N89" s="513">
        <f>IFERROR(__xludf.DUMMYFUNCTION("""COMPUTED_VALUE"""),248.75)</f>
        <v/>
      </c>
      <c r="P89" s="512">
        <f>IFERROR(__xludf.DUMMYFUNCTION("""COMPUTED_VALUE"""),45989.5520833333)</f>
        <v/>
      </c>
      <c r="Q89" s="513">
        <f>IFERROR(__xludf.DUMMYFUNCTION("""COMPUTED_VALUE"""),81.53)</f>
        <v/>
      </c>
      <c r="S89" s="512">
        <f>IFERROR(__xludf.DUMMYFUNCTION("""COMPUTED_VALUE"""),45259.6666666666)</f>
        <v/>
      </c>
      <c r="T89" s="513">
        <f>IFERROR(__xludf.DUMMYFUNCTION("""COMPUTED_VALUE"""),189.37)</f>
        <v/>
      </c>
      <c r="V89" s="512">
        <f>IFERROR(__xludf.DUMMYFUNCTION("""COMPUTED_VALUE"""),45989.5520833333)</f>
        <v/>
      </c>
      <c r="W89" s="513">
        <f>IFERROR(__xludf.DUMMYFUNCTION("""COMPUTED_VALUE"""),23.06)</f>
        <v/>
      </c>
      <c r="Y89" s="512">
        <f>IFERROR(__xludf.DUMMYFUNCTION("""COMPUTED_VALUE"""),45989.5451388888)</f>
        <v/>
      </c>
      <c r="Z89" s="513">
        <f>IFERROR(__xludf.DUMMYFUNCTION("""COMPUTED_VALUE"""),74.78)</f>
        <v/>
      </c>
      <c r="AB89" s="512">
        <f>IFERROR(__xludf.DUMMYFUNCTION("""COMPUTED_VALUE"""),45989.5520833333)</f>
        <v/>
      </c>
      <c r="AC89" s="513">
        <f>IFERROR(__xludf.DUMMYFUNCTION("""COMPUTED_VALUE"""),54.3)</f>
        <v/>
      </c>
      <c r="AE89" s="512">
        <f>IFERROR(__xludf.DUMMYFUNCTION("""COMPUTED_VALUE"""),45989.5451388888)</f>
        <v/>
      </c>
      <c r="AF89" s="513">
        <f>IFERROR(__xludf.DUMMYFUNCTION("""COMPUTED_VALUE"""),96.73)</f>
        <v/>
      </c>
      <c r="AH89" s="512">
        <f>IFERROR(__xludf.DUMMYFUNCTION("""COMPUTED_VALUE"""),45989.5520833333)</f>
        <v/>
      </c>
      <c r="AI89" s="513">
        <f>IFERROR(__xludf.DUMMYFUNCTION("""COMPUTED_VALUE"""),22.56)</f>
        <v/>
      </c>
      <c r="AK89" s="512">
        <f>IFERROR(__xludf.DUMMYFUNCTION("""COMPUTED_VALUE"""),45989.5520833333)</f>
        <v/>
      </c>
      <c r="AL89" s="513">
        <f>IFERROR(__xludf.DUMMYFUNCTION("""COMPUTED_VALUE"""),80.99)</f>
        <v/>
      </c>
      <c r="AN89" s="512">
        <f>IFERROR(__xludf.DUMMYFUNCTION("""COMPUTED_VALUE"""),45989.5520833333)</f>
        <v/>
      </c>
      <c r="AO89" s="513">
        <f>IFERROR(__xludf.DUMMYFUNCTION("""COMPUTED_VALUE"""),111.26)</f>
        <v/>
      </c>
      <c r="AQ89" s="512">
        <f>IFERROR(__xludf.DUMMYFUNCTION("""COMPUTED_VALUE"""),45989.5520833333)</f>
        <v/>
      </c>
      <c r="AR89" s="513">
        <f>IFERROR(__xludf.DUMMYFUNCTION("""COMPUTED_VALUE"""),95.19)</f>
        <v/>
      </c>
      <c r="AT89" s="512">
        <f>IFERROR(__xludf.DUMMYFUNCTION("""COMPUTED_VALUE"""),45989.5520833333)</f>
        <v/>
      </c>
      <c r="AU89" s="513">
        <f>IFERROR(__xludf.DUMMYFUNCTION("""COMPUTED_VALUE"""),54.32)</f>
        <v/>
      </c>
      <c r="AW89" s="512">
        <f>IFERROR(__xludf.DUMMYFUNCTION("""COMPUTED_VALUE"""),45989.5520833333)</f>
        <v/>
      </c>
      <c r="AX89" s="513">
        <f>IFERROR(__xludf.DUMMYFUNCTION("""COMPUTED_VALUE"""),100.82)</f>
        <v/>
      </c>
      <c r="AZ89" s="512">
        <f>IFERROR(__xludf.DUMMYFUNCTION("""COMPUTED_VALUE"""),45989.5520833333)</f>
        <v/>
      </c>
      <c r="BA89" s="513">
        <f>IFERROR(__xludf.DUMMYFUNCTION("""COMPUTED_VALUE"""),111.86)</f>
        <v/>
      </c>
      <c r="BC89" s="512">
        <f>IFERROR(__xludf.DUMMYFUNCTION("""COMPUTED_VALUE"""),45989.5451388888)</f>
        <v/>
      </c>
      <c r="BD89" s="513">
        <f>IFERROR(__xludf.DUMMYFUNCTION("""COMPUTED_VALUE"""),97.5)</f>
        <v/>
      </c>
      <c r="BF89" s="512">
        <f>IFERROR(__xludf.DUMMYFUNCTION("""COMPUTED_VALUE"""),45989.5451388888)</f>
        <v/>
      </c>
      <c r="BG89" s="513">
        <f>IFERROR(__xludf.DUMMYFUNCTION("""COMPUTED_VALUE"""),83.08)</f>
        <v/>
      </c>
      <c r="BI89" s="512">
        <f>IFERROR(__xludf.DUMMYFUNCTION("""COMPUTED_VALUE"""),45989.5451388888)</f>
        <v/>
      </c>
      <c r="BJ89" s="513">
        <f>IFERROR(__xludf.DUMMYFUNCTION("""COMPUTED_VALUE"""),90.21)</f>
        <v/>
      </c>
      <c r="BL89" s="512">
        <f>IFERROR(__xludf.DUMMYFUNCTION("""COMPUTED_VALUE"""),45989.5520833333)</f>
        <v/>
      </c>
      <c r="BM89" s="513">
        <f>IFERROR(__xludf.DUMMYFUNCTION("""COMPUTED_VALUE"""),387.88)</f>
        <v/>
      </c>
      <c r="BO89" s="512">
        <f>IFERROR(__xludf.DUMMYFUNCTION("""COMPUTED_VALUE"""),45989.5520833333)</f>
        <v/>
      </c>
      <c r="BP89" s="513">
        <f>IFERROR(__xludf.DUMMYFUNCTION("""COMPUTED_VALUE"""),91.72)</f>
        <v/>
      </c>
    </row>
    <row r="90">
      <c r="A90" s="512">
        <f>IFERROR(__xludf.DUMMYFUNCTION("""COMPUTED_VALUE"""),45992.6666666666)</f>
        <v/>
      </c>
      <c r="B90" s="513">
        <f>IFERROR(__xludf.DUMMYFUNCTION("""COMPUTED_VALUE"""),680.27)</f>
        <v/>
      </c>
      <c r="D90" s="512">
        <f>IFERROR(__xludf.DUMMYFUNCTION("""COMPUTED_VALUE"""),45992.6666666666)</f>
        <v/>
      </c>
      <c r="E90" s="513">
        <f>IFERROR(__xludf.DUMMYFUNCTION("""COMPUTED_VALUE"""),90.29)</f>
        <v/>
      </c>
      <c r="G90" s="512">
        <f>IFERROR(__xludf.DUMMYFUNCTION("""COMPUTED_VALUE"""),46177.6666666666)</f>
        <v/>
      </c>
      <c r="H90" s="513">
        <f>IFERROR(__xludf.DUMMYFUNCTION("""COMPUTED_VALUE"""),71.84)</f>
        <v/>
      </c>
      <c r="J90" s="512">
        <f>IFERROR(__xludf.DUMMYFUNCTION("""COMPUTED_VALUE"""),45992.6666666666)</f>
        <v/>
      </c>
      <c r="K90" s="513">
        <f>IFERROR(__xludf.DUMMYFUNCTION("""COMPUTED_VALUE"""),82.53)</f>
        <v/>
      </c>
      <c r="M90" s="512">
        <f>IFERROR(__xludf.DUMMYFUNCTION("""COMPUTED_VALUE"""),45992.6666666666)</f>
        <v/>
      </c>
      <c r="N90" s="513">
        <f>IFERROR(__xludf.DUMMYFUNCTION("""COMPUTED_VALUE"""),245.62)</f>
        <v/>
      </c>
      <c r="P90" s="512">
        <f>IFERROR(__xludf.DUMMYFUNCTION("""COMPUTED_VALUE"""),45992.6666666666)</f>
        <v/>
      </c>
      <c r="Q90" s="513">
        <f>IFERROR(__xludf.DUMMYFUNCTION("""COMPUTED_VALUE"""),81.12)</f>
        <v/>
      </c>
      <c r="S90" s="512">
        <f>IFERROR(__xludf.DUMMYFUNCTION("""COMPUTED_VALUE"""),45260.6666666666)</f>
        <v/>
      </c>
      <c r="T90" s="513">
        <f>IFERROR(__xludf.DUMMYFUNCTION("""COMPUTED_VALUE"""),189.95)</f>
        <v/>
      </c>
      <c r="V90" s="512">
        <f>IFERROR(__xludf.DUMMYFUNCTION("""COMPUTED_VALUE"""),45992.6666666666)</f>
        <v/>
      </c>
      <c r="W90" s="513">
        <f>IFERROR(__xludf.DUMMYFUNCTION("""COMPUTED_VALUE"""),23.12)</f>
        <v/>
      </c>
      <c r="Y90" s="512">
        <f>IFERROR(__xludf.DUMMYFUNCTION("""COMPUTED_VALUE"""),45992.6666666666)</f>
        <v/>
      </c>
      <c r="Z90" s="513">
        <f>IFERROR(__xludf.DUMMYFUNCTION("""COMPUTED_VALUE"""),74.25)</f>
        <v/>
      </c>
      <c r="AB90" s="512">
        <f>IFERROR(__xludf.DUMMYFUNCTION("""COMPUTED_VALUE"""),45992.6666666666)</f>
        <v/>
      </c>
      <c r="AC90" s="513">
        <f>IFERROR(__xludf.DUMMYFUNCTION("""COMPUTED_VALUE"""),54.25)</f>
        <v/>
      </c>
      <c r="AE90" s="512">
        <f>IFERROR(__xludf.DUMMYFUNCTION("""COMPUTED_VALUE"""),45992.6666666666)</f>
        <v/>
      </c>
      <c r="AF90" s="513">
        <f>IFERROR(__xludf.DUMMYFUNCTION("""COMPUTED_VALUE"""),96.02)</f>
        <v/>
      </c>
      <c r="AH90" s="512">
        <f>IFERROR(__xludf.DUMMYFUNCTION("""COMPUTED_VALUE"""),45992.6666666666)</f>
        <v/>
      </c>
      <c r="AI90" s="513">
        <f>IFERROR(__xludf.DUMMYFUNCTION("""COMPUTED_VALUE"""),22.44)</f>
        <v/>
      </c>
      <c r="AK90" s="512">
        <f>IFERROR(__xludf.DUMMYFUNCTION("""COMPUTED_VALUE"""),45992.6666666666)</f>
        <v/>
      </c>
      <c r="AL90" s="513">
        <f>IFERROR(__xludf.DUMMYFUNCTION("""COMPUTED_VALUE"""),80.47)</f>
        <v/>
      </c>
      <c r="AN90" s="512">
        <f>IFERROR(__xludf.DUMMYFUNCTION("""COMPUTED_VALUE"""),45992.6666666666)</f>
        <v/>
      </c>
      <c r="AO90" s="513">
        <f>IFERROR(__xludf.DUMMYFUNCTION("""COMPUTED_VALUE"""),110.5)</f>
        <v/>
      </c>
      <c r="AQ90" s="512">
        <f>IFERROR(__xludf.DUMMYFUNCTION("""COMPUTED_VALUE"""),45992.6666666666)</f>
        <v/>
      </c>
      <c r="AR90" s="513">
        <f>IFERROR(__xludf.DUMMYFUNCTION("""COMPUTED_VALUE"""),94.72)</f>
        <v/>
      </c>
      <c r="AT90" s="512">
        <f>IFERROR(__xludf.DUMMYFUNCTION("""COMPUTED_VALUE"""),45992.6666666666)</f>
        <v/>
      </c>
      <c r="AU90" s="513">
        <f>IFERROR(__xludf.DUMMYFUNCTION("""COMPUTED_VALUE"""),54.28)</f>
        <v/>
      </c>
      <c r="AW90" s="512">
        <f>IFERROR(__xludf.DUMMYFUNCTION("""COMPUTED_VALUE"""),45992.6666666666)</f>
        <v/>
      </c>
      <c r="AX90" s="513">
        <f>IFERROR(__xludf.DUMMYFUNCTION("""COMPUTED_VALUE"""),100.06)</f>
        <v/>
      </c>
      <c r="AZ90" s="512">
        <f>IFERROR(__xludf.DUMMYFUNCTION("""COMPUTED_VALUE"""),45992.6666666666)</f>
        <v/>
      </c>
      <c r="BA90" s="513">
        <f>IFERROR(__xludf.DUMMYFUNCTION("""COMPUTED_VALUE"""),110.85)</f>
        <v/>
      </c>
      <c r="BC90" s="512">
        <f>IFERROR(__xludf.DUMMYFUNCTION("""COMPUTED_VALUE"""),45992.6666666666)</f>
        <v/>
      </c>
      <c r="BD90" s="513">
        <f>IFERROR(__xludf.DUMMYFUNCTION("""COMPUTED_VALUE"""),96.69)</f>
        <v/>
      </c>
      <c r="BF90" s="512">
        <f>IFERROR(__xludf.DUMMYFUNCTION("""COMPUTED_VALUE"""),45992.6666666666)</f>
        <v/>
      </c>
      <c r="BG90" s="513">
        <f>IFERROR(__xludf.DUMMYFUNCTION("""COMPUTED_VALUE"""),82.76)</f>
        <v/>
      </c>
      <c r="BI90" s="512">
        <f>IFERROR(__xludf.DUMMYFUNCTION("""COMPUTED_VALUE"""),45992.6666666666)</f>
        <v/>
      </c>
      <c r="BJ90" s="513">
        <f>IFERROR(__xludf.DUMMYFUNCTION("""COMPUTED_VALUE"""),88.77)</f>
        <v/>
      </c>
      <c r="BL90" s="512">
        <f>IFERROR(__xludf.DUMMYFUNCTION("""COMPUTED_VALUE"""),45992.6666666666)</f>
        <v/>
      </c>
      <c r="BM90" s="513">
        <f>IFERROR(__xludf.DUMMYFUNCTION("""COMPUTED_VALUE"""),389.75)</f>
        <v/>
      </c>
      <c r="BO90" s="512">
        <f>IFERROR(__xludf.DUMMYFUNCTION("""COMPUTED_VALUE"""),45992.6666666666)</f>
        <v/>
      </c>
      <c r="BP90" s="513">
        <f>IFERROR(__xludf.DUMMYFUNCTION("""COMPUTED_VALUE"""),91.45)</f>
        <v/>
      </c>
    </row>
    <row r="91">
      <c r="A91" s="512">
        <f>IFERROR(__xludf.DUMMYFUNCTION("""COMPUTED_VALUE"""),45993.6666666666)</f>
        <v/>
      </c>
      <c r="B91" s="513">
        <f>IFERROR(__xludf.DUMMYFUNCTION("""COMPUTED_VALUE"""),681.53)</f>
        <v/>
      </c>
      <c r="D91" s="512">
        <f>IFERROR(__xludf.DUMMYFUNCTION("""COMPUTED_VALUE"""),45993.6666666666)</f>
        <v/>
      </c>
      <c r="E91" s="513">
        <f>IFERROR(__xludf.DUMMYFUNCTION("""COMPUTED_VALUE"""),89.97)</f>
        <v/>
      </c>
      <c r="G91" s="512">
        <f>IFERROR(__xludf.DUMMYFUNCTION("""COMPUTED_VALUE"""),46178.6666666666)</f>
        <v/>
      </c>
      <c r="H91" s="513">
        <f>IFERROR(__xludf.DUMMYFUNCTION("""COMPUTED_VALUE"""),69.17)</f>
        <v/>
      </c>
      <c r="J91" s="512">
        <f>IFERROR(__xludf.DUMMYFUNCTION("""COMPUTED_VALUE"""),45993.6666666666)</f>
        <v/>
      </c>
      <c r="K91" s="513">
        <f>IFERROR(__xludf.DUMMYFUNCTION("""COMPUTED_VALUE"""),82.47)</f>
        <v/>
      </c>
      <c r="M91" s="512">
        <f>IFERROR(__xludf.DUMMYFUNCTION("""COMPUTED_VALUE"""),45993.6666666666)</f>
        <v/>
      </c>
      <c r="N91" s="513">
        <f>IFERROR(__xludf.DUMMYFUNCTION("""COMPUTED_VALUE"""),245.17)</f>
        <v/>
      </c>
      <c r="P91" s="512">
        <f>IFERROR(__xludf.DUMMYFUNCTION("""COMPUTED_VALUE"""),45993.6666666666)</f>
        <v/>
      </c>
      <c r="Q91" s="513">
        <f>IFERROR(__xludf.DUMMYFUNCTION("""COMPUTED_VALUE"""),81.49)</f>
        <v/>
      </c>
      <c r="S91" s="512">
        <f>IFERROR(__xludf.DUMMYFUNCTION("""COMPUTED_VALUE"""),45261.6666666666)</f>
        <v/>
      </c>
      <c r="T91" s="513">
        <f>IFERROR(__xludf.DUMMYFUNCTION("""COMPUTED_VALUE"""),191.24)</f>
        <v/>
      </c>
      <c r="V91" s="512">
        <f>IFERROR(__xludf.DUMMYFUNCTION("""COMPUTED_VALUE"""),45993.6666666666)</f>
        <v/>
      </c>
      <c r="W91" s="513">
        <f>IFERROR(__xludf.DUMMYFUNCTION("""COMPUTED_VALUE"""),23.02)</f>
        <v/>
      </c>
      <c r="Y91" s="512">
        <f>IFERROR(__xludf.DUMMYFUNCTION("""COMPUTED_VALUE"""),45993.6666666666)</f>
        <v/>
      </c>
      <c r="Z91" s="513">
        <f>IFERROR(__xludf.DUMMYFUNCTION("""COMPUTED_VALUE"""),74.32)</f>
        <v/>
      </c>
      <c r="AB91" s="512">
        <f>IFERROR(__xludf.DUMMYFUNCTION("""COMPUTED_VALUE"""),45993.6666666666)</f>
        <v/>
      </c>
      <c r="AC91" s="513">
        <f>IFERROR(__xludf.DUMMYFUNCTION("""COMPUTED_VALUE"""),54.13)</f>
        <v/>
      </c>
      <c r="AE91" s="512">
        <f>IFERROR(__xludf.DUMMYFUNCTION("""COMPUTED_VALUE"""),45993.6666666666)</f>
        <v/>
      </c>
      <c r="AF91" s="513">
        <f>IFERROR(__xludf.DUMMYFUNCTION("""COMPUTED_VALUE"""),96.42)</f>
        <v/>
      </c>
      <c r="AH91" s="512">
        <f>IFERROR(__xludf.DUMMYFUNCTION("""COMPUTED_VALUE"""),45993.6666666666)</f>
        <v/>
      </c>
      <c r="AI91" s="513">
        <f>IFERROR(__xludf.DUMMYFUNCTION("""COMPUTED_VALUE"""),22.46)</f>
        <v/>
      </c>
      <c r="AK91" s="512">
        <f>IFERROR(__xludf.DUMMYFUNCTION("""COMPUTED_VALUE"""),45993.6666666666)</f>
        <v/>
      </c>
      <c r="AL91" s="513">
        <f>IFERROR(__xludf.DUMMYFUNCTION("""COMPUTED_VALUE"""),80.62)</f>
        <v/>
      </c>
      <c r="AN91" s="512">
        <f>IFERROR(__xludf.DUMMYFUNCTION("""COMPUTED_VALUE"""),45993.6666666666)</f>
        <v/>
      </c>
      <c r="AO91" s="513">
        <f>IFERROR(__xludf.DUMMYFUNCTION("""COMPUTED_VALUE"""),110.53)</f>
        <v/>
      </c>
      <c r="AQ91" s="512">
        <f>IFERROR(__xludf.DUMMYFUNCTION("""COMPUTED_VALUE"""),45993.6666666666)</f>
        <v/>
      </c>
      <c r="AR91" s="513">
        <f>IFERROR(__xludf.DUMMYFUNCTION("""COMPUTED_VALUE"""),95.04)</f>
        <v/>
      </c>
      <c r="AT91" s="512">
        <f>IFERROR(__xludf.DUMMYFUNCTION("""COMPUTED_VALUE"""),45993.6666666666)</f>
        <v/>
      </c>
      <c r="AU91" s="513">
        <f>IFERROR(__xludf.DUMMYFUNCTION("""COMPUTED_VALUE"""),54.3)</f>
        <v/>
      </c>
      <c r="AW91" s="512">
        <f>IFERROR(__xludf.DUMMYFUNCTION("""COMPUTED_VALUE"""),45993.6666666666)</f>
        <v/>
      </c>
      <c r="AX91" s="513">
        <f>IFERROR(__xludf.DUMMYFUNCTION("""COMPUTED_VALUE"""),100.19)</f>
        <v/>
      </c>
      <c r="AZ91" s="512">
        <f>IFERROR(__xludf.DUMMYFUNCTION("""COMPUTED_VALUE"""),45993.6666666666)</f>
        <v/>
      </c>
      <c r="BA91" s="513">
        <f>IFERROR(__xludf.DUMMYFUNCTION("""COMPUTED_VALUE"""),110.92)</f>
        <v/>
      </c>
      <c r="BC91" s="512">
        <f>IFERROR(__xludf.DUMMYFUNCTION("""COMPUTED_VALUE"""),45993.6666666666)</f>
        <v/>
      </c>
      <c r="BD91" s="513">
        <f>IFERROR(__xludf.DUMMYFUNCTION("""COMPUTED_VALUE"""),96.77)</f>
        <v/>
      </c>
      <c r="BF91" s="512">
        <f>IFERROR(__xludf.DUMMYFUNCTION("""COMPUTED_VALUE"""),45993.6666666666)</f>
        <v/>
      </c>
      <c r="BG91" s="513">
        <f>IFERROR(__xludf.DUMMYFUNCTION("""COMPUTED_VALUE"""),82.81)</f>
        <v/>
      </c>
      <c r="BI91" s="512">
        <f>IFERROR(__xludf.DUMMYFUNCTION("""COMPUTED_VALUE"""),45993.6666666666)</f>
        <v/>
      </c>
      <c r="BJ91" s="513">
        <f>IFERROR(__xludf.DUMMYFUNCTION("""COMPUTED_VALUE"""),88.81)</f>
        <v/>
      </c>
      <c r="BL91" s="512">
        <f>IFERROR(__xludf.DUMMYFUNCTION("""COMPUTED_VALUE"""),45993.6666666666)</f>
        <v/>
      </c>
      <c r="BM91" s="513">
        <f>IFERROR(__xludf.DUMMYFUNCTION("""COMPUTED_VALUE"""),387.24)</f>
        <v/>
      </c>
      <c r="BO91" s="512">
        <f>IFERROR(__xludf.DUMMYFUNCTION("""COMPUTED_VALUE"""),45993.6666666666)</f>
        <v/>
      </c>
      <c r="BP91" s="513">
        <f>IFERROR(__xludf.DUMMYFUNCTION("""COMPUTED_VALUE"""),91.48)</f>
        <v/>
      </c>
    </row>
    <row r="92">
      <c r="A92" s="512">
        <f>IFERROR(__xludf.DUMMYFUNCTION("""COMPUTED_VALUE"""),45994.6666666666)</f>
        <v/>
      </c>
      <c r="B92" s="513">
        <f>IFERROR(__xludf.DUMMYFUNCTION("""COMPUTED_VALUE"""),683.89)</f>
        <v/>
      </c>
      <c r="D92" s="512">
        <f>IFERROR(__xludf.DUMMYFUNCTION("""COMPUTED_VALUE"""),45994.6666666666)</f>
        <v/>
      </c>
      <c r="E92" s="513">
        <f>IFERROR(__xludf.DUMMYFUNCTION("""COMPUTED_VALUE"""),90.2)</f>
        <v/>
      </c>
      <c r="G92" s="512">
        <f>IFERROR(__xludf.DUMMYFUNCTION("""COMPUTED_VALUE"""),46181.6666666666)</f>
        <v/>
      </c>
      <c r="H92" s="513">
        <f>IFERROR(__xludf.DUMMYFUNCTION("""COMPUTED_VALUE"""),69.86)</f>
        <v/>
      </c>
      <c r="J92" s="512">
        <f>IFERROR(__xludf.DUMMYFUNCTION("""COMPUTED_VALUE"""),45994.6666666666)</f>
        <v/>
      </c>
      <c r="K92" s="513">
        <f>IFERROR(__xludf.DUMMYFUNCTION("""COMPUTED_VALUE"""),82.61)</f>
        <v/>
      </c>
      <c r="M92" s="512">
        <f>IFERROR(__xludf.DUMMYFUNCTION("""COMPUTED_VALUE"""),45994.6666666666)</f>
        <v/>
      </c>
      <c r="N92" s="513">
        <f>IFERROR(__xludf.DUMMYFUNCTION("""COMPUTED_VALUE"""),249.63)</f>
        <v/>
      </c>
      <c r="P92" s="512">
        <f>IFERROR(__xludf.DUMMYFUNCTION("""COMPUTED_VALUE"""),45994.6666666666)</f>
        <v/>
      </c>
      <c r="Q92" s="513">
        <f>IFERROR(__xludf.DUMMYFUNCTION("""COMPUTED_VALUE"""),82.04)</f>
        <v/>
      </c>
      <c r="S92" s="512">
        <f>IFERROR(__xludf.DUMMYFUNCTION("""COMPUTED_VALUE"""),45264.6666666666)</f>
        <v/>
      </c>
      <c r="T92" s="513">
        <f>IFERROR(__xludf.DUMMYFUNCTION("""COMPUTED_VALUE"""),189.43)</f>
        <v/>
      </c>
      <c r="V92" s="512">
        <f>IFERROR(__xludf.DUMMYFUNCTION("""COMPUTED_VALUE"""),45994.6666666666)</f>
        <v/>
      </c>
      <c r="W92" s="513">
        <f>IFERROR(__xludf.DUMMYFUNCTION("""COMPUTED_VALUE"""),23.13)</f>
        <v/>
      </c>
      <c r="Y92" s="512">
        <f>IFERROR(__xludf.DUMMYFUNCTION("""COMPUTED_VALUE"""),45994.6666666666)</f>
        <v/>
      </c>
      <c r="Z92" s="513">
        <f>IFERROR(__xludf.DUMMYFUNCTION("""COMPUTED_VALUE"""),74.43)</f>
        <v/>
      </c>
      <c r="AB92" s="512">
        <f>IFERROR(__xludf.DUMMYFUNCTION("""COMPUTED_VALUE"""),45994.6666666666)</f>
        <v/>
      </c>
      <c r="AC92" s="513">
        <f>IFERROR(__xludf.DUMMYFUNCTION("""COMPUTED_VALUE"""),54.06)</f>
        <v/>
      </c>
      <c r="AE92" s="512">
        <f>IFERROR(__xludf.DUMMYFUNCTION("""COMPUTED_VALUE"""),45994.6666666666)</f>
        <v/>
      </c>
      <c r="AF92" s="513">
        <f>IFERROR(__xludf.DUMMYFUNCTION("""COMPUTED_VALUE"""),96.54)</f>
        <v/>
      </c>
      <c r="AH92" s="512">
        <f>IFERROR(__xludf.DUMMYFUNCTION("""COMPUTED_VALUE"""),45994.6666666666)</f>
        <v/>
      </c>
      <c r="AI92" s="513">
        <f>IFERROR(__xludf.DUMMYFUNCTION("""COMPUTED_VALUE"""),22.55)</f>
        <v/>
      </c>
      <c r="AK92" s="512">
        <f>IFERROR(__xludf.DUMMYFUNCTION("""COMPUTED_VALUE"""),45994.6666666666)</f>
        <v/>
      </c>
      <c r="AL92" s="513">
        <f>IFERROR(__xludf.DUMMYFUNCTION("""COMPUTED_VALUE"""),80.69)</f>
        <v/>
      </c>
      <c r="AN92" s="512">
        <f>IFERROR(__xludf.DUMMYFUNCTION("""COMPUTED_VALUE"""),45994.6666666666)</f>
        <v/>
      </c>
      <c r="AO92" s="513">
        <f>IFERROR(__xludf.DUMMYFUNCTION("""COMPUTED_VALUE"""),110.78)</f>
        <v/>
      </c>
      <c r="AQ92" s="512">
        <f>IFERROR(__xludf.DUMMYFUNCTION("""COMPUTED_VALUE"""),45994.6666666666)</f>
        <v/>
      </c>
      <c r="AR92" s="513">
        <f>IFERROR(__xludf.DUMMYFUNCTION("""COMPUTED_VALUE"""),95.55)</f>
        <v/>
      </c>
      <c r="AT92" s="512">
        <f>IFERROR(__xludf.DUMMYFUNCTION("""COMPUTED_VALUE"""),45994.6666666666)</f>
        <v/>
      </c>
      <c r="AU92" s="513">
        <f>IFERROR(__xludf.DUMMYFUNCTION("""COMPUTED_VALUE"""),54.34)</f>
        <v/>
      </c>
      <c r="AW92" s="512">
        <f>IFERROR(__xludf.DUMMYFUNCTION("""COMPUTED_VALUE"""),45994.6666666666)</f>
        <v/>
      </c>
      <c r="AX92" s="513">
        <f>IFERROR(__xludf.DUMMYFUNCTION("""COMPUTED_VALUE"""),100.38)</f>
        <v/>
      </c>
      <c r="AZ92" s="512">
        <f>IFERROR(__xludf.DUMMYFUNCTION("""COMPUTED_VALUE"""),45994.6666666666)</f>
        <v/>
      </c>
      <c r="BA92" s="513">
        <f>IFERROR(__xludf.DUMMYFUNCTION("""COMPUTED_VALUE"""),111.17)</f>
        <v/>
      </c>
      <c r="BC92" s="512">
        <f>IFERROR(__xludf.DUMMYFUNCTION("""COMPUTED_VALUE"""),45994.6666666666)</f>
        <v/>
      </c>
      <c r="BD92" s="513">
        <f>IFERROR(__xludf.DUMMYFUNCTION("""COMPUTED_VALUE"""),96.97)</f>
        <v/>
      </c>
      <c r="BF92" s="512">
        <f>IFERROR(__xludf.DUMMYFUNCTION("""COMPUTED_VALUE"""),45994.6666666666)</f>
        <v/>
      </c>
      <c r="BG92" s="513">
        <f>IFERROR(__xludf.DUMMYFUNCTION("""COMPUTED_VALUE"""),82.86)</f>
        <v/>
      </c>
      <c r="BI92" s="512">
        <f>IFERROR(__xludf.DUMMYFUNCTION("""COMPUTED_VALUE"""),45994.6666666666)</f>
        <v/>
      </c>
      <c r="BJ92" s="513">
        <f>IFERROR(__xludf.DUMMYFUNCTION("""COMPUTED_VALUE"""),89.06)</f>
        <v/>
      </c>
      <c r="BL92" s="512">
        <f>IFERROR(__xludf.DUMMYFUNCTION("""COMPUTED_VALUE"""),45994.6666666666)</f>
        <v/>
      </c>
      <c r="BM92" s="513">
        <f>IFERROR(__xludf.DUMMYFUNCTION("""COMPUTED_VALUE"""),386.88)</f>
        <v/>
      </c>
      <c r="BO92" s="512">
        <f>IFERROR(__xludf.DUMMYFUNCTION("""COMPUTED_VALUE"""),45994.6666666666)</f>
        <v/>
      </c>
      <c r="BP92" s="513">
        <f>IFERROR(__xludf.DUMMYFUNCTION("""COMPUTED_VALUE"""),91.49)</f>
        <v/>
      </c>
    </row>
    <row r="93">
      <c r="A93" s="512">
        <f>IFERROR(__xludf.DUMMYFUNCTION("""COMPUTED_VALUE"""),45995.6666666666)</f>
        <v/>
      </c>
      <c r="B93" s="513">
        <f>IFERROR(__xludf.DUMMYFUNCTION("""COMPUTED_VALUE"""),684.39)</f>
        <v/>
      </c>
      <c r="D93" s="512">
        <f>IFERROR(__xludf.DUMMYFUNCTION("""COMPUTED_VALUE"""),45995.6666666666)</f>
        <v/>
      </c>
      <c r="E93" s="513">
        <f>IFERROR(__xludf.DUMMYFUNCTION("""COMPUTED_VALUE"""),89.98)</f>
        <v/>
      </c>
      <c r="G93" s="512">
        <f>IFERROR(__xludf.DUMMYFUNCTION("""COMPUTED_VALUE"""),46182.6666666666)</f>
        <v/>
      </c>
      <c r="H93" s="513">
        <f>IFERROR(__xludf.DUMMYFUNCTION("""COMPUTED_VALUE"""),69.84)</f>
        <v/>
      </c>
      <c r="J93" s="512">
        <f>IFERROR(__xludf.DUMMYFUNCTION("""COMPUTED_VALUE"""),45995.6666666666)</f>
        <v/>
      </c>
      <c r="K93" s="513">
        <f>IFERROR(__xludf.DUMMYFUNCTION("""COMPUTED_VALUE"""),83.62)</f>
        <v/>
      </c>
      <c r="M93" s="512">
        <f>IFERROR(__xludf.DUMMYFUNCTION("""COMPUTED_VALUE"""),45995.6666666666)</f>
        <v/>
      </c>
      <c r="N93" s="513">
        <f>IFERROR(__xludf.DUMMYFUNCTION("""COMPUTED_VALUE"""),251.82)</f>
        <v/>
      </c>
      <c r="P93" s="512">
        <f>IFERROR(__xludf.DUMMYFUNCTION("""COMPUTED_VALUE"""),45995.6666666666)</f>
        <v/>
      </c>
      <c r="Q93" s="513">
        <f>IFERROR(__xludf.DUMMYFUNCTION("""COMPUTED_VALUE"""),81.99)</f>
        <v/>
      </c>
      <c r="S93" s="512">
        <f>IFERROR(__xludf.DUMMYFUNCTION("""COMPUTED_VALUE"""),45265.6666666666)</f>
        <v/>
      </c>
      <c r="T93" s="513">
        <f>IFERROR(__xludf.DUMMYFUNCTION("""COMPUTED_VALUE"""),193.42)</f>
        <v/>
      </c>
      <c r="V93" s="512">
        <f>IFERROR(__xludf.DUMMYFUNCTION("""COMPUTED_VALUE"""),45995.6666666666)</f>
        <v/>
      </c>
      <c r="W93" s="513">
        <f>IFERROR(__xludf.DUMMYFUNCTION("""COMPUTED_VALUE"""),23.19)</f>
        <v/>
      </c>
      <c r="Y93" s="512">
        <f>IFERROR(__xludf.DUMMYFUNCTION("""COMPUTED_VALUE"""),45995.6666666666)</f>
        <v/>
      </c>
      <c r="Z93" s="513">
        <f>IFERROR(__xludf.DUMMYFUNCTION("""COMPUTED_VALUE"""),74.29)</f>
        <v/>
      </c>
      <c r="AB93" s="512">
        <f>IFERROR(__xludf.DUMMYFUNCTION("""COMPUTED_VALUE"""),45995.6666666666)</f>
        <v/>
      </c>
      <c r="AC93" s="513">
        <f>IFERROR(__xludf.DUMMYFUNCTION("""COMPUTED_VALUE"""),54.18)</f>
        <v/>
      </c>
      <c r="AE93" s="512">
        <f>IFERROR(__xludf.DUMMYFUNCTION("""COMPUTED_VALUE"""),45995.6666666666)</f>
        <v/>
      </c>
      <c r="AF93" s="513">
        <f>IFERROR(__xludf.DUMMYFUNCTION("""COMPUTED_VALUE"""),96.46)</f>
        <v/>
      </c>
      <c r="AH93" s="512">
        <f>IFERROR(__xludf.DUMMYFUNCTION("""COMPUTED_VALUE"""),45995.6666666666)</f>
        <v/>
      </c>
      <c r="AI93" s="513">
        <f>IFERROR(__xludf.DUMMYFUNCTION("""COMPUTED_VALUE"""),22.48)</f>
        <v/>
      </c>
      <c r="AK93" s="512">
        <f>IFERROR(__xludf.DUMMYFUNCTION("""COMPUTED_VALUE"""),45995.6666666666)</f>
        <v/>
      </c>
      <c r="AL93" s="513">
        <f>IFERROR(__xludf.DUMMYFUNCTION("""COMPUTED_VALUE"""),80.75)</f>
        <v/>
      </c>
      <c r="AN93" s="512">
        <f>IFERROR(__xludf.DUMMYFUNCTION("""COMPUTED_VALUE"""),45995.6666666666)</f>
        <v/>
      </c>
      <c r="AO93" s="513">
        <f>IFERROR(__xludf.DUMMYFUNCTION("""COMPUTED_VALUE"""),110.63)</f>
        <v/>
      </c>
      <c r="AQ93" s="512">
        <f>IFERROR(__xludf.DUMMYFUNCTION("""COMPUTED_VALUE"""),45995.6666666666)</f>
        <v/>
      </c>
      <c r="AR93" s="513">
        <f>IFERROR(__xludf.DUMMYFUNCTION("""COMPUTED_VALUE"""),95.81)</f>
        <v/>
      </c>
      <c r="AT93" s="512">
        <f>IFERROR(__xludf.DUMMYFUNCTION("""COMPUTED_VALUE"""),45995.6666666666)</f>
        <v/>
      </c>
      <c r="AU93" s="513">
        <f>IFERROR(__xludf.DUMMYFUNCTION("""COMPUTED_VALUE"""),54.33)</f>
        <v/>
      </c>
      <c r="AW93" s="512">
        <f>IFERROR(__xludf.DUMMYFUNCTION("""COMPUTED_VALUE"""),45995.6666666666)</f>
        <v/>
      </c>
      <c r="AX93" s="513">
        <f>IFERROR(__xludf.DUMMYFUNCTION("""COMPUTED_VALUE"""),100.14)</f>
        <v/>
      </c>
      <c r="AZ93" s="512">
        <f>IFERROR(__xludf.DUMMYFUNCTION("""COMPUTED_VALUE"""),45995.6666666666)</f>
        <v/>
      </c>
      <c r="BA93" s="513">
        <f>IFERROR(__xludf.DUMMYFUNCTION("""COMPUTED_VALUE"""),110.97)</f>
        <v/>
      </c>
      <c r="BC93" s="512">
        <f>IFERROR(__xludf.DUMMYFUNCTION("""COMPUTED_VALUE"""),45995.6666666666)</f>
        <v/>
      </c>
      <c r="BD93" s="513">
        <f>IFERROR(__xludf.DUMMYFUNCTION("""COMPUTED_VALUE"""),96.67)</f>
        <v/>
      </c>
      <c r="BF93" s="512">
        <f>IFERROR(__xludf.DUMMYFUNCTION("""COMPUTED_VALUE"""),45995.6666666666)</f>
        <v/>
      </c>
      <c r="BG93" s="513">
        <f>IFERROR(__xludf.DUMMYFUNCTION("""COMPUTED_VALUE"""),82.8)</f>
        <v/>
      </c>
      <c r="BI93" s="512">
        <f>IFERROR(__xludf.DUMMYFUNCTION("""COMPUTED_VALUE"""),45995.6666666666)</f>
        <v/>
      </c>
      <c r="BJ93" s="513">
        <f>IFERROR(__xludf.DUMMYFUNCTION("""COMPUTED_VALUE"""),88.58)</f>
        <v/>
      </c>
      <c r="BL93" s="512">
        <f>IFERROR(__xludf.DUMMYFUNCTION("""COMPUTED_VALUE"""),45995.6666666666)</f>
        <v/>
      </c>
      <c r="BM93" s="513">
        <f>IFERROR(__xludf.DUMMYFUNCTION("""COMPUTED_VALUE"""),387.13)</f>
        <v/>
      </c>
      <c r="BO93" s="512">
        <f>IFERROR(__xludf.DUMMYFUNCTION("""COMPUTED_VALUE"""),45995.6666666666)</f>
        <v/>
      </c>
      <c r="BP93" s="513">
        <f>IFERROR(__xludf.DUMMYFUNCTION("""COMPUTED_VALUE"""),91.5)</f>
        <v/>
      </c>
    </row>
    <row r="94">
      <c r="A94" s="512">
        <f>IFERROR(__xludf.DUMMYFUNCTION("""COMPUTED_VALUE"""),45996.6666666666)</f>
        <v/>
      </c>
      <c r="B94" s="513">
        <f>IFERROR(__xludf.DUMMYFUNCTION("""COMPUTED_VALUE"""),685.69)</f>
        <v/>
      </c>
      <c r="D94" s="512">
        <f>IFERROR(__xludf.DUMMYFUNCTION("""COMPUTED_VALUE"""),45996.6666666666)</f>
        <v/>
      </c>
      <c r="E94" s="513">
        <f>IFERROR(__xludf.DUMMYFUNCTION("""COMPUTED_VALUE"""),89.88)</f>
        <v/>
      </c>
      <c r="G94" s="512">
        <f>IFERROR(__xludf.DUMMYFUNCTION("""COMPUTED_VALUE"""),46183.6666666666)</f>
        <v/>
      </c>
      <c r="H94" s="513">
        <f>IFERROR(__xludf.DUMMYFUNCTION("""COMPUTED_VALUE"""),68.81)</f>
        <v/>
      </c>
      <c r="J94" s="512">
        <f>IFERROR(__xludf.DUMMYFUNCTION("""COMPUTED_VALUE"""),45996.6666666666)</f>
        <v/>
      </c>
      <c r="K94" s="513">
        <f>IFERROR(__xludf.DUMMYFUNCTION("""COMPUTED_VALUE"""),83.7)</f>
        <v/>
      </c>
      <c r="M94" s="512">
        <f>IFERROR(__xludf.DUMMYFUNCTION("""COMPUTED_VALUE"""),45996.6666666666)</f>
        <v/>
      </c>
      <c r="N94" s="513">
        <f>IFERROR(__xludf.DUMMYFUNCTION("""COMPUTED_VALUE"""),250.77)</f>
        <v/>
      </c>
      <c r="P94" s="512">
        <f>IFERROR(__xludf.DUMMYFUNCTION("""COMPUTED_VALUE"""),45996.6666666666)</f>
        <v/>
      </c>
      <c r="Q94" s="513">
        <f>IFERROR(__xludf.DUMMYFUNCTION("""COMPUTED_VALUE"""),82.02)</f>
        <v/>
      </c>
      <c r="S94" s="512">
        <f>IFERROR(__xludf.DUMMYFUNCTION("""COMPUTED_VALUE"""),45266.6666666666)</f>
        <v/>
      </c>
      <c r="T94" s="513">
        <f>IFERROR(__xludf.DUMMYFUNCTION("""COMPUTED_VALUE"""),192.32)</f>
        <v/>
      </c>
      <c r="V94" s="512">
        <f>IFERROR(__xludf.DUMMYFUNCTION("""COMPUTED_VALUE"""),45996.6666666666)</f>
        <v/>
      </c>
      <c r="W94" s="513">
        <f>IFERROR(__xludf.DUMMYFUNCTION("""COMPUTED_VALUE"""),23.33)</f>
        <v/>
      </c>
      <c r="Y94" s="512">
        <f>IFERROR(__xludf.DUMMYFUNCTION("""COMPUTED_VALUE"""),45996.6666666666)</f>
        <v/>
      </c>
      <c r="Z94" s="513">
        <f>IFERROR(__xludf.DUMMYFUNCTION("""COMPUTED_VALUE"""),74.2)</f>
        <v/>
      </c>
      <c r="AB94" s="512">
        <f>IFERROR(__xludf.DUMMYFUNCTION("""COMPUTED_VALUE"""),45996.6666666666)</f>
        <v/>
      </c>
      <c r="AC94" s="513">
        <f>IFERROR(__xludf.DUMMYFUNCTION("""COMPUTED_VALUE"""),54.4)</f>
        <v/>
      </c>
      <c r="AE94" s="512">
        <f>IFERROR(__xludf.DUMMYFUNCTION("""COMPUTED_VALUE"""),45996.6666666666)</f>
        <v/>
      </c>
      <c r="AF94" s="513">
        <f>IFERROR(__xludf.DUMMYFUNCTION("""COMPUTED_VALUE"""),96.33)</f>
        <v/>
      </c>
      <c r="AH94" s="512">
        <f>IFERROR(__xludf.DUMMYFUNCTION("""COMPUTED_VALUE"""),45996.6666666666)</f>
        <v/>
      </c>
      <c r="AI94" s="513">
        <f>IFERROR(__xludf.DUMMYFUNCTION("""COMPUTED_VALUE"""),22.51)</f>
        <v/>
      </c>
      <c r="AK94" s="512">
        <f>IFERROR(__xludf.DUMMYFUNCTION("""COMPUTED_VALUE"""),45996.6666666666)</f>
        <v/>
      </c>
      <c r="AL94" s="513">
        <f>IFERROR(__xludf.DUMMYFUNCTION("""COMPUTED_VALUE"""),80.75)</f>
        <v/>
      </c>
      <c r="AN94" s="512">
        <f>IFERROR(__xludf.DUMMYFUNCTION("""COMPUTED_VALUE"""),45996.6666666666)</f>
        <v/>
      </c>
      <c r="AO94" s="513">
        <f>IFERROR(__xludf.DUMMYFUNCTION("""COMPUTED_VALUE"""),110.45)</f>
        <v/>
      </c>
      <c r="AQ94" s="512">
        <f>IFERROR(__xludf.DUMMYFUNCTION("""COMPUTED_VALUE"""),45996.6666666666)</f>
        <v/>
      </c>
      <c r="AR94" s="513">
        <f>IFERROR(__xludf.DUMMYFUNCTION("""COMPUTED_VALUE"""),95.81)</f>
        <v/>
      </c>
      <c r="AT94" s="512">
        <f>IFERROR(__xludf.DUMMYFUNCTION("""COMPUTED_VALUE"""),45996.6666666666)</f>
        <v/>
      </c>
      <c r="AU94" s="513">
        <f>IFERROR(__xludf.DUMMYFUNCTION("""COMPUTED_VALUE"""),54.74)</f>
        <v/>
      </c>
      <c r="AW94" s="512">
        <f>IFERROR(__xludf.DUMMYFUNCTION("""COMPUTED_VALUE"""),45996.6666666666)</f>
        <v/>
      </c>
      <c r="AX94" s="513">
        <f>IFERROR(__xludf.DUMMYFUNCTION("""COMPUTED_VALUE"""),100.03)</f>
        <v/>
      </c>
      <c r="AZ94" s="512">
        <f>IFERROR(__xludf.DUMMYFUNCTION("""COMPUTED_VALUE"""),45996.6666666666)</f>
        <v/>
      </c>
      <c r="BA94" s="513">
        <f>IFERROR(__xludf.DUMMYFUNCTION("""COMPUTED_VALUE"""),110.86)</f>
        <v/>
      </c>
      <c r="BC94" s="512">
        <f>IFERROR(__xludf.DUMMYFUNCTION("""COMPUTED_VALUE"""),45996.6666666666)</f>
        <v/>
      </c>
      <c r="BD94" s="513">
        <f>IFERROR(__xludf.DUMMYFUNCTION("""COMPUTED_VALUE"""),96.47)</f>
        <v/>
      </c>
      <c r="BF94" s="512">
        <f>IFERROR(__xludf.DUMMYFUNCTION("""COMPUTED_VALUE"""),45996.6666666666)</f>
        <v/>
      </c>
      <c r="BG94" s="513">
        <f>IFERROR(__xludf.DUMMYFUNCTION("""COMPUTED_VALUE"""),82.77)</f>
        <v/>
      </c>
      <c r="BI94" s="512">
        <f>IFERROR(__xludf.DUMMYFUNCTION("""COMPUTED_VALUE"""),45996.6666666666)</f>
        <v/>
      </c>
      <c r="BJ94" s="513">
        <f>IFERROR(__xludf.DUMMYFUNCTION("""COMPUTED_VALUE"""),88.17)</f>
        <v/>
      </c>
      <c r="BL94" s="512">
        <f>IFERROR(__xludf.DUMMYFUNCTION("""COMPUTED_VALUE"""),45996.6666666666)</f>
        <v/>
      </c>
      <c r="BM94" s="513">
        <f>IFERROR(__xludf.DUMMYFUNCTION("""COMPUTED_VALUE"""),386.44)</f>
        <v/>
      </c>
      <c r="BO94" s="512">
        <f>IFERROR(__xludf.DUMMYFUNCTION("""COMPUTED_VALUE"""),45996.6666666666)</f>
        <v/>
      </c>
      <c r="BP94" s="513">
        <f>IFERROR(__xludf.DUMMYFUNCTION("""COMPUTED_VALUE"""),91.52)</f>
        <v/>
      </c>
    </row>
    <row r="95">
      <c r="A95" s="512">
        <f>IFERROR(__xludf.DUMMYFUNCTION("""COMPUTED_VALUE"""),45999.6666666666)</f>
        <v/>
      </c>
      <c r="B95" s="513">
        <f>IFERROR(__xludf.DUMMYFUNCTION("""COMPUTED_VALUE"""),683.63)</f>
        <v/>
      </c>
      <c r="D95" s="512">
        <f>IFERROR(__xludf.DUMMYFUNCTION("""COMPUTED_VALUE"""),45999.6666666666)</f>
        <v/>
      </c>
      <c r="E95" s="513">
        <f>IFERROR(__xludf.DUMMYFUNCTION("""COMPUTED_VALUE"""),89.19)</f>
        <v/>
      </c>
      <c r="G95" s="512">
        <f>IFERROR(__xludf.DUMMYFUNCTION("""COMPUTED_VALUE"""),46184.6666666666)</f>
        <v/>
      </c>
      <c r="H95" s="513">
        <f>IFERROR(__xludf.DUMMYFUNCTION("""COMPUTED_VALUE"""),71.31)</f>
        <v/>
      </c>
      <c r="J95" s="512">
        <f>IFERROR(__xludf.DUMMYFUNCTION("""COMPUTED_VALUE"""),45999.6666666666)</f>
        <v/>
      </c>
      <c r="K95" s="513">
        <f>IFERROR(__xludf.DUMMYFUNCTION("""COMPUTED_VALUE"""),83.19)</f>
        <v/>
      </c>
      <c r="M95" s="512">
        <f>IFERROR(__xludf.DUMMYFUNCTION("""COMPUTED_VALUE"""),45999.6666666666)</f>
        <v/>
      </c>
      <c r="N95" s="513">
        <f>IFERROR(__xludf.DUMMYFUNCTION("""COMPUTED_VALUE"""),250.87)</f>
        <v/>
      </c>
      <c r="P95" s="512">
        <f>IFERROR(__xludf.DUMMYFUNCTION("""COMPUTED_VALUE"""),45999.6666666666)</f>
        <v/>
      </c>
      <c r="Q95" s="513">
        <f>IFERROR(__xludf.DUMMYFUNCTION("""COMPUTED_VALUE"""),81.83)</f>
        <v/>
      </c>
      <c r="S95" s="512">
        <f>IFERROR(__xludf.DUMMYFUNCTION("""COMPUTED_VALUE"""),45267.6666666666)</f>
        <v/>
      </c>
      <c r="T95" s="513">
        <f>IFERROR(__xludf.DUMMYFUNCTION("""COMPUTED_VALUE"""),194.27)</f>
        <v/>
      </c>
      <c r="V95" s="512">
        <f>IFERROR(__xludf.DUMMYFUNCTION("""COMPUTED_VALUE"""),45999.6666666666)</f>
        <v/>
      </c>
      <c r="W95" s="513">
        <f>IFERROR(__xludf.DUMMYFUNCTION("""COMPUTED_VALUE"""),23.04)</f>
        <v/>
      </c>
      <c r="Y95" s="512">
        <f>IFERROR(__xludf.DUMMYFUNCTION("""COMPUTED_VALUE"""),45999.6666666666)</f>
        <v/>
      </c>
      <c r="Z95" s="513">
        <f>IFERROR(__xludf.DUMMYFUNCTION("""COMPUTED_VALUE"""),74.09)</f>
        <v/>
      </c>
      <c r="AB95" s="512">
        <f>IFERROR(__xludf.DUMMYFUNCTION("""COMPUTED_VALUE"""),45999.6666666666)</f>
        <v/>
      </c>
      <c r="AC95" s="513">
        <f>IFERROR(__xludf.DUMMYFUNCTION("""COMPUTED_VALUE"""),54.2)</f>
        <v/>
      </c>
      <c r="AE95" s="512">
        <f>IFERROR(__xludf.DUMMYFUNCTION("""COMPUTED_VALUE"""),45999.6666666666)</f>
        <v/>
      </c>
      <c r="AF95" s="513">
        <f>IFERROR(__xludf.DUMMYFUNCTION("""COMPUTED_VALUE"""),95.93)</f>
        <v/>
      </c>
      <c r="AH95" s="512">
        <f>IFERROR(__xludf.DUMMYFUNCTION("""COMPUTED_VALUE"""),45999.6666666666)</f>
        <v/>
      </c>
      <c r="AI95" s="513">
        <f>IFERROR(__xludf.DUMMYFUNCTION("""COMPUTED_VALUE"""),22.44)</f>
        <v/>
      </c>
      <c r="AK95" s="512">
        <f>IFERROR(__xludf.DUMMYFUNCTION("""COMPUTED_VALUE"""),45999.6666666666)</f>
        <v/>
      </c>
      <c r="AL95" s="513">
        <f>IFERROR(__xludf.DUMMYFUNCTION("""COMPUTED_VALUE"""),80.55)</f>
        <v/>
      </c>
      <c r="AN95" s="512">
        <f>IFERROR(__xludf.DUMMYFUNCTION("""COMPUTED_VALUE"""),45999.6666666666)</f>
        <v/>
      </c>
      <c r="AO95" s="513">
        <f>IFERROR(__xludf.DUMMYFUNCTION("""COMPUTED_VALUE"""),110.23)</f>
        <v/>
      </c>
      <c r="AQ95" s="512">
        <f>IFERROR(__xludf.DUMMYFUNCTION("""COMPUTED_VALUE"""),45999.6666666666)</f>
        <v/>
      </c>
      <c r="AR95" s="513">
        <f>IFERROR(__xludf.DUMMYFUNCTION("""COMPUTED_VALUE"""),95.51)</f>
        <v/>
      </c>
      <c r="AT95" s="512">
        <f>IFERROR(__xludf.DUMMYFUNCTION("""COMPUTED_VALUE"""),45999.6666666666)</f>
        <v/>
      </c>
      <c r="AU95" s="513">
        <f>IFERROR(__xludf.DUMMYFUNCTION("""COMPUTED_VALUE"""),54.62)</f>
        <v/>
      </c>
      <c r="AW95" s="512">
        <f>IFERROR(__xludf.DUMMYFUNCTION("""COMPUTED_VALUE"""),45999.6666666666)</f>
        <v/>
      </c>
      <c r="AX95" s="513">
        <f>IFERROR(__xludf.DUMMYFUNCTION("""COMPUTED_VALUE"""),99.87)</f>
        <v/>
      </c>
      <c r="AZ95" s="512">
        <f>IFERROR(__xludf.DUMMYFUNCTION("""COMPUTED_VALUE"""),45999.6666666666)</f>
        <v/>
      </c>
      <c r="BA95" s="513">
        <f>IFERROR(__xludf.DUMMYFUNCTION("""COMPUTED_VALUE"""),110.63)</f>
        <v/>
      </c>
      <c r="BC95" s="512">
        <f>IFERROR(__xludf.DUMMYFUNCTION("""COMPUTED_VALUE"""),45999.6666666666)</f>
        <v/>
      </c>
      <c r="BD95" s="513">
        <f>IFERROR(__xludf.DUMMYFUNCTION("""COMPUTED_VALUE"""),96.27)</f>
        <v/>
      </c>
      <c r="BF95" s="512">
        <f>IFERROR(__xludf.DUMMYFUNCTION("""COMPUTED_VALUE"""),45999.6666666666)</f>
        <v/>
      </c>
      <c r="BG95" s="513">
        <f>IFERROR(__xludf.DUMMYFUNCTION("""COMPUTED_VALUE"""),82.75)</f>
        <v/>
      </c>
      <c r="BI95" s="512">
        <f>IFERROR(__xludf.DUMMYFUNCTION("""COMPUTED_VALUE"""),45999.6666666666)</f>
        <v/>
      </c>
      <c r="BJ95" s="513">
        <f>IFERROR(__xludf.DUMMYFUNCTION("""COMPUTED_VALUE"""),87.88)</f>
        <v/>
      </c>
      <c r="BL95" s="512">
        <f>IFERROR(__xludf.DUMMYFUNCTION("""COMPUTED_VALUE"""),45999.6666666666)</f>
        <v/>
      </c>
      <c r="BM95" s="513">
        <f>IFERROR(__xludf.DUMMYFUNCTION("""COMPUTED_VALUE"""),385.42)</f>
        <v/>
      </c>
      <c r="BO95" s="512">
        <f>IFERROR(__xludf.DUMMYFUNCTION("""COMPUTED_VALUE"""),45999.6666666666)</f>
        <v/>
      </c>
      <c r="BP95" s="513">
        <f>IFERROR(__xludf.DUMMYFUNCTION("""COMPUTED_VALUE"""),91.53)</f>
        <v/>
      </c>
    </row>
    <row r="96">
      <c r="A96" s="512">
        <f>IFERROR(__xludf.DUMMYFUNCTION("""COMPUTED_VALUE"""),46000.6666666666)</f>
        <v/>
      </c>
      <c r="B96" s="513">
        <f>IFERROR(__xludf.DUMMYFUNCTION("""COMPUTED_VALUE"""),683.04)</f>
        <v/>
      </c>
      <c r="D96" s="512">
        <f>IFERROR(__xludf.DUMMYFUNCTION("""COMPUTED_VALUE"""),46000.6666666666)</f>
        <v/>
      </c>
      <c r="E96" s="513">
        <f>IFERROR(__xludf.DUMMYFUNCTION("""COMPUTED_VALUE"""),88.85)</f>
        <v/>
      </c>
      <c r="G96" s="512">
        <f>IFERROR(__xludf.DUMMYFUNCTION("""COMPUTED_VALUE"""),46185.6666666666)</f>
        <v/>
      </c>
      <c r="H96" s="513">
        <f>IFERROR(__xludf.DUMMYFUNCTION("""COMPUTED_VALUE"""),71.55)</f>
        <v/>
      </c>
      <c r="J96" s="512">
        <f>IFERROR(__xludf.DUMMYFUNCTION("""COMPUTED_VALUE"""),46000.6666666666)</f>
        <v/>
      </c>
      <c r="K96" s="513">
        <f>IFERROR(__xludf.DUMMYFUNCTION("""COMPUTED_VALUE"""),83.31)</f>
        <v/>
      </c>
      <c r="M96" s="512">
        <f>IFERROR(__xludf.DUMMYFUNCTION("""COMPUTED_VALUE"""),46000.6666666666)</f>
        <v/>
      </c>
      <c r="N96" s="513">
        <f>IFERROR(__xludf.DUMMYFUNCTION("""COMPUTED_VALUE"""),251.39)</f>
        <v/>
      </c>
      <c r="P96" s="512">
        <f>IFERROR(__xludf.DUMMYFUNCTION("""COMPUTED_VALUE"""),46000.6666666666)</f>
        <v/>
      </c>
      <c r="Q96" s="513">
        <f>IFERROR(__xludf.DUMMYFUNCTION("""COMPUTED_VALUE"""),81.61)</f>
        <v/>
      </c>
      <c r="S96" s="512">
        <f>IFERROR(__xludf.DUMMYFUNCTION("""COMPUTED_VALUE"""),45268.6666666666)</f>
        <v/>
      </c>
      <c r="T96" s="513">
        <f>IFERROR(__xludf.DUMMYFUNCTION("""COMPUTED_VALUE"""),195.71)</f>
        <v/>
      </c>
      <c r="V96" s="512">
        <f>IFERROR(__xludf.DUMMYFUNCTION("""COMPUTED_VALUE"""),46000.6666666666)</f>
        <v/>
      </c>
      <c r="W96" s="513">
        <f>IFERROR(__xludf.DUMMYFUNCTION("""COMPUTED_VALUE"""),22.99)</f>
        <v/>
      </c>
      <c r="Y96" s="512">
        <f>IFERROR(__xludf.DUMMYFUNCTION("""COMPUTED_VALUE"""),46000.6666666666)</f>
        <v/>
      </c>
      <c r="Z96" s="513">
        <f>IFERROR(__xludf.DUMMYFUNCTION("""COMPUTED_VALUE"""),74.04)</f>
        <v/>
      </c>
      <c r="AB96" s="512">
        <f>IFERROR(__xludf.DUMMYFUNCTION("""COMPUTED_VALUE"""),46000.6666666666)</f>
        <v/>
      </c>
      <c r="AC96" s="513">
        <f>IFERROR(__xludf.DUMMYFUNCTION("""COMPUTED_VALUE"""),54.11)</f>
        <v/>
      </c>
      <c r="AE96" s="512">
        <f>IFERROR(__xludf.DUMMYFUNCTION("""COMPUTED_VALUE"""),46000.6666666666)</f>
        <v/>
      </c>
      <c r="AF96" s="513">
        <f>IFERROR(__xludf.DUMMYFUNCTION("""COMPUTED_VALUE"""),95.85)</f>
        <v/>
      </c>
      <c r="AH96" s="512">
        <f>IFERROR(__xludf.DUMMYFUNCTION("""COMPUTED_VALUE"""),46000.6666666666)</f>
        <v/>
      </c>
      <c r="AI96" s="513">
        <f>IFERROR(__xludf.DUMMYFUNCTION("""COMPUTED_VALUE"""),22.41)</f>
        <v/>
      </c>
      <c r="AK96" s="512">
        <f>IFERROR(__xludf.DUMMYFUNCTION("""COMPUTED_VALUE"""),46000.6666666666)</f>
        <v/>
      </c>
      <c r="AL96" s="513">
        <f>IFERROR(__xludf.DUMMYFUNCTION("""COMPUTED_VALUE"""),80.46)</f>
        <v/>
      </c>
      <c r="AN96" s="512">
        <f>IFERROR(__xludf.DUMMYFUNCTION("""COMPUTED_VALUE"""),46000.6666666666)</f>
        <v/>
      </c>
      <c r="AO96" s="513">
        <f>IFERROR(__xludf.DUMMYFUNCTION("""COMPUTED_VALUE"""),110.09)</f>
        <v/>
      </c>
      <c r="AQ96" s="512">
        <f>IFERROR(__xludf.DUMMYFUNCTION("""COMPUTED_VALUE"""),46000.6666666666)</f>
        <v/>
      </c>
      <c r="AR96" s="513">
        <f>IFERROR(__xludf.DUMMYFUNCTION("""COMPUTED_VALUE"""),95.38)</f>
        <v/>
      </c>
      <c r="AT96" s="512">
        <f>IFERROR(__xludf.DUMMYFUNCTION("""COMPUTED_VALUE"""),46000.6666666666)</f>
        <v/>
      </c>
      <c r="AU96" s="513">
        <f>IFERROR(__xludf.DUMMYFUNCTION("""COMPUTED_VALUE"""),54.53)</f>
        <v/>
      </c>
      <c r="AW96" s="512">
        <f>IFERROR(__xludf.DUMMYFUNCTION("""COMPUTED_VALUE"""),46000.6666666666)</f>
        <v/>
      </c>
      <c r="AX96" s="513">
        <f>IFERROR(__xludf.DUMMYFUNCTION("""COMPUTED_VALUE"""),99.78)</f>
        <v/>
      </c>
      <c r="AZ96" s="512">
        <f>IFERROR(__xludf.DUMMYFUNCTION("""COMPUTED_VALUE"""),46000.6666666666)</f>
        <v/>
      </c>
      <c r="BA96" s="513">
        <f>IFERROR(__xludf.DUMMYFUNCTION("""COMPUTED_VALUE"""),110.49)</f>
        <v/>
      </c>
      <c r="BC96" s="512">
        <f>IFERROR(__xludf.DUMMYFUNCTION("""COMPUTED_VALUE"""),46000.6666666666)</f>
        <v/>
      </c>
      <c r="BD96" s="513">
        <f>IFERROR(__xludf.DUMMYFUNCTION("""COMPUTED_VALUE"""),96.13)</f>
        <v/>
      </c>
      <c r="BF96" s="512">
        <f>IFERROR(__xludf.DUMMYFUNCTION("""COMPUTED_VALUE"""),46000.6666666666)</f>
        <v/>
      </c>
      <c r="BG96" s="513">
        <f>IFERROR(__xludf.DUMMYFUNCTION("""COMPUTED_VALUE"""),82.71)</f>
        <v/>
      </c>
      <c r="BI96" s="512">
        <f>IFERROR(__xludf.DUMMYFUNCTION("""COMPUTED_VALUE"""),46000.6666666666)</f>
        <v/>
      </c>
      <c r="BJ96" s="513">
        <f>IFERROR(__xludf.DUMMYFUNCTION("""COMPUTED_VALUE"""),87.97)</f>
        <v/>
      </c>
      <c r="BL96" s="512">
        <f>IFERROR(__xludf.DUMMYFUNCTION("""COMPUTED_VALUE"""),46000.6666666666)</f>
        <v/>
      </c>
      <c r="BM96" s="513">
        <f>IFERROR(__xludf.DUMMYFUNCTION("""COMPUTED_VALUE"""),387.4)</f>
        <v/>
      </c>
      <c r="BO96" s="512">
        <f>IFERROR(__xludf.DUMMYFUNCTION("""COMPUTED_VALUE"""),46000.6666666666)</f>
        <v/>
      </c>
      <c r="BP96" s="513">
        <f>IFERROR(__xludf.DUMMYFUNCTION("""COMPUTED_VALUE"""),91.55)</f>
        <v/>
      </c>
    </row>
    <row r="97">
      <c r="A97" s="512">
        <f>IFERROR(__xludf.DUMMYFUNCTION("""COMPUTED_VALUE"""),46001.6666666666)</f>
        <v/>
      </c>
      <c r="B97" s="513">
        <f>IFERROR(__xludf.DUMMYFUNCTION("""COMPUTED_VALUE"""),687.57)</f>
        <v/>
      </c>
      <c r="D97" s="512">
        <f>IFERROR(__xludf.DUMMYFUNCTION("""COMPUTED_VALUE"""),46001.6666666666)</f>
        <v/>
      </c>
      <c r="E97" s="513">
        <f>IFERROR(__xludf.DUMMYFUNCTION("""COMPUTED_VALUE"""),89.17)</f>
        <v/>
      </c>
      <c r="G97" s="512">
        <f>IFERROR(__xludf.DUMMYFUNCTION("""COMPUTED_VALUE"""),46188.6666666666)</f>
        <v/>
      </c>
      <c r="H97" s="513">
        <f>IFERROR(__xludf.DUMMYFUNCTION("""COMPUTED_VALUE"""),72.39)</f>
        <v/>
      </c>
      <c r="J97" s="512">
        <f>IFERROR(__xludf.DUMMYFUNCTION("""COMPUTED_VALUE"""),46001.6666666666)</f>
        <v/>
      </c>
      <c r="K97" s="513">
        <f>IFERROR(__xludf.DUMMYFUNCTION("""COMPUTED_VALUE"""),83.91)</f>
        <v/>
      </c>
      <c r="M97" s="512">
        <f>IFERROR(__xludf.DUMMYFUNCTION("""COMPUTED_VALUE"""),46001.6666666666)</f>
        <v/>
      </c>
      <c r="N97" s="513">
        <f>IFERROR(__xludf.DUMMYFUNCTION("""COMPUTED_VALUE"""),254.81)</f>
        <v/>
      </c>
      <c r="P97" s="512">
        <f>IFERROR(__xludf.DUMMYFUNCTION("""COMPUTED_VALUE"""),46001.6666666666)</f>
        <v/>
      </c>
      <c r="Q97" s="513">
        <f>IFERROR(__xludf.DUMMYFUNCTION("""COMPUTED_VALUE"""),82.61)</f>
        <v/>
      </c>
      <c r="S97" s="512">
        <f>IFERROR(__xludf.DUMMYFUNCTION("""COMPUTED_VALUE"""),45271.6666666666)</f>
        <v/>
      </c>
      <c r="T97" s="513">
        <f>IFERROR(__xludf.DUMMYFUNCTION("""COMPUTED_VALUE"""),193.18)</f>
        <v/>
      </c>
      <c r="V97" s="512">
        <f>IFERROR(__xludf.DUMMYFUNCTION("""COMPUTED_VALUE"""),46001.6666666666)</f>
        <v/>
      </c>
      <c r="W97" s="513">
        <f>IFERROR(__xludf.DUMMYFUNCTION("""COMPUTED_VALUE"""),23.13)</f>
        <v/>
      </c>
      <c r="Y97" s="512">
        <f>IFERROR(__xludf.DUMMYFUNCTION("""COMPUTED_VALUE"""),46001.6666666666)</f>
        <v/>
      </c>
      <c r="Z97" s="513">
        <f>IFERROR(__xludf.DUMMYFUNCTION("""COMPUTED_VALUE"""),74.26)</f>
        <v/>
      </c>
      <c r="AB97" s="512">
        <f>IFERROR(__xludf.DUMMYFUNCTION("""COMPUTED_VALUE"""),46001.6666666666)</f>
        <v/>
      </c>
      <c r="AC97" s="513">
        <f>IFERROR(__xludf.DUMMYFUNCTION("""COMPUTED_VALUE"""),54.56)</f>
        <v/>
      </c>
      <c r="AE97" s="512">
        <f>IFERROR(__xludf.DUMMYFUNCTION("""COMPUTED_VALUE"""),46001.6666666666)</f>
        <v/>
      </c>
      <c r="AF97" s="513">
        <f>IFERROR(__xludf.DUMMYFUNCTION("""COMPUTED_VALUE"""),96.24)</f>
        <v/>
      </c>
      <c r="AH97" s="512">
        <f>IFERROR(__xludf.DUMMYFUNCTION("""COMPUTED_VALUE"""),46001.6666666666)</f>
        <v/>
      </c>
      <c r="AI97" s="513">
        <f>IFERROR(__xludf.DUMMYFUNCTION("""COMPUTED_VALUE"""),22.51)</f>
        <v/>
      </c>
      <c r="AK97" s="512">
        <f>IFERROR(__xludf.DUMMYFUNCTION("""COMPUTED_VALUE"""),46001.6666666666)</f>
        <v/>
      </c>
      <c r="AL97" s="513">
        <f>IFERROR(__xludf.DUMMYFUNCTION("""COMPUTED_VALUE"""),80.73)</f>
        <v/>
      </c>
      <c r="AN97" s="512">
        <f>IFERROR(__xludf.DUMMYFUNCTION("""COMPUTED_VALUE"""),46001.6666666666)</f>
        <v/>
      </c>
      <c r="AO97" s="513">
        <f>IFERROR(__xludf.DUMMYFUNCTION("""COMPUTED_VALUE"""),110.45)</f>
        <v/>
      </c>
      <c r="AQ97" s="512">
        <f>IFERROR(__xludf.DUMMYFUNCTION("""COMPUTED_VALUE"""),46001.6666666666)</f>
        <v/>
      </c>
      <c r="AR97" s="513">
        <f>IFERROR(__xludf.DUMMYFUNCTION("""COMPUTED_VALUE"""),96.44)</f>
        <v/>
      </c>
      <c r="AT97" s="512">
        <f>IFERROR(__xludf.DUMMYFUNCTION("""COMPUTED_VALUE"""),46001.6666666666)</f>
        <v/>
      </c>
      <c r="AU97" s="513">
        <f>IFERROR(__xludf.DUMMYFUNCTION("""COMPUTED_VALUE"""),55.14)</f>
        <v/>
      </c>
      <c r="AW97" s="512">
        <f>IFERROR(__xludf.DUMMYFUNCTION("""COMPUTED_VALUE"""),46001.6666666666)</f>
        <v/>
      </c>
      <c r="AX97" s="513">
        <f>IFERROR(__xludf.DUMMYFUNCTION("""COMPUTED_VALUE"""),100.1)</f>
        <v/>
      </c>
      <c r="AZ97" s="512">
        <f>IFERROR(__xludf.DUMMYFUNCTION("""COMPUTED_VALUE"""),46001.6666666666)</f>
        <v/>
      </c>
      <c r="BA97" s="513">
        <f>IFERROR(__xludf.DUMMYFUNCTION("""COMPUTED_VALUE"""),111)</f>
        <v/>
      </c>
      <c r="BC97" s="512">
        <f>IFERROR(__xludf.DUMMYFUNCTION("""COMPUTED_VALUE"""),46001.6666666666)</f>
        <v/>
      </c>
      <c r="BD97" s="513">
        <f>IFERROR(__xludf.DUMMYFUNCTION("""COMPUTED_VALUE"""),96.44)</f>
        <v/>
      </c>
      <c r="BF97" s="512">
        <f>IFERROR(__xludf.DUMMYFUNCTION("""COMPUTED_VALUE"""),46001.6666666666)</f>
        <v/>
      </c>
      <c r="BG97" s="513">
        <f>IFERROR(__xludf.DUMMYFUNCTION("""COMPUTED_VALUE"""),82.85)</f>
        <v/>
      </c>
      <c r="BI97" s="512">
        <f>IFERROR(__xludf.DUMMYFUNCTION("""COMPUTED_VALUE"""),46001.6666666666)</f>
        <v/>
      </c>
      <c r="BJ97" s="513">
        <f>IFERROR(__xludf.DUMMYFUNCTION("""COMPUTED_VALUE"""),88.31)</f>
        <v/>
      </c>
      <c r="BL97" s="512">
        <f>IFERROR(__xludf.DUMMYFUNCTION("""COMPUTED_VALUE"""),46001.6666666666)</f>
        <v/>
      </c>
      <c r="BM97" s="513">
        <f>IFERROR(__xludf.DUMMYFUNCTION("""COMPUTED_VALUE"""),389.05)</f>
        <v/>
      </c>
      <c r="BO97" s="512">
        <f>IFERROR(__xludf.DUMMYFUNCTION("""COMPUTED_VALUE"""),46001.6666666666)</f>
        <v/>
      </c>
      <c r="BP97" s="513">
        <f>IFERROR(__xludf.DUMMYFUNCTION("""COMPUTED_VALUE"""),91.55)</f>
        <v/>
      </c>
    </row>
    <row r="98">
      <c r="A98" s="512">
        <f>IFERROR(__xludf.DUMMYFUNCTION("""COMPUTED_VALUE"""),46002.6666666666)</f>
        <v/>
      </c>
      <c r="B98" s="513">
        <f>IFERROR(__xludf.DUMMYFUNCTION("""COMPUTED_VALUE"""),689.17)</f>
        <v/>
      </c>
      <c r="D98" s="512">
        <f>IFERROR(__xludf.DUMMYFUNCTION("""COMPUTED_VALUE"""),46002.6666666666)</f>
        <v/>
      </c>
      <c r="E98" s="513">
        <f>IFERROR(__xludf.DUMMYFUNCTION("""COMPUTED_VALUE"""),89.56)</f>
        <v/>
      </c>
      <c r="G98" s="512">
        <f>IFERROR(__xludf.DUMMYFUNCTION("""COMPUTED_VALUE"""),46189.6666666666)</f>
        <v/>
      </c>
      <c r="H98" s="513">
        <f>IFERROR(__xludf.DUMMYFUNCTION("""COMPUTED_VALUE"""),72.32)</f>
        <v/>
      </c>
      <c r="J98" s="512">
        <f>IFERROR(__xludf.DUMMYFUNCTION("""COMPUTED_VALUE"""),46002.6666666666)</f>
        <v/>
      </c>
      <c r="K98" s="513">
        <f>IFERROR(__xludf.DUMMYFUNCTION("""COMPUTED_VALUE"""),84.22)</f>
        <v/>
      </c>
      <c r="M98" s="512">
        <f>IFERROR(__xludf.DUMMYFUNCTION("""COMPUTED_VALUE"""),46002.6666666666)</f>
        <v/>
      </c>
      <c r="N98" s="513">
        <f>IFERROR(__xludf.DUMMYFUNCTION("""COMPUTED_VALUE"""),257.8)</f>
        <v/>
      </c>
      <c r="P98" s="512">
        <f>IFERROR(__xludf.DUMMYFUNCTION("""COMPUTED_VALUE"""),46002.6666666666)</f>
        <v/>
      </c>
      <c r="Q98" s="513">
        <f>IFERROR(__xludf.DUMMYFUNCTION("""COMPUTED_VALUE"""),83.23)</f>
        <v/>
      </c>
      <c r="S98" s="512">
        <f>IFERROR(__xludf.DUMMYFUNCTION("""COMPUTED_VALUE"""),45272.6666666666)</f>
        <v/>
      </c>
      <c r="T98" s="513">
        <f>IFERROR(__xludf.DUMMYFUNCTION("""COMPUTED_VALUE"""),194.71)</f>
        <v/>
      </c>
      <c r="V98" s="512">
        <f>IFERROR(__xludf.DUMMYFUNCTION("""COMPUTED_VALUE"""),46002.6666666666)</f>
        <v/>
      </c>
      <c r="W98" s="513">
        <f>IFERROR(__xludf.DUMMYFUNCTION("""COMPUTED_VALUE"""),23.11)</f>
        <v/>
      </c>
      <c r="Y98" s="512">
        <f>IFERROR(__xludf.DUMMYFUNCTION("""COMPUTED_VALUE"""),46002.6666666666)</f>
        <v/>
      </c>
      <c r="Z98" s="513">
        <f>IFERROR(__xludf.DUMMYFUNCTION("""COMPUTED_VALUE"""),74.26)</f>
        <v/>
      </c>
      <c r="AB98" s="512">
        <f>IFERROR(__xludf.DUMMYFUNCTION("""COMPUTED_VALUE"""),46002.6666666666)</f>
        <v/>
      </c>
      <c r="AC98" s="513">
        <f>IFERROR(__xludf.DUMMYFUNCTION("""COMPUTED_VALUE"""),54.44)</f>
        <v/>
      </c>
      <c r="AE98" s="512">
        <f>IFERROR(__xludf.DUMMYFUNCTION("""COMPUTED_VALUE"""),46002.6666666666)</f>
        <v/>
      </c>
      <c r="AF98" s="513">
        <f>IFERROR(__xludf.DUMMYFUNCTION("""COMPUTED_VALUE"""),96.31)</f>
        <v/>
      </c>
      <c r="AH98" s="512">
        <f>IFERROR(__xludf.DUMMYFUNCTION("""COMPUTED_VALUE"""),46002.6666666666)</f>
        <v/>
      </c>
      <c r="AI98" s="513">
        <f>IFERROR(__xludf.DUMMYFUNCTION("""COMPUTED_VALUE"""),22.53)</f>
        <v/>
      </c>
      <c r="AK98" s="512">
        <f>IFERROR(__xludf.DUMMYFUNCTION("""COMPUTED_VALUE"""),46002.6666666666)</f>
        <v/>
      </c>
      <c r="AL98" s="513">
        <f>IFERROR(__xludf.DUMMYFUNCTION("""COMPUTED_VALUE"""),80.72)</f>
        <v/>
      </c>
      <c r="AN98" s="512">
        <f>IFERROR(__xludf.DUMMYFUNCTION("""COMPUTED_VALUE"""),46002.6666666666)</f>
        <v/>
      </c>
      <c r="AO98" s="513">
        <f>IFERROR(__xludf.DUMMYFUNCTION("""COMPUTED_VALUE"""),110.4)</f>
        <v/>
      </c>
      <c r="AQ98" s="512">
        <f>IFERROR(__xludf.DUMMYFUNCTION("""COMPUTED_VALUE"""),46002.6666666666)</f>
        <v/>
      </c>
      <c r="AR98" s="513">
        <f>IFERROR(__xludf.DUMMYFUNCTION("""COMPUTED_VALUE"""),97.01)</f>
        <v/>
      </c>
      <c r="AT98" s="512">
        <f>IFERROR(__xludf.DUMMYFUNCTION("""COMPUTED_VALUE"""),46002.6666666666)</f>
        <v/>
      </c>
      <c r="AU98" s="513">
        <f>IFERROR(__xludf.DUMMYFUNCTION("""COMPUTED_VALUE"""),54.88)</f>
        <v/>
      </c>
      <c r="AW98" s="512">
        <f>IFERROR(__xludf.DUMMYFUNCTION("""COMPUTED_VALUE"""),46002.6666666666)</f>
        <v/>
      </c>
      <c r="AX98" s="513">
        <f>IFERROR(__xludf.DUMMYFUNCTION("""COMPUTED_VALUE"""),100.12)</f>
        <v/>
      </c>
      <c r="AZ98" s="512">
        <f>IFERROR(__xludf.DUMMYFUNCTION("""COMPUTED_VALUE"""),46002.6666666666)</f>
        <v/>
      </c>
      <c r="BA98" s="513">
        <f>IFERROR(__xludf.DUMMYFUNCTION("""COMPUTED_VALUE"""),110.84)</f>
        <v/>
      </c>
      <c r="BC98" s="512">
        <f>IFERROR(__xludf.DUMMYFUNCTION("""COMPUTED_VALUE"""),46002.6666666666)</f>
        <v/>
      </c>
      <c r="BD98" s="513">
        <f>IFERROR(__xludf.DUMMYFUNCTION("""COMPUTED_VALUE"""),96.45)</f>
        <v/>
      </c>
      <c r="BF98" s="512">
        <f>IFERROR(__xludf.DUMMYFUNCTION("""COMPUTED_VALUE"""),46002.6666666666)</f>
        <v/>
      </c>
      <c r="BG98" s="513">
        <f>IFERROR(__xludf.DUMMYFUNCTION("""COMPUTED_VALUE"""),82.86)</f>
        <v/>
      </c>
      <c r="BI98" s="512">
        <f>IFERROR(__xludf.DUMMYFUNCTION("""COMPUTED_VALUE"""),46002.6666666666)</f>
        <v/>
      </c>
      <c r="BJ98" s="513">
        <f>IFERROR(__xludf.DUMMYFUNCTION("""COMPUTED_VALUE"""),88.19)</f>
        <v/>
      </c>
      <c r="BL98" s="512">
        <f>IFERROR(__xludf.DUMMYFUNCTION("""COMPUTED_VALUE"""),46002.6666666666)</f>
        <v/>
      </c>
      <c r="BM98" s="513">
        <f>IFERROR(__xludf.DUMMYFUNCTION("""COMPUTED_VALUE"""),393.24)</f>
        <v/>
      </c>
      <c r="BO98" s="512">
        <f>IFERROR(__xludf.DUMMYFUNCTION("""COMPUTED_VALUE"""),46002.6666666666)</f>
        <v/>
      </c>
      <c r="BP98" s="513">
        <f>IFERROR(__xludf.DUMMYFUNCTION("""COMPUTED_VALUE"""),91.56)</f>
        <v/>
      </c>
    </row>
    <row r="99">
      <c r="A99" s="512">
        <f>IFERROR(__xludf.DUMMYFUNCTION("""COMPUTED_VALUE"""),46003.6666666666)</f>
        <v/>
      </c>
      <c r="B99" s="513">
        <f>IFERROR(__xludf.DUMMYFUNCTION("""COMPUTED_VALUE"""),681.76)</f>
        <v/>
      </c>
      <c r="D99" s="512">
        <f>IFERROR(__xludf.DUMMYFUNCTION("""COMPUTED_VALUE"""),46003.6666666666)</f>
        <v/>
      </c>
      <c r="E99" s="513">
        <f>IFERROR(__xludf.DUMMYFUNCTION("""COMPUTED_VALUE"""),89.45)</f>
        <v/>
      </c>
      <c r="G99" s="512">
        <f>IFERROR(__xludf.DUMMYFUNCTION("""COMPUTED_VALUE"""),46190.6666666666)</f>
        <v/>
      </c>
      <c r="H99" s="513">
        <f>IFERROR(__xludf.DUMMYFUNCTION("""COMPUTED_VALUE"""),72)</f>
        <v/>
      </c>
      <c r="J99" s="512">
        <f>IFERROR(__xludf.DUMMYFUNCTION("""COMPUTED_VALUE"""),46003.6666666666)</f>
        <v/>
      </c>
      <c r="K99" s="513">
        <f>IFERROR(__xludf.DUMMYFUNCTION("""COMPUTED_VALUE"""),84)</f>
        <v/>
      </c>
      <c r="M99" s="512">
        <f>IFERROR(__xludf.DUMMYFUNCTION("""COMPUTED_VALUE"""),46003.6666666666)</f>
        <v/>
      </c>
      <c r="N99" s="513">
        <f>IFERROR(__xludf.DUMMYFUNCTION("""COMPUTED_VALUE"""),253.85)</f>
        <v/>
      </c>
      <c r="P99" s="512">
        <f>IFERROR(__xludf.DUMMYFUNCTION("""COMPUTED_VALUE"""),46003.6666666666)</f>
        <v/>
      </c>
      <c r="Q99" s="513">
        <f>IFERROR(__xludf.DUMMYFUNCTION("""COMPUTED_VALUE"""),82.69)</f>
        <v/>
      </c>
      <c r="S99" s="512">
        <f>IFERROR(__xludf.DUMMYFUNCTION("""COMPUTED_VALUE"""),45273.6666666666)</f>
        <v/>
      </c>
      <c r="T99" s="513">
        <f>IFERROR(__xludf.DUMMYFUNCTION("""COMPUTED_VALUE"""),197.96)</f>
        <v/>
      </c>
      <c r="V99" s="512">
        <f>IFERROR(__xludf.DUMMYFUNCTION("""COMPUTED_VALUE"""),46003.6666666666)</f>
        <v/>
      </c>
      <c r="W99" s="513">
        <f>IFERROR(__xludf.DUMMYFUNCTION("""COMPUTED_VALUE"""),22.92)</f>
        <v/>
      </c>
      <c r="Y99" s="512">
        <f>IFERROR(__xludf.DUMMYFUNCTION("""COMPUTED_VALUE"""),46003.6666666666)</f>
        <v/>
      </c>
      <c r="Z99" s="513">
        <f>IFERROR(__xludf.DUMMYFUNCTION("""COMPUTED_VALUE"""),74.03)</f>
        <v/>
      </c>
      <c r="AB99" s="512">
        <f>IFERROR(__xludf.DUMMYFUNCTION("""COMPUTED_VALUE"""),46003.6666666666)</f>
        <v/>
      </c>
      <c r="AC99" s="513">
        <f>IFERROR(__xludf.DUMMYFUNCTION("""COMPUTED_VALUE"""),53.94)</f>
        <v/>
      </c>
      <c r="AE99" s="512">
        <f>IFERROR(__xludf.DUMMYFUNCTION("""COMPUTED_VALUE"""),46003.6666666666)</f>
        <v/>
      </c>
      <c r="AF99" s="513">
        <f>IFERROR(__xludf.DUMMYFUNCTION("""COMPUTED_VALUE"""),96.26)</f>
        <v/>
      </c>
      <c r="AH99" s="512">
        <f>IFERROR(__xludf.DUMMYFUNCTION("""COMPUTED_VALUE"""),46003.6666666666)</f>
        <v/>
      </c>
      <c r="AI99" s="513">
        <f>IFERROR(__xludf.DUMMYFUNCTION("""COMPUTED_VALUE"""),22.51)</f>
        <v/>
      </c>
      <c r="AK99" s="512">
        <f>IFERROR(__xludf.DUMMYFUNCTION("""COMPUTED_VALUE"""),46003.6666666666)</f>
        <v/>
      </c>
      <c r="AL99" s="513">
        <f>IFERROR(__xludf.DUMMYFUNCTION("""COMPUTED_VALUE"""),80.57)</f>
        <v/>
      </c>
      <c r="AN99" s="512">
        <f>IFERROR(__xludf.DUMMYFUNCTION("""COMPUTED_VALUE"""),46003.6666666666)</f>
        <v/>
      </c>
      <c r="AO99" s="513">
        <f>IFERROR(__xludf.DUMMYFUNCTION("""COMPUTED_VALUE"""),110.23)</f>
        <v/>
      </c>
      <c r="AQ99" s="512">
        <f>IFERROR(__xludf.DUMMYFUNCTION("""COMPUTED_VALUE"""),46003.6666666666)</f>
        <v/>
      </c>
      <c r="AR99" s="513">
        <f>IFERROR(__xludf.DUMMYFUNCTION("""COMPUTED_VALUE"""),96.5)</f>
        <v/>
      </c>
      <c r="AT99" s="512">
        <f>IFERROR(__xludf.DUMMYFUNCTION("""COMPUTED_VALUE"""),46003.6666666666)</f>
        <v/>
      </c>
      <c r="AU99" s="513">
        <f>IFERROR(__xludf.DUMMYFUNCTION("""COMPUTED_VALUE"""),54.24)</f>
        <v/>
      </c>
      <c r="AW99" s="512">
        <f>IFERROR(__xludf.DUMMYFUNCTION("""COMPUTED_VALUE"""),46003.6666666666)</f>
        <v/>
      </c>
      <c r="AX99" s="513">
        <f>IFERROR(__xludf.DUMMYFUNCTION("""COMPUTED_VALUE"""),99.81)</f>
        <v/>
      </c>
      <c r="AZ99" s="512">
        <f>IFERROR(__xludf.DUMMYFUNCTION("""COMPUTED_VALUE"""),46003.6666666666)</f>
        <v/>
      </c>
      <c r="BA99" s="513">
        <f>IFERROR(__xludf.DUMMYFUNCTION("""COMPUTED_VALUE"""),110.17)</f>
        <v/>
      </c>
      <c r="BC99" s="512">
        <f>IFERROR(__xludf.DUMMYFUNCTION("""COMPUTED_VALUE"""),46003.6666666666)</f>
        <v/>
      </c>
      <c r="BD99" s="513">
        <f>IFERROR(__xludf.DUMMYFUNCTION("""COMPUTED_VALUE"""),96.19)</f>
        <v/>
      </c>
      <c r="BF99" s="512">
        <f>IFERROR(__xludf.DUMMYFUNCTION("""COMPUTED_VALUE"""),46003.6666666666)</f>
        <v/>
      </c>
      <c r="BG99" s="513">
        <f>IFERROR(__xludf.DUMMYFUNCTION("""COMPUTED_VALUE"""),82.87)</f>
        <v/>
      </c>
      <c r="BI99" s="512">
        <f>IFERROR(__xludf.DUMMYFUNCTION("""COMPUTED_VALUE"""),46003.6666666666)</f>
        <v/>
      </c>
      <c r="BJ99" s="513">
        <f>IFERROR(__xludf.DUMMYFUNCTION("""COMPUTED_VALUE"""),87.34)</f>
        <v/>
      </c>
      <c r="BL99" s="512">
        <f>IFERROR(__xludf.DUMMYFUNCTION("""COMPUTED_VALUE"""),46003.6666666666)</f>
        <v/>
      </c>
      <c r="BM99" s="513">
        <f>IFERROR(__xludf.DUMMYFUNCTION("""COMPUTED_VALUE"""),395.44)</f>
        <v/>
      </c>
      <c r="BO99" s="512">
        <f>IFERROR(__xludf.DUMMYFUNCTION("""COMPUTED_VALUE"""),46003.6666666666)</f>
        <v/>
      </c>
      <c r="BP99" s="513">
        <f>IFERROR(__xludf.DUMMYFUNCTION("""COMPUTED_VALUE"""),91.6)</f>
        <v/>
      </c>
    </row>
    <row r="100">
      <c r="A100" s="512">
        <f>IFERROR(__xludf.DUMMYFUNCTION("""COMPUTED_VALUE"""),46006.6666666666)</f>
        <v/>
      </c>
      <c r="B100" s="513">
        <f>IFERROR(__xludf.DUMMYFUNCTION("""COMPUTED_VALUE"""),680.73)</f>
        <v/>
      </c>
      <c r="D100" s="512">
        <f>IFERROR(__xludf.DUMMYFUNCTION("""COMPUTED_VALUE"""),46006.6666666666)</f>
        <v/>
      </c>
      <c r="E100" s="513">
        <f>IFERROR(__xludf.DUMMYFUNCTION("""COMPUTED_VALUE"""),89.73)</f>
        <v/>
      </c>
      <c r="G100" s="512">
        <f>IFERROR(__xludf.DUMMYFUNCTION("""COMPUTED_VALUE"""),46191.6666666666)</f>
        <v/>
      </c>
      <c r="H100" s="513">
        <f>IFERROR(__xludf.DUMMYFUNCTION("""COMPUTED_VALUE"""),72.31)</f>
        <v/>
      </c>
      <c r="J100" s="512">
        <f>IFERROR(__xludf.DUMMYFUNCTION("""COMPUTED_VALUE"""),46006.6666666666)</f>
        <v/>
      </c>
      <c r="K100" s="513">
        <f>IFERROR(__xludf.DUMMYFUNCTION("""COMPUTED_VALUE"""),84.87)</f>
        <v/>
      </c>
      <c r="M100" s="512">
        <f>IFERROR(__xludf.DUMMYFUNCTION("""COMPUTED_VALUE"""),46006.6666666666)</f>
        <v/>
      </c>
      <c r="N100" s="513">
        <f>IFERROR(__xludf.DUMMYFUNCTION("""COMPUTED_VALUE"""),251.93)</f>
        <v/>
      </c>
      <c r="P100" s="512">
        <f>IFERROR(__xludf.DUMMYFUNCTION("""COMPUTED_VALUE"""),46006.6666666666)</f>
        <v/>
      </c>
      <c r="Q100" s="513">
        <f>IFERROR(__xludf.DUMMYFUNCTION("""COMPUTED_VALUE"""),83.23)</f>
        <v/>
      </c>
      <c r="S100" s="512">
        <f>IFERROR(__xludf.DUMMYFUNCTION("""COMPUTED_VALUE"""),45274.6666666666)</f>
        <v/>
      </c>
      <c r="T100" s="513">
        <f>IFERROR(__xludf.DUMMYFUNCTION("""COMPUTED_VALUE"""),198.11)</f>
        <v/>
      </c>
      <c r="V100" s="512">
        <f>IFERROR(__xludf.DUMMYFUNCTION("""COMPUTED_VALUE"""),46006.6666666666)</f>
        <v/>
      </c>
      <c r="W100" s="513">
        <f>IFERROR(__xludf.DUMMYFUNCTION("""COMPUTED_VALUE"""),22.81)</f>
        <v/>
      </c>
      <c r="Y100" s="512">
        <f>IFERROR(__xludf.DUMMYFUNCTION("""COMPUTED_VALUE"""),46006.6666666666)</f>
        <v/>
      </c>
      <c r="Z100" s="513">
        <f>IFERROR(__xludf.DUMMYFUNCTION("""COMPUTED_VALUE"""),74.12)</f>
        <v/>
      </c>
      <c r="AB100" s="512">
        <f>IFERROR(__xludf.DUMMYFUNCTION("""COMPUTED_VALUE"""),46006.6666666666)</f>
        <v/>
      </c>
      <c r="AC100" s="513">
        <f>IFERROR(__xludf.DUMMYFUNCTION("""COMPUTED_VALUE"""),53.78)</f>
        <v/>
      </c>
      <c r="AE100" s="512">
        <f>IFERROR(__xludf.DUMMYFUNCTION("""COMPUTED_VALUE"""),46006.6666666666)</f>
        <v/>
      </c>
      <c r="AF100" s="513">
        <f>IFERROR(__xludf.DUMMYFUNCTION("""COMPUTED_VALUE"""),96.39)</f>
        <v/>
      </c>
      <c r="AH100" s="512">
        <f>IFERROR(__xludf.DUMMYFUNCTION("""COMPUTED_VALUE"""),46006.6666666666)</f>
        <v/>
      </c>
      <c r="AI100" s="513">
        <f>IFERROR(__xludf.DUMMYFUNCTION("""COMPUTED_VALUE"""),22.59)</f>
        <v/>
      </c>
      <c r="AK100" s="512">
        <f>IFERROR(__xludf.DUMMYFUNCTION("""COMPUTED_VALUE"""),46006.6666666666)</f>
        <v/>
      </c>
      <c r="AL100" s="513">
        <f>IFERROR(__xludf.DUMMYFUNCTION("""COMPUTED_VALUE"""),80.61)</f>
        <v/>
      </c>
      <c r="AN100" s="512">
        <f>IFERROR(__xludf.DUMMYFUNCTION("""COMPUTED_VALUE"""),46006.6666666666)</f>
        <v/>
      </c>
      <c r="AO100" s="513">
        <f>IFERROR(__xludf.DUMMYFUNCTION("""COMPUTED_VALUE"""),110.15)</f>
        <v/>
      </c>
      <c r="AQ100" s="512">
        <f>IFERROR(__xludf.DUMMYFUNCTION("""COMPUTED_VALUE"""),46006.6666666666)</f>
        <v/>
      </c>
      <c r="AR100" s="513">
        <f>IFERROR(__xludf.DUMMYFUNCTION("""COMPUTED_VALUE"""),97.09)</f>
        <v/>
      </c>
      <c r="AT100" s="512">
        <f>IFERROR(__xludf.DUMMYFUNCTION("""COMPUTED_VALUE"""),46006.6666666666)</f>
        <v/>
      </c>
      <c r="AU100" s="513">
        <f>IFERROR(__xludf.DUMMYFUNCTION("""COMPUTED_VALUE"""),54.08)</f>
        <v/>
      </c>
      <c r="AW100" s="512">
        <f>IFERROR(__xludf.DUMMYFUNCTION("""COMPUTED_VALUE"""),46006.6666666666)</f>
        <v/>
      </c>
      <c r="AX100" s="513">
        <f>IFERROR(__xludf.DUMMYFUNCTION("""COMPUTED_VALUE"""),99.91)</f>
        <v/>
      </c>
      <c r="AZ100" s="512">
        <f>IFERROR(__xludf.DUMMYFUNCTION("""COMPUTED_VALUE"""),46006.6666666666)</f>
        <v/>
      </c>
      <c r="BA100" s="513">
        <f>IFERROR(__xludf.DUMMYFUNCTION("""COMPUTED_VALUE"""),110.3)</f>
        <v/>
      </c>
      <c r="BC100" s="512">
        <f>IFERROR(__xludf.DUMMYFUNCTION("""COMPUTED_VALUE"""),46006.6666666666)</f>
        <v/>
      </c>
      <c r="BD100" s="513">
        <f>IFERROR(__xludf.DUMMYFUNCTION("""COMPUTED_VALUE"""),96.27)</f>
        <v/>
      </c>
      <c r="BF100" s="512">
        <f>IFERROR(__xludf.DUMMYFUNCTION("""COMPUTED_VALUE"""),46006.6666666666)</f>
        <v/>
      </c>
      <c r="BG100" s="513">
        <f>IFERROR(__xludf.DUMMYFUNCTION("""COMPUTED_VALUE"""),82.92)</f>
        <v/>
      </c>
      <c r="BI100" s="512">
        <f>IFERROR(__xludf.DUMMYFUNCTION("""COMPUTED_VALUE"""),46006.6666666666)</f>
        <v/>
      </c>
      <c r="BJ100" s="513">
        <f>IFERROR(__xludf.DUMMYFUNCTION("""COMPUTED_VALUE"""),87.4)</f>
        <v/>
      </c>
      <c r="BL100" s="512">
        <f>IFERROR(__xludf.DUMMYFUNCTION("""COMPUTED_VALUE"""),46006.6666666666)</f>
        <v/>
      </c>
      <c r="BM100" s="513">
        <f>IFERROR(__xludf.DUMMYFUNCTION("""COMPUTED_VALUE"""),395.8)</f>
        <v/>
      </c>
      <c r="BO100" s="512">
        <f>IFERROR(__xludf.DUMMYFUNCTION("""COMPUTED_VALUE"""),46006.6666666666)</f>
        <v/>
      </c>
      <c r="BP100" s="513">
        <f>IFERROR(__xludf.DUMMYFUNCTION("""COMPUTED_VALUE"""),91.6)</f>
        <v/>
      </c>
    </row>
    <row r="101">
      <c r="A101" s="512">
        <f>IFERROR(__xludf.DUMMYFUNCTION("""COMPUTED_VALUE"""),46007.6666666666)</f>
        <v/>
      </c>
      <c r="B101" s="513">
        <f>IFERROR(__xludf.DUMMYFUNCTION("""COMPUTED_VALUE"""),678.87)</f>
        <v/>
      </c>
      <c r="D101" s="512">
        <f>IFERROR(__xludf.DUMMYFUNCTION("""COMPUTED_VALUE"""),46007.6666666666)</f>
        <v/>
      </c>
      <c r="E101" s="513">
        <f>IFERROR(__xludf.DUMMYFUNCTION("""COMPUTED_VALUE"""),89.07)</f>
        <v/>
      </c>
      <c r="G101" s="512">
        <f>IFERROR(__xludf.DUMMYFUNCTION("""COMPUTED_VALUE"""),46195.6666666666)</f>
        <v/>
      </c>
      <c r="H101" s="513">
        <f>IFERROR(__xludf.DUMMYFUNCTION("""COMPUTED_VALUE"""),72.39)</f>
        <v/>
      </c>
      <c r="J101" s="512">
        <f>IFERROR(__xludf.DUMMYFUNCTION("""COMPUTED_VALUE"""),46007.6666666666)</f>
        <v/>
      </c>
      <c r="K101" s="513">
        <f>IFERROR(__xludf.DUMMYFUNCTION("""COMPUTED_VALUE"""),80.85)</f>
        <v/>
      </c>
      <c r="M101" s="512">
        <f>IFERROR(__xludf.DUMMYFUNCTION("""COMPUTED_VALUE"""),46007.6666666666)</f>
        <v/>
      </c>
      <c r="N101" s="513">
        <f>IFERROR(__xludf.DUMMYFUNCTION("""COMPUTED_VALUE"""),249.9)</f>
        <v/>
      </c>
      <c r="P101" s="512">
        <f>IFERROR(__xludf.DUMMYFUNCTION("""COMPUTED_VALUE"""),46007.6666666666)</f>
        <v/>
      </c>
      <c r="Q101" s="513">
        <f>IFERROR(__xludf.DUMMYFUNCTION("""COMPUTED_VALUE"""),83.05)</f>
        <v/>
      </c>
      <c r="S101" s="512">
        <f>IFERROR(__xludf.DUMMYFUNCTION("""COMPUTED_VALUE"""),45275.6666666666)</f>
        <v/>
      </c>
      <c r="T101" s="513">
        <f>IFERROR(__xludf.DUMMYFUNCTION("""COMPUTED_VALUE"""),197.57)</f>
        <v/>
      </c>
      <c r="V101" s="512">
        <f>IFERROR(__xludf.DUMMYFUNCTION("""COMPUTED_VALUE"""),46007.6666666666)</f>
        <v/>
      </c>
      <c r="W101" s="513">
        <f>IFERROR(__xludf.DUMMYFUNCTION("""COMPUTED_VALUE"""),22.58)</f>
        <v/>
      </c>
      <c r="Y101" s="512">
        <f>IFERROR(__xludf.DUMMYFUNCTION("""COMPUTED_VALUE"""),46007.6666666666)</f>
        <v/>
      </c>
      <c r="Z101" s="513">
        <f>IFERROR(__xludf.DUMMYFUNCTION("""COMPUTED_VALUE"""),74.26)</f>
        <v/>
      </c>
      <c r="AB101" s="512">
        <f>IFERROR(__xludf.DUMMYFUNCTION("""COMPUTED_VALUE"""),46007.6666666666)</f>
        <v/>
      </c>
      <c r="AC101" s="513">
        <f>IFERROR(__xludf.DUMMYFUNCTION("""COMPUTED_VALUE"""),53.48)</f>
        <v/>
      </c>
      <c r="AE101" s="512">
        <f>IFERROR(__xludf.DUMMYFUNCTION("""COMPUTED_VALUE"""),46007.6666666666)</f>
        <v/>
      </c>
      <c r="AF101" s="513">
        <f>IFERROR(__xludf.DUMMYFUNCTION("""COMPUTED_VALUE"""),96.65)</f>
        <v/>
      </c>
      <c r="AH101" s="512">
        <f>IFERROR(__xludf.DUMMYFUNCTION("""COMPUTED_VALUE"""),46007.6666666666)</f>
        <v/>
      </c>
      <c r="AI101" s="513">
        <f>IFERROR(__xludf.DUMMYFUNCTION("""COMPUTED_VALUE"""),22.62)</f>
        <v/>
      </c>
      <c r="AK101" s="512">
        <f>IFERROR(__xludf.DUMMYFUNCTION("""COMPUTED_VALUE"""),46007.6666666666)</f>
        <v/>
      </c>
      <c r="AL101" s="513">
        <f>IFERROR(__xludf.DUMMYFUNCTION("""COMPUTED_VALUE"""),80.66)</f>
        <v/>
      </c>
      <c r="AN101" s="512">
        <f>IFERROR(__xludf.DUMMYFUNCTION("""COMPUTED_VALUE"""),46007.6666666666)</f>
        <v/>
      </c>
      <c r="AO101" s="513">
        <f>IFERROR(__xludf.DUMMYFUNCTION("""COMPUTED_VALUE"""),110.17)</f>
        <v/>
      </c>
      <c r="AQ101" s="512">
        <f>IFERROR(__xludf.DUMMYFUNCTION("""COMPUTED_VALUE"""),46007.6666666666)</f>
        <v/>
      </c>
      <c r="AR101" s="513">
        <f>IFERROR(__xludf.DUMMYFUNCTION("""COMPUTED_VALUE"""),94.92)</f>
        <v/>
      </c>
      <c r="AT101" s="512">
        <f>IFERROR(__xludf.DUMMYFUNCTION("""COMPUTED_VALUE"""),46007.6666666666)</f>
        <v/>
      </c>
      <c r="AU101" s="513">
        <f>IFERROR(__xludf.DUMMYFUNCTION("""COMPUTED_VALUE"""),52.98)</f>
        <v/>
      </c>
      <c r="AW101" s="512">
        <f>IFERROR(__xludf.DUMMYFUNCTION("""COMPUTED_VALUE"""),46007.6666666666)</f>
        <v/>
      </c>
      <c r="AX101" s="513">
        <f>IFERROR(__xludf.DUMMYFUNCTION("""COMPUTED_VALUE"""),100.1)</f>
        <v/>
      </c>
      <c r="AZ101" s="512">
        <f>IFERROR(__xludf.DUMMYFUNCTION("""COMPUTED_VALUE"""),46007.6666666666)</f>
        <v/>
      </c>
      <c r="BA101" s="513">
        <f>IFERROR(__xludf.DUMMYFUNCTION("""COMPUTED_VALUE"""),110.55)</f>
        <v/>
      </c>
      <c r="BC101" s="512">
        <f>IFERROR(__xludf.DUMMYFUNCTION("""COMPUTED_VALUE"""),46007.6666666666)</f>
        <v/>
      </c>
      <c r="BD101" s="513">
        <f>IFERROR(__xludf.DUMMYFUNCTION("""COMPUTED_VALUE"""),96.54)</f>
        <v/>
      </c>
      <c r="BF101" s="512">
        <f>IFERROR(__xludf.DUMMYFUNCTION("""COMPUTED_VALUE"""),46007.6666666666)</f>
        <v/>
      </c>
      <c r="BG101" s="513">
        <f>IFERROR(__xludf.DUMMYFUNCTION("""COMPUTED_VALUE"""),82.96)</f>
        <v/>
      </c>
      <c r="BI101" s="512">
        <f>IFERROR(__xludf.DUMMYFUNCTION("""COMPUTED_VALUE"""),46007.6666666666)</f>
        <v/>
      </c>
      <c r="BJ101" s="513">
        <f>IFERROR(__xludf.DUMMYFUNCTION("""COMPUTED_VALUE"""),87.88)</f>
        <v/>
      </c>
      <c r="BL101" s="512">
        <f>IFERROR(__xludf.DUMMYFUNCTION("""COMPUTED_VALUE"""),46007.6666666666)</f>
        <v/>
      </c>
      <c r="BM101" s="513">
        <f>IFERROR(__xludf.DUMMYFUNCTION("""COMPUTED_VALUE"""),395.89)</f>
        <v/>
      </c>
      <c r="BO101" s="512">
        <f>IFERROR(__xludf.DUMMYFUNCTION("""COMPUTED_VALUE"""),46007.6666666666)</f>
        <v/>
      </c>
      <c r="BP101" s="513">
        <f>IFERROR(__xludf.DUMMYFUNCTION("""COMPUTED_VALUE"""),91.61)</f>
        <v/>
      </c>
    </row>
    <row r="102">
      <c r="A102" s="512">
        <f>IFERROR(__xludf.DUMMYFUNCTION("""COMPUTED_VALUE"""),46008.6666666666)</f>
        <v/>
      </c>
      <c r="B102" s="513">
        <f>IFERROR(__xludf.DUMMYFUNCTION("""COMPUTED_VALUE"""),671.4)</f>
        <v/>
      </c>
      <c r="D102" s="512">
        <f>IFERROR(__xludf.DUMMYFUNCTION("""COMPUTED_VALUE"""),46008.6666666666)</f>
        <v/>
      </c>
      <c r="E102" s="513">
        <f>IFERROR(__xludf.DUMMYFUNCTION("""COMPUTED_VALUE"""),89.4)</f>
        <v/>
      </c>
      <c r="G102" s="512">
        <f>IFERROR(__xludf.DUMMYFUNCTION("""COMPUTED_VALUE"""),46196.6666666666)</f>
        <v/>
      </c>
      <c r="H102" s="513">
        <f>IFERROR(__xludf.DUMMYFUNCTION("""COMPUTED_VALUE"""),70.17)</f>
        <v/>
      </c>
      <c r="J102" s="512">
        <f>IFERROR(__xludf.DUMMYFUNCTION("""COMPUTED_VALUE"""),46008.6666666666)</f>
        <v/>
      </c>
      <c r="K102" s="513">
        <f>IFERROR(__xludf.DUMMYFUNCTION("""COMPUTED_VALUE"""),79.74)</f>
        <v/>
      </c>
      <c r="M102" s="512">
        <f>IFERROR(__xludf.DUMMYFUNCTION("""COMPUTED_VALUE"""),46008.6666666666)</f>
        <v/>
      </c>
      <c r="N102" s="513">
        <f>IFERROR(__xludf.DUMMYFUNCTION("""COMPUTED_VALUE"""),247.24)</f>
        <v/>
      </c>
      <c r="P102" s="512">
        <f>IFERROR(__xludf.DUMMYFUNCTION("""COMPUTED_VALUE"""),46008.6666666666)</f>
        <v/>
      </c>
      <c r="Q102" s="513">
        <f>IFERROR(__xludf.DUMMYFUNCTION("""COMPUTED_VALUE"""),82.6)</f>
        <v/>
      </c>
      <c r="S102" s="512">
        <f>IFERROR(__xludf.DUMMYFUNCTION("""COMPUTED_VALUE"""),45278.6666666666)</f>
        <v/>
      </c>
      <c r="T102" s="513">
        <f>IFERROR(__xludf.DUMMYFUNCTION("""COMPUTED_VALUE"""),195.89)</f>
        <v/>
      </c>
      <c r="V102" s="512">
        <f>IFERROR(__xludf.DUMMYFUNCTION("""COMPUTED_VALUE"""),46008.6666666666)</f>
        <v/>
      </c>
      <c r="W102" s="513">
        <f>IFERROR(__xludf.DUMMYFUNCTION("""COMPUTED_VALUE"""),22.85)</f>
        <v/>
      </c>
      <c r="Y102" s="512">
        <f>IFERROR(__xludf.DUMMYFUNCTION("""COMPUTED_VALUE"""),46008.6666666666)</f>
        <v/>
      </c>
      <c r="Z102" s="513">
        <f>IFERROR(__xludf.DUMMYFUNCTION("""COMPUTED_VALUE"""),74.24)</f>
        <v/>
      </c>
      <c r="AB102" s="512">
        <f>IFERROR(__xludf.DUMMYFUNCTION("""COMPUTED_VALUE"""),46008.6666666666)</f>
        <v/>
      </c>
      <c r="AC102" s="513">
        <f>IFERROR(__xludf.DUMMYFUNCTION("""COMPUTED_VALUE"""),53.13)</f>
        <v/>
      </c>
      <c r="AE102" s="512">
        <f>IFERROR(__xludf.DUMMYFUNCTION("""COMPUTED_VALUE"""),46008.6666666666)</f>
        <v/>
      </c>
      <c r="AF102" s="513">
        <f>IFERROR(__xludf.DUMMYFUNCTION("""COMPUTED_VALUE"""),96.28)</f>
        <v/>
      </c>
      <c r="AH102" s="512">
        <f>IFERROR(__xludf.DUMMYFUNCTION("""COMPUTED_VALUE"""),46008.6666666666)</f>
        <v/>
      </c>
      <c r="AI102" s="513">
        <f>IFERROR(__xludf.DUMMYFUNCTION("""COMPUTED_VALUE"""),22.51)</f>
        <v/>
      </c>
      <c r="AK102" s="512">
        <f>IFERROR(__xludf.DUMMYFUNCTION("""COMPUTED_VALUE"""),46008.6666666666)</f>
        <v/>
      </c>
      <c r="AL102" s="513">
        <f>IFERROR(__xludf.DUMMYFUNCTION("""COMPUTED_VALUE"""),80.56)</f>
        <v/>
      </c>
      <c r="AN102" s="512">
        <f>IFERROR(__xludf.DUMMYFUNCTION("""COMPUTED_VALUE"""),46008.6666666666)</f>
        <v/>
      </c>
      <c r="AO102" s="513">
        <f>IFERROR(__xludf.DUMMYFUNCTION("""COMPUTED_VALUE"""),110.29)</f>
        <v/>
      </c>
      <c r="AQ102" s="512">
        <f>IFERROR(__xludf.DUMMYFUNCTION("""COMPUTED_VALUE"""),46008.6666666666)</f>
        <v/>
      </c>
      <c r="AR102" s="513">
        <f>IFERROR(__xludf.DUMMYFUNCTION("""COMPUTED_VALUE"""),94.15)</f>
        <v/>
      </c>
      <c r="AT102" s="512">
        <f>IFERROR(__xludf.DUMMYFUNCTION("""COMPUTED_VALUE"""),46008.6666666666)</f>
        <v/>
      </c>
      <c r="AU102" s="513">
        <f>IFERROR(__xludf.DUMMYFUNCTION("""COMPUTED_VALUE"""),52.6)</f>
        <v/>
      </c>
      <c r="AW102" s="512">
        <f>IFERROR(__xludf.DUMMYFUNCTION("""COMPUTED_VALUE"""),46008.6666666666)</f>
        <v/>
      </c>
      <c r="AX102" s="513">
        <f>IFERROR(__xludf.DUMMYFUNCTION("""COMPUTED_VALUE"""),100.07)</f>
        <v/>
      </c>
      <c r="AZ102" s="512">
        <f>IFERROR(__xludf.DUMMYFUNCTION("""COMPUTED_VALUE"""),46008.6666666666)</f>
        <v/>
      </c>
      <c r="BA102" s="513">
        <f>IFERROR(__xludf.DUMMYFUNCTION("""COMPUTED_VALUE"""),110.43)</f>
        <v/>
      </c>
      <c r="BC102" s="512">
        <f>IFERROR(__xludf.DUMMYFUNCTION("""COMPUTED_VALUE"""),46008.6666666666)</f>
        <v/>
      </c>
      <c r="BD102" s="513">
        <f>IFERROR(__xludf.DUMMYFUNCTION("""COMPUTED_VALUE"""),96.52)</f>
        <v/>
      </c>
      <c r="BF102" s="512">
        <f>IFERROR(__xludf.DUMMYFUNCTION("""COMPUTED_VALUE"""),46008.6666666666)</f>
        <v/>
      </c>
      <c r="BG102" s="513">
        <f>IFERROR(__xludf.DUMMYFUNCTION("""COMPUTED_VALUE"""),82.97)</f>
        <v/>
      </c>
      <c r="BI102" s="512">
        <f>IFERROR(__xludf.DUMMYFUNCTION("""COMPUTED_VALUE"""),46008.6666666666)</f>
        <v/>
      </c>
      <c r="BJ102" s="513">
        <f>IFERROR(__xludf.DUMMYFUNCTION("""COMPUTED_VALUE"""),87.8)</f>
        <v/>
      </c>
      <c r="BL102" s="512">
        <f>IFERROR(__xludf.DUMMYFUNCTION("""COMPUTED_VALUE"""),46008.6666666666)</f>
        <v/>
      </c>
      <c r="BM102" s="513">
        <f>IFERROR(__xludf.DUMMYFUNCTION("""COMPUTED_VALUE"""),399.29)</f>
        <v/>
      </c>
      <c r="BO102" s="512">
        <f>IFERROR(__xludf.DUMMYFUNCTION("""COMPUTED_VALUE"""),46008.6666666666)</f>
        <v/>
      </c>
      <c r="BP102" s="513">
        <f>IFERROR(__xludf.DUMMYFUNCTION("""COMPUTED_VALUE"""),91.62)</f>
        <v/>
      </c>
    </row>
    <row r="103">
      <c r="A103" s="512">
        <f>IFERROR(__xludf.DUMMYFUNCTION("""COMPUTED_VALUE"""),46009.6666666666)</f>
        <v/>
      </c>
      <c r="B103" s="513">
        <f>IFERROR(__xludf.DUMMYFUNCTION("""COMPUTED_VALUE"""),676.47)</f>
        <v/>
      </c>
      <c r="D103" s="512">
        <f>IFERROR(__xludf.DUMMYFUNCTION("""COMPUTED_VALUE"""),46009.6666666666)</f>
        <v/>
      </c>
      <c r="E103" s="513">
        <f>IFERROR(__xludf.DUMMYFUNCTION("""COMPUTED_VALUE"""),88.93)</f>
        <v/>
      </c>
      <c r="G103" s="512">
        <f>IFERROR(__xludf.DUMMYFUNCTION("""COMPUTED_VALUE"""),46197.6666666666)</f>
        <v/>
      </c>
      <c r="H103" s="513">
        <f>IFERROR(__xludf.DUMMYFUNCTION("""COMPUTED_VALUE"""),70.28)</f>
        <v/>
      </c>
      <c r="J103" s="512">
        <f>IFERROR(__xludf.DUMMYFUNCTION("""COMPUTED_VALUE"""),46009.6666666666)</f>
        <v/>
      </c>
      <c r="K103" s="513">
        <f>IFERROR(__xludf.DUMMYFUNCTION("""COMPUTED_VALUE"""),79.97)</f>
        <v/>
      </c>
      <c r="M103" s="512">
        <f>IFERROR(__xludf.DUMMYFUNCTION("""COMPUTED_VALUE"""),46009.6666666666)</f>
        <v/>
      </c>
      <c r="N103" s="513">
        <f>IFERROR(__xludf.DUMMYFUNCTION("""COMPUTED_VALUE"""),248.71)</f>
        <v/>
      </c>
      <c r="P103" s="512">
        <f>IFERROR(__xludf.DUMMYFUNCTION("""COMPUTED_VALUE"""),46009.6666666666)</f>
        <v/>
      </c>
      <c r="Q103" s="513">
        <f>IFERROR(__xludf.DUMMYFUNCTION("""COMPUTED_VALUE"""),83.19)</f>
        <v/>
      </c>
      <c r="S103" s="512">
        <f>IFERROR(__xludf.DUMMYFUNCTION("""COMPUTED_VALUE"""),45279.6666666666)</f>
        <v/>
      </c>
      <c r="T103" s="513">
        <f>IFERROR(__xludf.DUMMYFUNCTION("""COMPUTED_VALUE"""),196.94)</f>
        <v/>
      </c>
      <c r="V103" s="512">
        <f>IFERROR(__xludf.DUMMYFUNCTION("""COMPUTED_VALUE"""),46009.6666666666)</f>
        <v/>
      </c>
      <c r="W103" s="513">
        <f>IFERROR(__xludf.DUMMYFUNCTION("""COMPUTED_VALUE"""),22.69)</f>
        <v/>
      </c>
      <c r="Y103" s="512">
        <f>IFERROR(__xludf.DUMMYFUNCTION("""COMPUTED_VALUE"""),46009.6666666666)</f>
        <v/>
      </c>
      <c r="Z103" s="513">
        <f>IFERROR(__xludf.DUMMYFUNCTION("""COMPUTED_VALUE"""),74.15)</f>
        <v/>
      </c>
      <c r="AB103" s="512">
        <f>IFERROR(__xludf.DUMMYFUNCTION("""COMPUTED_VALUE"""),46009.6666666666)</f>
        <v/>
      </c>
      <c r="AC103" s="513">
        <f>IFERROR(__xludf.DUMMYFUNCTION("""COMPUTED_VALUE"""),53.58)</f>
        <v/>
      </c>
      <c r="AE103" s="512">
        <f>IFERROR(__xludf.DUMMYFUNCTION("""COMPUTED_VALUE"""),46009.6666666666)</f>
        <v/>
      </c>
      <c r="AF103" s="513">
        <f>IFERROR(__xludf.DUMMYFUNCTION("""COMPUTED_VALUE"""),96.7)</f>
        <v/>
      </c>
      <c r="AH103" s="512">
        <f>IFERROR(__xludf.DUMMYFUNCTION("""COMPUTED_VALUE"""),46009.6666666666)</f>
        <v/>
      </c>
      <c r="AI103" s="513">
        <f>IFERROR(__xludf.DUMMYFUNCTION("""COMPUTED_VALUE"""),22.47)</f>
        <v/>
      </c>
      <c r="AK103" s="512">
        <f>IFERROR(__xludf.DUMMYFUNCTION("""COMPUTED_VALUE"""),46009.6666666666)</f>
        <v/>
      </c>
      <c r="AL103" s="513">
        <f>IFERROR(__xludf.DUMMYFUNCTION("""COMPUTED_VALUE"""),80.78)</f>
        <v/>
      </c>
      <c r="AN103" s="512">
        <f>IFERROR(__xludf.DUMMYFUNCTION("""COMPUTED_VALUE"""),46009.6666666666)</f>
        <v/>
      </c>
      <c r="AO103" s="513">
        <f>IFERROR(__xludf.DUMMYFUNCTION("""COMPUTED_VALUE"""),110.5)</f>
        <v/>
      </c>
      <c r="AQ103" s="512">
        <f>IFERROR(__xludf.DUMMYFUNCTION("""COMPUTED_VALUE"""),46009.6666666666)</f>
        <v/>
      </c>
      <c r="AR103" s="513">
        <f>IFERROR(__xludf.DUMMYFUNCTION("""COMPUTED_VALUE"""),94.82)</f>
        <v/>
      </c>
      <c r="AT103" s="512">
        <f>IFERROR(__xludf.DUMMYFUNCTION("""COMPUTED_VALUE"""),46009.6666666666)</f>
        <v/>
      </c>
      <c r="AU103" s="513">
        <f>IFERROR(__xludf.DUMMYFUNCTION("""COMPUTED_VALUE"""),53.2)</f>
        <v/>
      </c>
      <c r="AW103" s="512">
        <f>IFERROR(__xludf.DUMMYFUNCTION("""COMPUTED_VALUE"""),46009.6666666666)</f>
        <v/>
      </c>
      <c r="AX103" s="513">
        <f>IFERROR(__xludf.DUMMYFUNCTION("""COMPUTED_VALUE"""),100.32)</f>
        <v/>
      </c>
      <c r="AZ103" s="512">
        <f>IFERROR(__xludf.DUMMYFUNCTION("""COMPUTED_VALUE"""),46009.6666666666)</f>
        <v/>
      </c>
      <c r="BA103" s="513">
        <f>IFERROR(__xludf.DUMMYFUNCTION("""COMPUTED_VALUE"""),110.85)</f>
        <v/>
      </c>
      <c r="BC103" s="512">
        <f>IFERROR(__xludf.DUMMYFUNCTION("""COMPUTED_VALUE"""),46009.6666666666)</f>
        <v/>
      </c>
      <c r="BD103" s="513">
        <f>IFERROR(__xludf.DUMMYFUNCTION("""COMPUTED_VALUE"""),96.77)</f>
        <v/>
      </c>
      <c r="BF103" s="512">
        <f>IFERROR(__xludf.DUMMYFUNCTION("""COMPUTED_VALUE"""),46009.6666666666)</f>
        <v/>
      </c>
      <c r="BG103" s="513">
        <f>IFERROR(__xludf.DUMMYFUNCTION("""COMPUTED_VALUE"""),83.03)</f>
        <v/>
      </c>
      <c r="BI103" s="512">
        <f>IFERROR(__xludf.DUMMYFUNCTION("""COMPUTED_VALUE"""),46009.6666666666)</f>
        <v/>
      </c>
      <c r="BJ103" s="513">
        <f>IFERROR(__xludf.DUMMYFUNCTION("""COMPUTED_VALUE"""),88.22)</f>
        <v/>
      </c>
      <c r="BL103" s="512">
        <f>IFERROR(__xludf.DUMMYFUNCTION("""COMPUTED_VALUE"""),46009.6666666666)</f>
        <v/>
      </c>
      <c r="BM103" s="513">
        <f>IFERROR(__xludf.DUMMYFUNCTION("""COMPUTED_VALUE"""),398.57)</f>
        <v/>
      </c>
      <c r="BO103" s="512">
        <f>IFERROR(__xludf.DUMMYFUNCTION("""COMPUTED_VALUE"""),46009.6666666666)</f>
        <v/>
      </c>
      <c r="BP103" s="513">
        <f>IFERROR(__xludf.DUMMYFUNCTION("""COMPUTED_VALUE"""),91.27)</f>
        <v/>
      </c>
    </row>
    <row r="104">
      <c r="A104" s="512">
        <f>IFERROR(__xludf.DUMMYFUNCTION("""COMPUTED_VALUE"""),46010.6666666666)</f>
        <v/>
      </c>
      <c r="B104" s="513">
        <f>IFERROR(__xludf.DUMMYFUNCTION("""COMPUTED_VALUE"""),680.59)</f>
        <v/>
      </c>
      <c r="D104" s="512">
        <f>IFERROR(__xludf.DUMMYFUNCTION("""COMPUTED_VALUE"""),46010.6666666666)</f>
        <v/>
      </c>
      <c r="E104" s="513">
        <f>IFERROR(__xludf.DUMMYFUNCTION("""COMPUTED_VALUE"""),88.59)</f>
        <v/>
      </c>
      <c r="G104" s="512">
        <f>IFERROR(__xludf.DUMMYFUNCTION("""COMPUTED_VALUE"""),46198.6666666666)</f>
        <v/>
      </c>
      <c r="H104" s="513">
        <f>IFERROR(__xludf.DUMMYFUNCTION("""COMPUTED_VALUE"""),71.16)</f>
        <v/>
      </c>
      <c r="J104" s="512">
        <f>IFERROR(__xludf.DUMMYFUNCTION("""COMPUTED_VALUE"""),46010.6666666666)</f>
        <v/>
      </c>
      <c r="K104" s="513">
        <f>IFERROR(__xludf.DUMMYFUNCTION("""COMPUTED_VALUE"""),80.58)</f>
        <v/>
      </c>
      <c r="M104" s="512">
        <f>IFERROR(__xludf.DUMMYFUNCTION("""COMPUTED_VALUE"""),46010.6666666666)</f>
        <v/>
      </c>
      <c r="N104" s="513">
        <f>IFERROR(__xludf.DUMMYFUNCTION("""COMPUTED_VALUE"""),250.79)</f>
        <v/>
      </c>
      <c r="P104" s="512">
        <f>IFERROR(__xludf.DUMMYFUNCTION("""COMPUTED_VALUE"""),46010.6666666666)</f>
        <v/>
      </c>
      <c r="Q104" s="513">
        <f>IFERROR(__xludf.DUMMYFUNCTION("""COMPUTED_VALUE"""),82.79)</f>
        <v/>
      </c>
      <c r="S104" s="512">
        <f>IFERROR(__xludf.DUMMYFUNCTION("""COMPUTED_VALUE"""),45280.6666666666)</f>
        <v/>
      </c>
      <c r="T104" s="513">
        <f>IFERROR(__xludf.DUMMYFUNCTION("""COMPUTED_VALUE"""),194.83)</f>
        <v/>
      </c>
      <c r="V104" s="512">
        <f>IFERROR(__xludf.DUMMYFUNCTION("""COMPUTED_VALUE"""),46010.6666666666)</f>
        <v/>
      </c>
      <c r="W104" s="513">
        <f>IFERROR(__xludf.DUMMYFUNCTION("""COMPUTED_VALUE"""),22.85)</f>
        <v/>
      </c>
      <c r="Y104" s="512">
        <f>IFERROR(__xludf.DUMMYFUNCTION("""COMPUTED_VALUE"""),46010.6666666666)</f>
        <v/>
      </c>
      <c r="Z104" s="513">
        <f>IFERROR(__xludf.DUMMYFUNCTION("""COMPUTED_VALUE"""),74.04)</f>
        <v/>
      </c>
      <c r="AB104" s="512">
        <f>IFERROR(__xludf.DUMMYFUNCTION("""COMPUTED_VALUE"""),46010.6666666666)</f>
        <v/>
      </c>
      <c r="AC104" s="513">
        <f>IFERROR(__xludf.DUMMYFUNCTION("""COMPUTED_VALUE"""),53.11)</f>
        <v/>
      </c>
      <c r="AE104" s="512">
        <f>IFERROR(__xludf.DUMMYFUNCTION("""COMPUTED_VALUE"""),46010.6666666666)</f>
        <v/>
      </c>
      <c r="AF104" s="513">
        <f>IFERROR(__xludf.DUMMYFUNCTION("""COMPUTED_VALUE"""),96.27)</f>
        <v/>
      </c>
      <c r="AH104" s="512">
        <f>IFERROR(__xludf.DUMMYFUNCTION("""COMPUTED_VALUE"""),46010.6666666666)</f>
        <v/>
      </c>
      <c r="AI104" s="513">
        <f>IFERROR(__xludf.DUMMYFUNCTION("""COMPUTED_VALUE"""),22.35)</f>
        <v/>
      </c>
      <c r="AK104" s="512">
        <f>IFERROR(__xludf.DUMMYFUNCTION("""COMPUTED_VALUE"""),46010.6666666666)</f>
        <v/>
      </c>
      <c r="AL104" s="513">
        <f>IFERROR(__xludf.DUMMYFUNCTION("""COMPUTED_VALUE"""),80.36)</f>
        <v/>
      </c>
      <c r="AN104" s="512">
        <f>IFERROR(__xludf.DUMMYFUNCTION("""COMPUTED_VALUE"""),46010.6666666666)</f>
        <v/>
      </c>
      <c r="AO104" s="513">
        <f>IFERROR(__xludf.DUMMYFUNCTION("""COMPUTED_VALUE"""),109.94)</f>
        <v/>
      </c>
      <c r="AQ104" s="512">
        <f>IFERROR(__xludf.DUMMYFUNCTION("""COMPUTED_VALUE"""),46010.6666666666)</f>
        <v/>
      </c>
      <c r="AR104" s="513">
        <f>IFERROR(__xludf.DUMMYFUNCTION("""COMPUTED_VALUE"""),95.46)</f>
        <v/>
      </c>
      <c r="AT104" s="512">
        <f>IFERROR(__xludf.DUMMYFUNCTION("""COMPUTED_VALUE"""),46010.6666666666)</f>
        <v/>
      </c>
      <c r="AU104" s="513">
        <f>IFERROR(__xludf.DUMMYFUNCTION("""COMPUTED_VALUE"""),53.72)</f>
        <v/>
      </c>
      <c r="AW104" s="512">
        <f>IFERROR(__xludf.DUMMYFUNCTION("""COMPUTED_VALUE"""),46010.6666666666)</f>
        <v/>
      </c>
      <c r="AX104" s="513">
        <f>IFERROR(__xludf.DUMMYFUNCTION("""COMPUTED_VALUE"""),99.84)</f>
        <v/>
      </c>
      <c r="AZ104" s="512">
        <f>IFERROR(__xludf.DUMMYFUNCTION("""COMPUTED_VALUE"""),46010.6666666666)</f>
        <v/>
      </c>
      <c r="BA104" s="513">
        <f>IFERROR(__xludf.DUMMYFUNCTION("""COMPUTED_VALUE"""),110.13)</f>
        <v/>
      </c>
      <c r="BC104" s="512">
        <f>IFERROR(__xludf.DUMMYFUNCTION("""COMPUTED_VALUE"""),46010.6666666666)</f>
        <v/>
      </c>
      <c r="BD104" s="513">
        <f>IFERROR(__xludf.DUMMYFUNCTION("""COMPUTED_VALUE"""),96.24)</f>
        <v/>
      </c>
      <c r="BF104" s="512">
        <f>IFERROR(__xludf.DUMMYFUNCTION("""COMPUTED_VALUE"""),46010.6666666666)</f>
        <v/>
      </c>
      <c r="BG104" s="513">
        <f>IFERROR(__xludf.DUMMYFUNCTION("""COMPUTED_VALUE"""),82.76)</f>
        <v/>
      </c>
      <c r="BI104" s="512">
        <f>IFERROR(__xludf.DUMMYFUNCTION("""COMPUTED_VALUE"""),46010.6666666666)</f>
        <v/>
      </c>
      <c r="BJ104" s="513">
        <f>IFERROR(__xludf.DUMMYFUNCTION("""COMPUTED_VALUE"""),87.55)</f>
        <v/>
      </c>
      <c r="BL104" s="512">
        <f>IFERROR(__xludf.DUMMYFUNCTION("""COMPUTED_VALUE"""),46010.6666666666)</f>
        <v/>
      </c>
      <c r="BM104" s="513">
        <f>IFERROR(__xludf.DUMMYFUNCTION("""COMPUTED_VALUE"""),399.02)</f>
        <v/>
      </c>
      <c r="BO104" s="512">
        <f>IFERROR(__xludf.DUMMYFUNCTION("""COMPUTED_VALUE"""),46010.6666666666)</f>
        <v/>
      </c>
      <c r="BP104" s="513">
        <f>IFERROR(__xludf.DUMMYFUNCTION("""COMPUTED_VALUE"""),91.3)</f>
        <v/>
      </c>
    </row>
    <row r="105">
      <c r="A105" s="512">
        <f>IFERROR(__xludf.DUMMYFUNCTION("""COMPUTED_VALUE"""),46013.6666666666)</f>
        <v/>
      </c>
      <c r="B105" s="513">
        <f>IFERROR(__xludf.DUMMYFUNCTION("""COMPUTED_VALUE"""),684.83)</f>
        <v/>
      </c>
      <c r="D105" s="512">
        <f>IFERROR(__xludf.DUMMYFUNCTION("""COMPUTED_VALUE"""),46013.6666666666)</f>
        <v/>
      </c>
      <c r="E105" s="513">
        <f>IFERROR(__xludf.DUMMYFUNCTION("""COMPUTED_VALUE"""),88.24)</f>
        <v/>
      </c>
      <c r="G105" s="512">
        <f>IFERROR(__xludf.DUMMYFUNCTION("""COMPUTED_VALUE"""),46199.6666666666)</f>
        <v/>
      </c>
      <c r="H105" s="513">
        <f>IFERROR(__xludf.DUMMYFUNCTION("""COMPUTED_VALUE"""),70.56)</f>
        <v/>
      </c>
      <c r="J105" s="512">
        <f>IFERROR(__xludf.DUMMYFUNCTION("""COMPUTED_VALUE"""),46013.6666666666)</f>
        <v/>
      </c>
      <c r="K105" s="513">
        <f>IFERROR(__xludf.DUMMYFUNCTION("""COMPUTED_VALUE"""),80.46)</f>
        <v/>
      </c>
      <c r="M105" s="512">
        <f>IFERROR(__xludf.DUMMYFUNCTION("""COMPUTED_VALUE"""),46013.6666666666)</f>
        <v/>
      </c>
      <c r="N105" s="513">
        <f>IFERROR(__xludf.DUMMYFUNCTION("""COMPUTED_VALUE"""),253.58)</f>
        <v/>
      </c>
      <c r="P105" s="512">
        <f>IFERROR(__xludf.DUMMYFUNCTION("""COMPUTED_VALUE"""),46013.6666666666)</f>
        <v/>
      </c>
      <c r="Q105" s="513">
        <f>IFERROR(__xludf.DUMMYFUNCTION("""COMPUTED_VALUE"""),83.23)</f>
        <v/>
      </c>
      <c r="S105" s="512">
        <f>IFERROR(__xludf.DUMMYFUNCTION("""COMPUTED_VALUE"""),45281.6666666666)</f>
        <v/>
      </c>
      <c r="T105" s="513">
        <f>IFERROR(__xludf.DUMMYFUNCTION("""COMPUTED_VALUE"""),194.68)</f>
        <v/>
      </c>
      <c r="V105" s="512">
        <f>IFERROR(__xludf.DUMMYFUNCTION("""COMPUTED_VALUE"""),46013.6666666666)</f>
        <v/>
      </c>
      <c r="W105" s="513">
        <f>IFERROR(__xludf.DUMMYFUNCTION("""COMPUTED_VALUE"""),22.39)</f>
        <v/>
      </c>
      <c r="Y105" s="512">
        <f>IFERROR(__xludf.DUMMYFUNCTION("""COMPUTED_VALUE"""),46013.6666666666)</f>
        <v/>
      </c>
      <c r="Z105" s="513">
        <f>IFERROR(__xludf.DUMMYFUNCTION("""COMPUTED_VALUE"""),74.02)</f>
        <v/>
      </c>
      <c r="AB105" s="512">
        <f>IFERROR(__xludf.DUMMYFUNCTION("""COMPUTED_VALUE"""),46013.6666666666)</f>
        <v/>
      </c>
      <c r="AC105" s="513">
        <f>IFERROR(__xludf.DUMMYFUNCTION("""COMPUTED_VALUE"""),53.45)</f>
        <v/>
      </c>
      <c r="AE105" s="512">
        <f>IFERROR(__xludf.DUMMYFUNCTION("""COMPUTED_VALUE"""),46013.6666666666)</f>
        <v/>
      </c>
      <c r="AF105" s="513">
        <f>IFERROR(__xludf.DUMMYFUNCTION("""COMPUTED_VALUE"""),96.31)</f>
        <v/>
      </c>
      <c r="AH105" s="512">
        <f>IFERROR(__xludf.DUMMYFUNCTION("""COMPUTED_VALUE"""),46013.6666666666)</f>
        <v/>
      </c>
      <c r="AI105" s="513">
        <f>IFERROR(__xludf.DUMMYFUNCTION("""COMPUTED_VALUE"""),22.42)</f>
        <v/>
      </c>
      <c r="AK105" s="512">
        <f>IFERROR(__xludf.DUMMYFUNCTION("""COMPUTED_VALUE"""),46013.6666666666)</f>
        <v/>
      </c>
      <c r="AL105" s="513">
        <f>IFERROR(__xludf.DUMMYFUNCTION("""COMPUTED_VALUE"""),80.43)</f>
        <v/>
      </c>
      <c r="AN105" s="512">
        <f>IFERROR(__xludf.DUMMYFUNCTION("""COMPUTED_VALUE"""),46013.6666666666)</f>
        <v/>
      </c>
      <c r="AO105" s="513">
        <f>IFERROR(__xludf.DUMMYFUNCTION("""COMPUTED_VALUE"""),109.78)</f>
        <v/>
      </c>
      <c r="AQ105" s="512">
        <f>IFERROR(__xludf.DUMMYFUNCTION("""COMPUTED_VALUE"""),46013.6666666666)</f>
        <v/>
      </c>
      <c r="AR105" s="513">
        <f>IFERROR(__xludf.DUMMYFUNCTION("""COMPUTED_VALUE"""),95.7)</f>
        <v/>
      </c>
      <c r="AT105" s="512">
        <f>IFERROR(__xludf.DUMMYFUNCTION("""COMPUTED_VALUE"""),46013.6666666666)</f>
        <v/>
      </c>
      <c r="AU105" s="513">
        <f>IFERROR(__xludf.DUMMYFUNCTION("""COMPUTED_VALUE"""),54.01)</f>
        <v/>
      </c>
      <c r="AW105" s="512">
        <f>IFERROR(__xludf.DUMMYFUNCTION("""COMPUTED_VALUE"""),46013.6666666666)</f>
        <v/>
      </c>
      <c r="AX105" s="513">
        <f>IFERROR(__xludf.DUMMYFUNCTION("""COMPUTED_VALUE"""),99.8)</f>
        <v/>
      </c>
      <c r="AZ105" s="512">
        <f>IFERROR(__xludf.DUMMYFUNCTION("""COMPUTED_VALUE"""),46013.6666666666)</f>
        <v/>
      </c>
      <c r="BA105" s="513">
        <f>IFERROR(__xludf.DUMMYFUNCTION("""COMPUTED_VALUE"""),110.11)</f>
        <v/>
      </c>
      <c r="BC105" s="512">
        <f>IFERROR(__xludf.DUMMYFUNCTION("""COMPUTED_VALUE"""),46013.6666666666)</f>
        <v/>
      </c>
      <c r="BD105" s="513">
        <f>IFERROR(__xludf.DUMMYFUNCTION("""COMPUTED_VALUE"""),96.14)</f>
        <v/>
      </c>
      <c r="BF105" s="512">
        <f>IFERROR(__xludf.DUMMYFUNCTION("""COMPUTED_VALUE"""),46013.6666666666)</f>
        <v/>
      </c>
      <c r="BG105" s="513">
        <f>IFERROR(__xludf.DUMMYFUNCTION("""COMPUTED_VALUE"""),82.72)</f>
        <v/>
      </c>
      <c r="BI105" s="512">
        <f>IFERROR(__xludf.DUMMYFUNCTION("""COMPUTED_VALUE"""),46013.6666666666)</f>
        <v/>
      </c>
      <c r="BJ105" s="513">
        <f>IFERROR(__xludf.DUMMYFUNCTION("""COMPUTED_VALUE"""),87.36)</f>
        <v/>
      </c>
      <c r="BL105" s="512">
        <f>IFERROR(__xludf.DUMMYFUNCTION("""COMPUTED_VALUE"""),46013.6666666666)</f>
        <v/>
      </c>
      <c r="BM105" s="513">
        <f>IFERROR(__xludf.DUMMYFUNCTION("""COMPUTED_VALUE"""),408.23)</f>
        <v/>
      </c>
      <c r="BO105" s="512">
        <f>IFERROR(__xludf.DUMMYFUNCTION("""COMPUTED_VALUE"""),46013.6666666666)</f>
        <v/>
      </c>
      <c r="BP105" s="513">
        <f>IFERROR(__xludf.DUMMYFUNCTION("""COMPUTED_VALUE"""),91.3)</f>
        <v/>
      </c>
    </row>
    <row r="106">
      <c r="A106" s="512">
        <f>IFERROR(__xludf.DUMMYFUNCTION("""COMPUTED_VALUE"""),46014.6666666666)</f>
        <v/>
      </c>
      <c r="B106" s="513">
        <f>IFERROR(__xludf.DUMMYFUNCTION("""COMPUTED_VALUE"""),687.96)</f>
        <v/>
      </c>
      <c r="D106" s="512">
        <f>IFERROR(__xludf.DUMMYFUNCTION("""COMPUTED_VALUE"""),46014.6666666666)</f>
        <v/>
      </c>
      <c r="E106" s="513">
        <f>IFERROR(__xludf.DUMMYFUNCTION("""COMPUTED_VALUE"""),88.18)</f>
        <v/>
      </c>
      <c r="G106" s="512">
        <f>IFERROR(__xludf.DUMMYFUNCTION("""COMPUTED_VALUE"""),46202.6666666666)</f>
        <v/>
      </c>
      <c r="H106" s="513">
        <f>IFERROR(__xludf.DUMMYFUNCTION("""COMPUTED_VALUE"""),70.92)</f>
        <v/>
      </c>
      <c r="J106" s="512">
        <f>IFERROR(__xludf.DUMMYFUNCTION("""COMPUTED_VALUE"""),46014.6666666666)</f>
        <v/>
      </c>
      <c r="K106" s="513">
        <f>IFERROR(__xludf.DUMMYFUNCTION("""COMPUTED_VALUE"""),81.14)</f>
        <v/>
      </c>
      <c r="M106" s="512">
        <f>IFERROR(__xludf.DUMMYFUNCTION("""COMPUTED_VALUE"""),46014.6666666666)</f>
        <v/>
      </c>
      <c r="N106" s="513">
        <f>IFERROR(__xludf.DUMMYFUNCTION("""COMPUTED_VALUE"""),252.08)</f>
        <v/>
      </c>
      <c r="P106" s="512">
        <f>IFERROR(__xludf.DUMMYFUNCTION("""COMPUTED_VALUE"""),46014.6666666666)</f>
        <v/>
      </c>
      <c r="Q106" s="513">
        <f>IFERROR(__xludf.DUMMYFUNCTION("""COMPUTED_VALUE"""),83.61)</f>
        <v/>
      </c>
      <c r="S106" s="512">
        <f>IFERROR(__xludf.DUMMYFUNCTION("""COMPUTED_VALUE"""),45282.6666666666)</f>
        <v/>
      </c>
      <c r="T106" s="513">
        <f>IFERROR(__xludf.DUMMYFUNCTION("""COMPUTED_VALUE"""),193.6)</f>
        <v/>
      </c>
      <c r="V106" s="512">
        <f>IFERROR(__xludf.DUMMYFUNCTION("""COMPUTED_VALUE"""),46014.6666666666)</f>
        <v/>
      </c>
      <c r="W106" s="513">
        <f>IFERROR(__xludf.DUMMYFUNCTION("""COMPUTED_VALUE"""),22.64)</f>
        <v/>
      </c>
      <c r="Y106" s="512">
        <f>IFERROR(__xludf.DUMMYFUNCTION("""COMPUTED_VALUE"""),46014.6666666666)</f>
        <v/>
      </c>
      <c r="Z106" s="513">
        <f>IFERROR(__xludf.DUMMYFUNCTION("""COMPUTED_VALUE"""),74.01)</f>
        <v/>
      </c>
      <c r="AB106" s="512">
        <f>IFERROR(__xludf.DUMMYFUNCTION("""COMPUTED_VALUE"""),46014.6666666666)</f>
        <v/>
      </c>
      <c r="AC106" s="513">
        <f>IFERROR(__xludf.DUMMYFUNCTION("""COMPUTED_VALUE"""),53.7)</f>
        <v/>
      </c>
      <c r="AE106" s="512">
        <f>IFERROR(__xludf.DUMMYFUNCTION("""COMPUTED_VALUE"""),46014.6666666666)</f>
        <v/>
      </c>
      <c r="AF106" s="513">
        <f>IFERROR(__xludf.DUMMYFUNCTION("""COMPUTED_VALUE"""),96.26)</f>
        <v/>
      </c>
      <c r="AH106" s="512">
        <f>IFERROR(__xludf.DUMMYFUNCTION("""COMPUTED_VALUE"""),46014.6666666666)</f>
        <v/>
      </c>
      <c r="AI106" s="513">
        <f>IFERROR(__xludf.DUMMYFUNCTION("""COMPUTED_VALUE"""),22.54)</f>
        <v/>
      </c>
      <c r="AK106" s="512">
        <f>IFERROR(__xludf.DUMMYFUNCTION("""COMPUTED_VALUE"""),46014.6666666666)</f>
        <v/>
      </c>
      <c r="AL106" s="513">
        <f>IFERROR(__xludf.DUMMYFUNCTION("""COMPUTED_VALUE"""),80.49)</f>
        <v/>
      </c>
      <c r="AN106" s="512">
        <f>IFERROR(__xludf.DUMMYFUNCTION("""COMPUTED_VALUE"""),46014.6666666666)</f>
        <v/>
      </c>
      <c r="AO106" s="513">
        <f>IFERROR(__xludf.DUMMYFUNCTION("""COMPUTED_VALUE"""),109.83)</f>
        <v/>
      </c>
      <c r="AQ106" s="512">
        <f>IFERROR(__xludf.DUMMYFUNCTION("""COMPUTED_VALUE"""),46014.6666666666)</f>
        <v/>
      </c>
      <c r="AR106" s="513">
        <f>IFERROR(__xludf.DUMMYFUNCTION("""COMPUTED_VALUE"""),96.29)</f>
        <v/>
      </c>
      <c r="AT106" s="512">
        <f>IFERROR(__xludf.DUMMYFUNCTION("""COMPUTED_VALUE"""),46014.6666666666)</f>
        <v/>
      </c>
      <c r="AU106" s="513">
        <f>IFERROR(__xludf.DUMMYFUNCTION("""COMPUTED_VALUE"""),54.31)</f>
        <v/>
      </c>
      <c r="AW106" s="512">
        <f>IFERROR(__xludf.DUMMYFUNCTION("""COMPUTED_VALUE"""),46014.6666666666)</f>
        <v/>
      </c>
      <c r="AX106" s="513">
        <f>IFERROR(__xludf.DUMMYFUNCTION("""COMPUTED_VALUE"""),99.8)</f>
        <v/>
      </c>
      <c r="AZ106" s="512">
        <f>IFERROR(__xludf.DUMMYFUNCTION("""COMPUTED_VALUE"""),46014.6666666666)</f>
        <v/>
      </c>
      <c r="BA106" s="513">
        <f>IFERROR(__xludf.DUMMYFUNCTION("""COMPUTED_VALUE"""),110.22)</f>
        <v/>
      </c>
      <c r="BC106" s="512">
        <f>IFERROR(__xludf.DUMMYFUNCTION("""COMPUTED_VALUE"""),46014.6666666666)</f>
        <v/>
      </c>
      <c r="BD106" s="513">
        <f>IFERROR(__xludf.DUMMYFUNCTION("""COMPUTED_VALUE"""),96.1)</f>
        <v/>
      </c>
      <c r="BF106" s="512">
        <f>IFERROR(__xludf.DUMMYFUNCTION("""COMPUTED_VALUE"""),46014.6666666666)</f>
        <v/>
      </c>
      <c r="BG106" s="513">
        <f>IFERROR(__xludf.DUMMYFUNCTION("""COMPUTED_VALUE"""),82.68)</f>
        <v/>
      </c>
      <c r="BI106" s="512">
        <f>IFERROR(__xludf.DUMMYFUNCTION("""COMPUTED_VALUE"""),46014.6666666666)</f>
        <v/>
      </c>
      <c r="BJ106" s="513">
        <f>IFERROR(__xludf.DUMMYFUNCTION("""COMPUTED_VALUE"""),87.5)</f>
        <v/>
      </c>
      <c r="BL106" s="512">
        <f>IFERROR(__xludf.DUMMYFUNCTION("""COMPUTED_VALUE"""),46014.6666666666)</f>
        <v/>
      </c>
      <c r="BM106" s="513">
        <f>IFERROR(__xludf.DUMMYFUNCTION("""COMPUTED_VALUE"""),413.64)</f>
        <v/>
      </c>
      <c r="BO106" s="512">
        <f>IFERROR(__xludf.DUMMYFUNCTION("""COMPUTED_VALUE"""),46014.6666666666)</f>
        <v/>
      </c>
      <c r="BP106" s="513">
        <f>IFERROR(__xludf.DUMMYFUNCTION("""COMPUTED_VALUE"""),91.3)</f>
        <v/>
      </c>
    </row>
    <row r="107">
      <c r="A107" s="512">
        <f>IFERROR(__xludf.DUMMYFUNCTION("""COMPUTED_VALUE"""),46015.5416666666)</f>
        <v/>
      </c>
      <c r="B107" s="513">
        <f>IFERROR(__xludf.DUMMYFUNCTION("""COMPUTED_VALUE"""),690.38)</f>
        <v/>
      </c>
      <c r="D107" s="512">
        <f>IFERROR(__xludf.DUMMYFUNCTION("""COMPUTED_VALUE"""),46015.5416666666)</f>
        <v/>
      </c>
      <c r="E107" s="513">
        <f>IFERROR(__xludf.DUMMYFUNCTION("""COMPUTED_VALUE"""),88.76)</f>
        <v/>
      </c>
      <c r="G107" s="512">
        <f>IFERROR(__xludf.DUMMYFUNCTION("""COMPUTED_VALUE"""),46203.6666666666)</f>
        <v/>
      </c>
      <c r="H107" s="513">
        <f>IFERROR(__xludf.DUMMYFUNCTION("""COMPUTED_VALUE"""),71.25)</f>
        <v/>
      </c>
      <c r="J107" s="512">
        <f>IFERROR(__xludf.DUMMYFUNCTION("""COMPUTED_VALUE"""),46015.5416666666)</f>
        <v/>
      </c>
      <c r="K107" s="513">
        <f>IFERROR(__xludf.DUMMYFUNCTION("""COMPUTED_VALUE"""),81)</f>
        <v/>
      </c>
      <c r="M107" s="512">
        <f>IFERROR(__xludf.DUMMYFUNCTION("""COMPUTED_VALUE"""),46015.5416666666)</f>
        <v/>
      </c>
      <c r="N107" s="513">
        <f>IFERROR(__xludf.DUMMYFUNCTION("""COMPUTED_VALUE"""),252.71)</f>
        <v/>
      </c>
      <c r="P107" s="512">
        <f>IFERROR(__xludf.DUMMYFUNCTION("""COMPUTED_VALUE"""),46015.5416666666)</f>
        <v/>
      </c>
      <c r="Q107" s="513">
        <f>IFERROR(__xludf.DUMMYFUNCTION("""COMPUTED_VALUE"""),83.73)</f>
        <v/>
      </c>
      <c r="S107" s="512">
        <f>IFERROR(__xludf.DUMMYFUNCTION("""COMPUTED_VALUE"""),45286.6666666666)</f>
        <v/>
      </c>
      <c r="T107" s="513">
        <f>IFERROR(__xludf.DUMMYFUNCTION("""COMPUTED_VALUE"""),193.05)</f>
        <v/>
      </c>
      <c r="V107" s="512">
        <f>IFERROR(__xludf.DUMMYFUNCTION("""COMPUTED_VALUE"""),46015.5416666666)</f>
        <v/>
      </c>
      <c r="W107" s="513">
        <f>IFERROR(__xludf.DUMMYFUNCTION("""COMPUTED_VALUE"""),22.63)</f>
        <v/>
      </c>
      <c r="Y107" s="512">
        <f>IFERROR(__xludf.DUMMYFUNCTION("""COMPUTED_VALUE"""),46015.5451388888)</f>
        <v/>
      </c>
      <c r="Z107" s="513">
        <f>IFERROR(__xludf.DUMMYFUNCTION("""COMPUTED_VALUE"""),74.19)</f>
        <v/>
      </c>
      <c r="AB107" s="512">
        <f>IFERROR(__xludf.DUMMYFUNCTION("""COMPUTED_VALUE"""),46015.5416666666)</f>
        <v/>
      </c>
      <c r="AC107" s="513">
        <f>IFERROR(__xludf.DUMMYFUNCTION("""COMPUTED_VALUE"""),53.68)</f>
        <v/>
      </c>
      <c r="AE107" s="512">
        <f>IFERROR(__xludf.DUMMYFUNCTION("""COMPUTED_VALUE"""),46015.5451388888)</f>
        <v/>
      </c>
      <c r="AF107" s="513">
        <f>IFERROR(__xludf.DUMMYFUNCTION("""COMPUTED_VALUE"""),96.55)</f>
        <v/>
      </c>
      <c r="AH107" s="512">
        <f>IFERROR(__xludf.DUMMYFUNCTION("""COMPUTED_VALUE"""),46015.5416666666)</f>
        <v/>
      </c>
      <c r="AI107" s="513">
        <f>IFERROR(__xludf.DUMMYFUNCTION("""COMPUTED_VALUE"""),22.62)</f>
        <v/>
      </c>
      <c r="AK107" s="512">
        <f>IFERROR(__xludf.DUMMYFUNCTION("""COMPUTED_VALUE"""),46015.5416666666)</f>
        <v/>
      </c>
      <c r="AL107" s="513">
        <f>IFERROR(__xludf.DUMMYFUNCTION("""COMPUTED_VALUE"""),80.64)</f>
        <v/>
      </c>
      <c r="AN107" s="512">
        <f>IFERROR(__xludf.DUMMYFUNCTION("""COMPUTED_VALUE"""),46015.5416666666)</f>
        <v/>
      </c>
      <c r="AO107" s="513">
        <f>IFERROR(__xludf.DUMMYFUNCTION("""COMPUTED_VALUE"""),110.06)</f>
        <v/>
      </c>
      <c r="AQ107" s="512">
        <f>IFERROR(__xludf.DUMMYFUNCTION("""COMPUTED_VALUE"""),46015.5416666666)</f>
        <v/>
      </c>
      <c r="AR107" s="513">
        <f>IFERROR(__xludf.DUMMYFUNCTION("""COMPUTED_VALUE"""),96.41)</f>
        <v/>
      </c>
      <c r="AT107" s="512">
        <f>IFERROR(__xludf.DUMMYFUNCTION("""COMPUTED_VALUE"""),46015.5416666666)</f>
        <v/>
      </c>
      <c r="AU107" s="513">
        <f>IFERROR(__xludf.DUMMYFUNCTION("""COMPUTED_VALUE"""),54.42)</f>
        <v/>
      </c>
      <c r="AW107" s="512">
        <f>IFERROR(__xludf.DUMMYFUNCTION("""COMPUTED_VALUE"""),46015.5416666666)</f>
        <v/>
      </c>
      <c r="AX107" s="513">
        <f>IFERROR(__xludf.DUMMYFUNCTION("""COMPUTED_VALUE"""),100.02)</f>
        <v/>
      </c>
      <c r="AZ107" s="512">
        <f>IFERROR(__xludf.DUMMYFUNCTION("""COMPUTED_VALUE"""),46015.5416666666)</f>
        <v/>
      </c>
      <c r="BA107" s="513">
        <f>IFERROR(__xludf.DUMMYFUNCTION("""COMPUTED_VALUE"""),110.65)</f>
        <v/>
      </c>
      <c r="BC107" s="512">
        <f>IFERROR(__xludf.DUMMYFUNCTION("""COMPUTED_VALUE"""),46015.5451388888)</f>
        <v/>
      </c>
      <c r="BD107" s="513">
        <f>IFERROR(__xludf.DUMMYFUNCTION("""COMPUTED_VALUE"""),96.35)</f>
        <v/>
      </c>
      <c r="BF107" s="512">
        <f>IFERROR(__xludf.DUMMYFUNCTION("""COMPUTED_VALUE"""),46015.5451388888)</f>
        <v/>
      </c>
      <c r="BG107" s="513">
        <f>IFERROR(__xludf.DUMMYFUNCTION("""COMPUTED_VALUE"""),82.73)</f>
        <v/>
      </c>
      <c r="BI107" s="512">
        <f>IFERROR(__xludf.DUMMYFUNCTION("""COMPUTED_VALUE"""),46015.5451388888)</f>
        <v/>
      </c>
      <c r="BJ107" s="513">
        <f>IFERROR(__xludf.DUMMYFUNCTION("""COMPUTED_VALUE"""),88.03)</f>
        <v/>
      </c>
      <c r="BL107" s="512">
        <f>IFERROR(__xludf.DUMMYFUNCTION("""COMPUTED_VALUE"""),46015.5416666666)</f>
        <v/>
      </c>
      <c r="BM107" s="513">
        <f>IFERROR(__xludf.DUMMYFUNCTION("""COMPUTED_VALUE"""),411.93)</f>
        <v/>
      </c>
      <c r="BO107" s="512">
        <f>IFERROR(__xludf.DUMMYFUNCTION("""COMPUTED_VALUE"""),46015.5416666666)</f>
        <v/>
      </c>
      <c r="BP107" s="513">
        <f>IFERROR(__xludf.DUMMYFUNCTION("""COMPUTED_VALUE"""),91.33)</f>
        <v/>
      </c>
    </row>
    <row r="108">
      <c r="A108" s="512">
        <f>IFERROR(__xludf.DUMMYFUNCTION("""COMPUTED_VALUE"""),46017.6666666666)</f>
        <v/>
      </c>
      <c r="B108" s="513">
        <f>IFERROR(__xludf.DUMMYFUNCTION("""COMPUTED_VALUE"""),690.31)</f>
        <v/>
      </c>
      <c r="D108" s="512">
        <f>IFERROR(__xludf.DUMMYFUNCTION("""COMPUTED_VALUE"""),46017.6666666666)</f>
        <v/>
      </c>
      <c r="E108" s="513">
        <f>IFERROR(__xludf.DUMMYFUNCTION("""COMPUTED_VALUE"""),88.86)</f>
        <v/>
      </c>
      <c r="G108" s="512">
        <f>IFERROR(__xludf.DUMMYFUNCTION("""COMPUTED_VALUE"""),46204.6666666666)</f>
        <v/>
      </c>
      <c r="H108" s="513">
        <f>IFERROR(__xludf.DUMMYFUNCTION("""COMPUTED_VALUE"""),70.36)</f>
        <v/>
      </c>
      <c r="J108" s="512">
        <f>IFERROR(__xludf.DUMMYFUNCTION("""COMPUTED_VALUE"""),46017.6666666666)</f>
        <v/>
      </c>
      <c r="K108" s="513">
        <f>IFERROR(__xludf.DUMMYFUNCTION("""COMPUTED_VALUE"""),80.97)</f>
        <v/>
      </c>
      <c r="M108" s="512">
        <f>IFERROR(__xludf.DUMMYFUNCTION("""COMPUTED_VALUE"""),46017.6666666666)</f>
        <v/>
      </c>
      <c r="N108" s="513">
        <f>IFERROR(__xludf.DUMMYFUNCTION("""COMPUTED_VALUE"""),251.42)</f>
        <v/>
      </c>
      <c r="P108" s="512">
        <f>IFERROR(__xludf.DUMMYFUNCTION("""COMPUTED_VALUE"""),46017.6666666666)</f>
        <v/>
      </c>
      <c r="Q108" s="513">
        <f>IFERROR(__xludf.DUMMYFUNCTION("""COMPUTED_VALUE"""),83.97)</f>
        <v/>
      </c>
      <c r="S108" s="512">
        <f>IFERROR(__xludf.DUMMYFUNCTION("""COMPUTED_VALUE"""),45287.6666666666)</f>
        <v/>
      </c>
      <c r="T108" s="513">
        <f>IFERROR(__xludf.DUMMYFUNCTION("""COMPUTED_VALUE"""),193.15)</f>
        <v/>
      </c>
      <c r="V108" s="512">
        <f>IFERROR(__xludf.DUMMYFUNCTION("""COMPUTED_VALUE"""),46017.6666666666)</f>
        <v/>
      </c>
      <c r="W108" s="513">
        <f>IFERROR(__xludf.DUMMYFUNCTION("""COMPUTED_VALUE"""),22.7)</f>
        <v/>
      </c>
      <c r="Y108" s="512">
        <f>IFERROR(__xludf.DUMMYFUNCTION("""COMPUTED_VALUE"""),46017.6666666666)</f>
        <v/>
      </c>
      <c r="Z108" s="513">
        <f>IFERROR(__xludf.DUMMYFUNCTION("""COMPUTED_VALUE"""),74.19)</f>
        <v/>
      </c>
      <c r="AB108" s="512">
        <f>IFERROR(__xludf.DUMMYFUNCTION("""COMPUTED_VALUE"""),46017.6666666666)</f>
        <v/>
      </c>
      <c r="AC108" s="513">
        <f>IFERROR(__xludf.DUMMYFUNCTION("""COMPUTED_VALUE"""),54.02)</f>
        <v/>
      </c>
      <c r="AE108" s="512">
        <f>IFERROR(__xludf.DUMMYFUNCTION("""COMPUTED_VALUE"""),46017.6666666666)</f>
        <v/>
      </c>
      <c r="AF108" s="513">
        <f>IFERROR(__xludf.DUMMYFUNCTION("""COMPUTED_VALUE"""),96.54)</f>
        <v/>
      </c>
      <c r="AH108" s="512">
        <f>IFERROR(__xludf.DUMMYFUNCTION("""COMPUTED_VALUE"""),46017.6666666666)</f>
        <v/>
      </c>
      <c r="AI108" s="513">
        <f>IFERROR(__xludf.DUMMYFUNCTION("""COMPUTED_VALUE"""),22.6)</f>
        <v/>
      </c>
      <c r="AK108" s="512">
        <f>IFERROR(__xludf.DUMMYFUNCTION("""COMPUTED_VALUE"""),46017.6666666666)</f>
        <v/>
      </c>
      <c r="AL108" s="513">
        <f>IFERROR(__xludf.DUMMYFUNCTION("""COMPUTED_VALUE"""),80.6)</f>
        <v/>
      </c>
      <c r="AN108" s="512">
        <f>IFERROR(__xludf.DUMMYFUNCTION("""COMPUTED_VALUE"""),46017.6666666666)</f>
        <v/>
      </c>
      <c r="AO108" s="513">
        <f>IFERROR(__xludf.DUMMYFUNCTION("""COMPUTED_VALUE"""),110.05)</f>
        <v/>
      </c>
      <c r="AQ108" s="512">
        <f>IFERROR(__xludf.DUMMYFUNCTION("""COMPUTED_VALUE"""),46017.6666666666)</f>
        <v/>
      </c>
      <c r="AR108" s="513">
        <f>IFERROR(__xludf.DUMMYFUNCTION("""COMPUTED_VALUE"""),96.57)</f>
        <v/>
      </c>
      <c r="AT108" s="512">
        <f>IFERROR(__xludf.DUMMYFUNCTION("""COMPUTED_VALUE"""),46017.6666666666)</f>
        <v/>
      </c>
      <c r="AU108" s="513">
        <f>IFERROR(__xludf.DUMMYFUNCTION("""COMPUTED_VALUE"""),54.8)</f>
        <v/>
      </c>
      <c r="AW108" s="512">
        <f>IFERROR(__xludf.DUMMYFUNCTION("""COMPUTED_VALUE"""),46017.6666666666)</f>
        <v/>
      </c>
      <c r="AX108" s="513">
        <f>IFERROR(__xludf.DUMMYFUNCTION("""COMPUTED_VALUE"""),100.04)</f>
        <v/>
      </c>
      <c r="AZ108" s="512">
        <f>IFERROR(__xludf.DUMMYFUNCTION("""COMPUTED_VALUE"""),46017.6666666666)</f>
        <v/>
      </c>
      <c r="BA108" s="513">
        <f>IFERROR(__xludf.DUMMYFUNCTION("""COMPUTED_VALUE"""),110.64)</f>
        <v/>
      </c>
      <c r="BC108" s="512">
        <f>IFERROR(__xludf.DUMMYFUNCTION("""COMPUTED_VALUE"""),46017.6666666666)</f>
        <v/>
      </c>
      <c r="BD108" s="513">
        <f>IFERROR(__xludf.DUMMYFUNCTION("""COMPUTED_VALUE"""),96.44)</f>
        <v/>
      </c>
      <c r="BF108" s="512">
        <f>IFERROR(__xludf.DUMMYFUNCTION("""COMPUTED_VALUE"""),46017.6666666666)</f>
        <v/>
      </c>
      <c r="BG108" s="513">
        <f>IFERROR(__xludf.DUMMYFUNCTION("""COMPUTED_VALUE"""),82.79)</f>
        <v/>
      </c>
      <c r="BI108" s="512">
        <f>IFERROR(__xludf.DUMMYFUNCTION("""COMPUTED_VALUE"""),46017.6666666666)</f>
        <v/>
      </c>
      <c r="BJ108" s="513">
        <f>IFERROR(__xludf.DUMMYFUNCTION("""COMPUTED_VALUE"""),87.74)</f>
        <v/>
      </c>
      <c r="BL108" s="512">
        <f>IFERROR(__xludf.DUMMYFUNCTION("""COMPUTED_VALUE"""),46017.6666666666)</f>
        <v/>
      </c>
      <c r="BM108" s="513">
        <f>IFERROR(__xludf.DUMMYFUNCTION("""COMPUTED_VALUE"""),416.74)</f>
        <v/>
      </c>
      <c r="BO108" s="512">
        <f>IFERROR(__xludf.DUMMYFUNCTION("""COMPUTED_VALUE"""),46017.6666666666)</f>
        <v/>
      </c>
      <c r="BP108" s="513">
        <f>IFERROR(__xludf.DUMMYFUNCTION("""COMPUTED_VALUE"""),91.36)</f>
        <v/>
      </c>
    </row>
    <row r="109">
      <c r="A109" s="512">
        <f>IFERROR(__xludf.DUMMYFUNCTION("""COMPUTED_VALUE"""),46020.6666666666)</f>
        <v/>
      </c>
      <c r="B109" s="513">
        <f>IFERROR(__xludf.DUMMYFUNCTION("""COMPUTED_VALUE"""),687.85)</f>
        <v/>
      </c>
      <c r="D109" s="512">
        <f>IFERROR(__xludf.DUMMYFUNCTION("""COMPUTED_VALUE"""),46020.6666666666)</f>
        <v/>
      </c>
      <c r="E109" s="513">
        <f>IFERROR(__xludf.DUMMYFUNCTION("""COMPUTED_VALUE"""),89.04)</f>
        <v/>
      </c>
      <c r="G109" s="512">
        <f>IFERROR(__xludf.DUMMYFUNCTION("""COMPUTED_VALUE"""),46205.6666666666)</f>
        <v/>
      </c>
      <c r="H109" s="513">
        <f>IFERROR(__xludf.DUMMYFUNCTION("""COMPUTED_VALUE"""),70.81)</f>
        <v/>
      </c>
      <c r="J109" s="512">
        <f>IFERROR(__xludf.DUMMYFUNCTION("""COMPUTED_VALUE"""),46020.6666666666)</f>
        <v/>
      </c>
      <c r="K109" s="513">
        <f>IFERROR(__xludf.DUMMYFUNCTION("""COMPUTED_VALUE"""),81.09)</f>
        <v/>
      </c>
      <c r="M109" s="512">
        <f>IFERROR(__xludf.DUMMYFUNCTION("""COMPUTED_VALUE"""),46020.6666666666)</f>
        <v/>
      </c>
      <c r="N109" s="513">
        <f>IFERROR(__xludf.DUMMYFUNCTION("""COMPUTED_VALUE"""),249.88)</f>
        <v/>
      </c>
      <c r="P109" s="512">
        <f>IFERROR(__xludf.DUMMYFUNCTION("""COMPUTED_VALUE"""),46020.6666666666)</f>
        <v/>
      </c>
      <c r="Q109" s="513">
        <f>IFERROR(__xludf.DUMMYFUNCTION("""COMPUTED_VALUE"""),83.67)</f>
        <v/>
      </c>
      <c r="S109" s="512">
        <f>IFERROR(__xludf.DUMMYFUNCTION("""COMPUTED_VALUE"""),45288.6666666666)</f>
        <v/>
      </c>
      <c r="T109" s="513">
        <f>IFERROR(__xludf.DUMMYFUNCTION("""COMPUTED_VALUE"""),193.58)</f>
        <v/>
      </c>
      <c r="V109" s="512">
        <f>IFERROR(__xludf.DUMMYFUNCTION("""COMPUTED_VALUE"""),46020.6666666666)</f>
        <v/>
      </c>
      <c r="W109" s="513">
        <f>IFERROR(__xludf.DUMMYFUNCTION("""COMPUTED_VALUE"""),22.49)</f>
        <v/>
      </c>
      <c r="Y109" s="512">
        <f>IFERROR(__xludf.DUMMYFUNCTION("""COMPUTED_VALUE"""),46020.6666666666)</f>
        <v/>
      </c>
      <c r="Z109" s="513">
        <f>IFERROR(__xludf.DUMMYFUNCTION("""COMPUTED_VALUE"""),74.3)</f>
        <v/>
      </c>
      <c r="AB109" s="512">
        <f>IFERROR(__xludf.DUMMYFUNCTION("""COMPUTED_VALUE"""),46020.6666666666)</f>
        <v/>
      </c>
      <c r="AC109" s="513">
        <f>IFERROR(__xludf.DUMMYFUNCTION("""COMPUTED_VALUE"""),53.61)</f>
        <v/>
      </c>
      <c r="AE109" s="512">
        <f>IFERROR(__xludf.DUMMYFUNCTION("""COMPUTED_VALUE"""),46020.6666666666)</f>
        <v/>
      </c>
      <c r="AF109" s="513">
        <f>IFERROR(__xludf.DUMMYFUNCTION("""COMPUTED_VALUE"""),96.59)</f>
        <v/>
      </c>
      <c r="AH109" s="512">
        <f>IFERROR(__xludf.DUMMYFUNCTION("""COMPUTED_VALUE"""),46020.6666666666)</f>
        <v/>
      </c>
      <c r="AI109" s="513">
        <f>IFERROR(__xludf.DUMMYFUNCTION("""COMPUTED_VALUE"""),22.59)</f>
        <v/>
      </c>
      <c r="AK109" s="512">
        <f>IFERROR(__xludf.DUMMYFUNCTION("""COMPUTED_VALUE"""),46020.6666666666)</f>
        <v/>
      </c>
      <c r="AL109" s="513">
        <f>IFERROR(__xludf.DUMMYFUNCTION("""COMPUTED_VALUE"""),80.63)</f>
        <v/>
      </c>
      <c r="AN109" s="512">
        <f>IFERROR(__xludf.DUMMYFUNCTION("""COMPUTED_VALUE"""),46020.6666666666)</f>
        <v/>
      </c>
      <c r="AO109" s="513">
        <f>IFERROR(__xludf.DUMMYFUNCTION("""COMPUTED_VALUE"""),110.15)</f>
        <v/>
      </c>
      <c r="AQ109" s="512">
        <f>IFERROR(__xludf.DUMMYFUNCTION("""COMPUTED_VALUE"""),46020.6666666666)</f>
        <v/>
      </c>
      <c r="AR109" s="513">
        <f>IFERROR(__xludf.DUMMYFUNCTION("""COMPUTED_VALUE"""),96.28)</f>
        <v/>
      </c>
      <c r="AT109" s="512">
        <f>IFERROR(__xludf.DUMMYFUNCTION("""COMPUTED_VALUE"""),46020.6666666666)</f>
        <v/>
      </c>
      <c r="AU109" s="513">
        <f>IFERROR(__xludf.DUMMYFUNCTION("""COMPUTED_VALUE"""),54.66)</f>
        <v/>
      </c>
      <c r="AW109" s="512">
        <f>IFERROR(__xludf.DUMMYFUNCTION("""COMPUTED_VALUE"""),46020.6666666666)</f>
        <v/>
      </c>
      <c r="AX109" s="513">
        <f>IFERROR(__xludf.DUMMYFUNCTION("""COMPUTED_VALUE"""),100.16)</f>
        <v/>
      </c>
      <c r="AZ109" s="512">
        <f>IFERROR(__xludf.DUMMYFUNCTION("""COMPUTED_VALUE"""),46020.6666666666)</f>
        <v/>
      </c>
      <c r="BA109" s="513">
        <f>IFERROR(__xludf.DUMMYFUNCTION("""COMPUTED_VALUE"""),110.79)</f>
        <v/>
      </c>
      <c r="BC109" s="512">
        <f>IFERROR(__xludf.DUMMYFUNCTION("""COMPUTED_VALUE"""),46020.6666666666)</f>
        <v/>
      </c>
      <c r="BD109" s="513">
        <f>IFERROR(__xludf.DUMMYFUNCTION("""COMPUTED_VALUE"""),96.58)</f>
        <v/>
      </c>
      <c r="BF109" s="512">
        <f>IFERROR(__xludf.DUMMYFUNCTION("""COMPUTED_VALUE"""),46020.6666666666)</f>
        <v/>
      </c>
      <c r="BG109" s="513">
        <f>IFERROR(__xludf.DUMMYFUNCTION("""COMPUTED_VALUE"""),82.83)</f>
        <v/>
      </c>
      <c r="BI109" s="512">
        <f>IFERROR(__xludf.DUMMYFUNCTION("""COMPUTED_VALUE"""),46020.6666666666)</f>
        <v/>
      </c>
      <c r="BJ109" s="513">
        <f>IFERROR(__xludf.DUMMYFUNCTION("""COMPUTED_VALUE"""),88.07)</f>
        <v/>
      </c>
      <c r="BL109" s="512">
        <f>IFERROR(__xludf.DUMMYFUNCTION("""COMPUTED_VALUE"""),46020.6666666666)</f>
        <v/>
      </c>
      <c r="BM109" s="513">
        <f>IFERROR(__xludf.DUMMYFUNCTION("""COMPUTED_VALUE"""),398.6)</f>
        <v/>
      </c>
      <c r="BO109" s="512">
        <f>IFERROR(__xludf.DUMMYFUNCTION("""COMPUTED_VALUE"""),46020.6666666666)</f>
        <v/>
      </c>
      <c r="BP109" s="513">
        <f>IFERROR(__xludf.DUMMYFUNCTION("""COMPUTED_VALUE"""),91.36)</f>
        <v/>
      </c>
    </row>
    <row r="110">
      <c r="A110" s="512">
        <f>IFERROR(__xludf.DUMMYFUNCTION("""COMPUTED_VALUE"""),46021.6666666666)</f>
        <v/>
      </c>
      <c r="B110" s="513">
        <f>IFERROR(__xludf.DUMMYFUNCTION("""COMPUTED_VALUE"""),687.01)</f>
        <v/>
      </c>
      <c r="D110" s="512">
        <f>IFERROR(__xludf.DUMMYFUNCTION("""COMPUTED_VALUE"""),46021.6666666666)</f>
        <v/>
      </c>
      <c r="E110" s="513">
        <f>IFERROR(__xludf.DUMMYFUNCTION("""COMPUTED_VALUE"""),89.22)</f>
        <v/>
      </c>
      <c r="G110" s="512">
        <f>IFERROR(__xludf.DUMMYFUNCTION("""COMPUTED_VALUE"""),46209.6666666666)</f>
        <v/>
      </c>
      <c r="H110" s="513">
        <f>IFERROR(__xludf.DUMMYFUNCTION("""COMPUTED_VALUE"""),71.89)</f>
        <v/>
      </c>
      <c r="J110" s="512">
        <f>IFERROR(__xludf.DUMMYFUNCTION("""COMPUTED_VALUE"""),46021.6666666666)</f>
        <v/>
      </c>
      <c r="K110" s="513">
        <f>IFERROR(__xludf.DUMMYFUNCTION("""COMPUTED_VALUE"""),80.98)</f>
        <v/>
      </c>
      <c r="M110" s="512">
        <f>IFERROR(__xludf.DUMMYFUNCTION("""COMPUTED_VALUE"""),46021.6666666666)</f>
        <v/>
      </c>
      <c r="N110" s="513">
        <f>IFERROR(__xludf.DUMMYFUNCTION("""COMPUTED_VALUE"""),248.03)</f>
        <v/>
      </c>
      <c r="P110" s="512">
        <f>IFERROR(__xludf.DUMMYFUNCTION("""COMPUTED_VALUE"""),46021.6666666666)</f>
        <v/>
      </c>
      <c r="Q110" s="513">
        <f>IFERROR(__xludf.DUMMYFUNCTION("""COMPUTED_VALUE"""),83.95)</f>
        <v/>
      </c>
      <c r="S110" s="512">
        <f>IFERROR(__xludf.DUMMYFUNCTION("""COMPUTED_VALUE"""),45289.6666666666)</f>
        <v/>
      </c>
      <c r="T110" s="513">
        <f>IFERROR(__xludf.DUMMYFUNCTION("""COMPUTED_VALUE"""),192.53)</f>
        <v/>
      </c>
      <c r="V110" s="512">
        <f>IFERROR(__xludf.DUMMYFUNCTION("""COMPUTED_VALUE"""),46021.6666666666)</f>
        <v/>
      </c>
      <c r="W110" s="513">
        <f>IFERROR(__xludf.DUMMYFUNCTION("""COMPUTED_VALUE"""),22.64)</f>
        <v/>
      </c>
      <c r="Y110" s="512">
        <f>IFERROR(__xludf.DUMMYFUNCTION("""COMPUTED_VALUE"""),46021.6666666666)</f>
        <v/>
      </c>
      <c r="Z110" s="513">
        <f>IFERROR(__xludf.DUMMYFUNCTION("""COMPUTED_VALUE"""),74.27)</f>
        <v/>
      </c>
      <c r="AB110" s="512">
        <f>IFERROR(__xludf.DUMMYFUNCTION("""COMPUTED_VALUE"""),46021.6666666666)</f>
        <v/>
      </c>
      <c r="AC110" s="513">
        <f>IFERROR(__xludf.DUMMYFUNCTION("""COMPUTED_VALUE"""),53.81)</f>
        <v/>
      </c>
      <c r="AE110" s="512">
        <f>IFERROR(__xludf.DUMMYFUNCTION("""COMPUTED_VALUE"""),46021.6666666666)</f>
        <v/>
      </c>
      <c r="AF110" s="513">
        <f>IFERROR(__xludf.DUMMYFUNCTION("""COMPUTED_VALUE"""),96.47)</f>
        <v/>
      </c>
      <c r="AH110" s="512">
        <f>IFERROR(__xludf.DUMMYFUNCTION("""COMPUTED_VALUE"""),46021.6666666666)</f>
        <v/>
      </c>
      <c r="AI110" s="513">
        <f>IFERROR(__xludf.DUMMYFUNCTION("""COMPUTED_VALUE"""),22.56)</f>
        <v/>
      </c>
      <c r="AK110" s="512">
        <f>IFERROR(__xludf.DUMMYFUNCTION("""COMPUTED_VALUE"""),46021.6666666666)</f>
        <v/>
      </c>
      <c r="AL110" s="513">
        <f>IFERROR(__xludf.DUMMYFUNCTION("""COMPUTED_VALUE"""),80.71)</f>
        <v/>
      </c>
      <c r="AN110" s="512">
        <f>IFERROR(__xludf.DUMMYFUNCTION("""COMPUTED_VALUE"""),46021.6666666666)</f>
        <v/>
      </c>
      <c r="AO110" s="513">
        <f>IFERROR(__xludf.DUMMYFUNCTION("""COMPUTED_VALUE"""),110.13)</f>
        <v/>
      </c>
      <c r="AQ110" s="512">
        <f>IFERROR(__xludf.DUMMYFUNCTION("""COMPUTED_VALUE"""),46021.6666666666)</f>
        <v/>
      </c>
      <c r="AR110" s="513">
        <f>IFERROR(__xludf.DUMMYFUNCTION("""COMPUTED_VALUE"""),96.44)</f>
        <v/>
      </c>
      <c r="AT110" s="512">
        <f>IFERROR(__xludf.DUMMYFUNCTION("""COMPUTED_VALUE"""),46021.6666666666)</f>
        <v/>
      </c>
      <c r="AU110" s="513">
        <f>IFERROR(__xludf.DUMMYFUNCTION("""COMPUTED_VALUE"""),54.88)</f>
        <v/>
      </c>
      <c r="AW110" s="512">
        <f>IFERROR(__xludf.DUMMYFUNCTION("""COMPUTED_VALUE"""),46021.6666666666)</f>
        <v/>
      </c>
      <c r="AX110" s="513">
        <f>IFERROR(__xludf.DUMMYFUNCTION("""COMPUTED_VALUE"""),100.12)</f>
        <v/>
      </c>
      <c r="AZ110" s="512">
        <f>IFERROR(__xludf.DUMMYFUNCTION("""COMPUTED_VALUE"""),46021.6666666666)</f>
        <v/>
      </c>
      <c r="BA110" s="513">
        <f>IFERROR(__xludf.DUMMYFUNCTION("""COMPUTED_VALUE"""),110.66)</f>
        <v/>
      </c>
      <c r="BC110" s="512">
        <f>IFERROR(__xludf.DUMMYFUNCTION("""COMPUTED_VALUE"""),46021.6666666666)</f>
        <v/>
      </c>
      <c r="BD110" s="513">
        <f>IFERROR(__xludf.DUMMYFUNCTION("""COMPUTED_VALUE"""),96.48)</f>
        <v/>
      </c>
      <c r="BF110" s="512">
        <f>IFERROR(__xludf.DUMMYFUNCTION("""COMPUTED_VALUE"""),46021.6666666666)</f>
        <v/>
      </c>
      <c r="BG110" s="513">
        <f>IFERROR(__xludf.DUMMYFUNCTION("""COMPUTED_VALUE"""),82.85)</f>
        <v/>
      </c>
      <c r="BI110" s="512">
        <f>IFERROR(__xludf.DUMMYFUNCTION("""COMPUTED_VALUE"""),46021.6666666666)</f>
        <v/>
      </c>
      <c r="BJ110" s="513">
        <f>IFERROR(__xludf.DUMMYFUNCTION("""COMPUTED_VALUE"""),87.86)</f>
        <v/>
      </c>
      <c r="BL110" s="512">
        <f>IFERROR(__xludf.DUMMYFUNCTION("""COMPUTED_VALUE"""),46021.6666666666)</f>
        <v/>
      </c>
      <c r="BM110" s="513">
        <f>IFERROR(__xludf.DUMMYFUNCTION("""COMPUTED_VALUE"""),398.89)</f>
        <v/>
      </c>
      <c r="BO110" s="512">
        <f>IFERROR(__xludf.DUMMYFUNCTION("""COMPUTED_VALUE"""),46021.6666666666)</f>
        <v/>
      </c>
      <c r="BP110" s="513">
        <f>IFERROR(__xludf.DUMMYFUNCTION("""COMPUTED_VALUE"""),91.37)</f>
        <v/>
      </c>
    </row>
    <row r="111">
      <c r="A111" s="512">
        <f>IFERROR(__xludf.DUMMYFUNCTION("""COMPUTED_VALUE"""),46022.6666666666)</f>
        <v/>
      </c>
      <c r="B111" s="513">
        <f>IFERROR(__xludf.DUMMYFUNCTION("""COMPUTED_VALUE"""),681.92)</f>
        <v/>
      </c>
      <c r="D111" s="512">
        <f>IFERROR(__xludf.DUMMYFUNCTION("""COMPUTED_VALUE"""),46022.6666666666)</f>
        <v/>
      </c>
      <c r="E111" s="513">
        <f>IFERROR(__xludf.DUMMYFUNCTION("""COMPUTED_VALUE"""),88.49)</f>
        <v/>
      </c>
      <c r="G111" s="512">
        <f>IFERROR(__xludf.DUMMYFUNCTION("""COMPUTED_VALUE"""),46210.6666666666)</f>
        <v/>
      </c>
      <c r="H111" s="513">
        <f>IFERROR(__xludf.DUMMYFUNCTION("""COMPUTED_VALUE"""),70.78)</f>
        <v/>
      </c>
      <c r="J111" s="512">
        <f>IFERROR(__xludf.DUMMYFUNCTION("""COMPUTED_VALUE"""),46022.6666666666)</f>
        <v/>
      </c>
      <c r="K111" s="513">
        <f>IFERROR(__xludf.DUMMYFUNCTION("""COMPUTED_VALUE"""),80.74)</f>
        <v/>
      </c>
      <c r="M111" s="512">
        <f>IFERROR(__xludf.DUMMYFUNCTION("""COMPUTED_VALUE"""),46022.6666666666)</f>
        <v/>
      </c>
      <c r="N111" s="513">
        <f>IFERROR(__xludf.DUMMYFUNCTION("""COMPUTED_VALUE"""),246.16)</f>
        <v/>
      </c>
      <c r="P111" s="512">
        <f>IFERROR(__xludf.DUMMYFUNCTION("""COMPUTED_VALUE"""),46022.6666666666)</f>
        <v/>
      </c>
      <c r="Q111" s="513">
        <f>IFERROR(__xludf.DUMMYFUNCTION("""COMPUTED_VALUE"""),83.61)</f>
        <v/>
      </c>
      <c r="S111" s="512">
        <f>IFERROR(__xludf.DUMMYFUNCTION("""COMPUTED_VALUE"""),45293.6666666666)</f>
        <v/>
      </c>
      <c r="T111" s="513">
        <f>IFERROR(__xludf.DUMMYFUNCTION("""COMPUTED_VALUE"""),185.64)</f>
        <v/>
      </c>
      <c r="V111" s="512">
        <f>IFERROR(__xludf.DUMMYFUNCTION("""COMPUTED_VALUE"""),46022.6666666666)</f>
        <v/>
      </c>
      <c r="W111" s="513">
        <f>IFERROR(__xludf.DUMMYFUNCTION("""COMPUTED_VALUE"""),22.36)</f>
        <v/>
      </c>
      <c r="Y111" s="512">
        <f>IFERROR(__xludf.DUMMYFUNCTION("""COMPUTED_VALUE"""),46022.6666666666)</f>
        <v/>
      </c>
      <c r="Z111" s="513">
        <f>IFERROR(__xludf.DUMMYFUNCTION("""COMPUTED_VALUE"""),74.07)</f>
        <v/>
      </c>
      <c r="AB111" s="512">
        <f>IFERROR(__xludf.DUMMYFUNCTION("""COMPUTED_VALUE"""),46022.6666666666)</f>
        <v/>
      </c>
      <c r="AC111" s="513">
        <f>IFERROR(__xludf.DUMMYFUNCTION("""COMPUTED_VALUE"""),53.76)</f>
        <v/>
      </c>
      <c r="AE111" s="512">
        <f>IFERROR(__xludf.DUMMYFUNCTION("""COMPUTED_VALUE"""),46022.6666666666)</f>
        <v/>
      </c>
      <c r="AF111" s="513">
        <f>IFERROR(__xludf.DUMMYFUNCTION("""COMPUTED_VALUE"""),96.28)</f>
        <v/>
      </c>
      <c r="AH111" s="512">
        <f>IFERROR(__xludf.DUMMYFUNCTION("""COMPUTED_VALUE"""),46022.6666666666)</f>
        <v/>
      </c>
      <c r="AI111" s="513">
        <f>IFERROR(__xludf.DUMMYFUNCTION("""COMPUTED_VALUE"""),22.53)</f>
        <v/>
      </c>
      <c r="AK111" s="512">
        <f>IFERROR(__xludf.DUMMYFUNCTION("""COMPUTED_VALUE"""),46022.6666666666)</f>
        <v/>
      </c>
      <c r="AL111" s="513">
        <f>IFERROR(__xludf.DUMMYFUNCTION("""COMPUTED_VALUE"""),80.63)</f>
        <v/>
      </c>
      <c r="AN111" s="512">
        <f>IFERROR(__xludf.DUMMYFUNCTION("""COMPUTED_VALUE"""),46022.6666666666)</f>
        <v/>
      </c>
      <c r="AO111" s="513">
        <f>IFERROR(__xludf.DUMMYFUNCTION("""COMPUTED_VALUE"""),109.91)</f>
        <v/>
      </c>
      <c r="AQ111" s="512">
        <f>IFERROR(__xludf.DUMMYFUNCTION("""COMPUTED_VALUE"""),46022.6666666666)</f>
        <v/>
      </c>
      <c r="AR111" s="513">
        <f>IFERROR(__xludf.DUMMYFUNCTION("""COMPUTED_VALUE"""),96.03)</f>
        <v/>
      </c>
      <c r="AT111" s="512">
        <f>IFERROR(__xludf.DUMMYFUNCTION("""COMPUTED_VALUE"""),46022.6666666666)</f>
        <v/>
      </c>
      <c r="AU111" s="513">
        <f>IFERROR(__xludf.DUMMYFUNCTION("""COMPUTED_VALUE"""),54.71)</f>
        <v/>
      </c>
      <c r="AW111" s="512">
        <f>IFERROR(__xludf.DUMMYFUNCTION("""COMPUTED_VALUE"""),46022.6666666666)</f>
        <v/>
      </c>
      <c r="AX111" s="513">
        <f>IFERROR(__xludf.DUMMYFUNCTION("""COMPUTED_VALUE"""),99.88)</f>
        <v/>
      </c>
      <c r="AZ111" s="512">
        <f>IFERROR(__xludf.DUMMYFUNCTION("""COMPUTED_VALUE"""),46022.6666666666)</f>
        <v/>
      </c>
      <c r="BA111" s="513">
        <f>IFERROR(__xludf.DUMMYFUNCTION("""COMPUTED_VALUE"""),110.19)</f>
        <v/>
      </c>
      <c r="BC111" s="512">
        <f>IFERROR(__xludf.DUMMYFUNCTION("""COMPUTED_VALUE"""),46022.6666666666)</f>
        <v/>
      </c>
      <c r="BD111" s="513">
        <f>IFERROR(__xludf.DUMMYFUNCTION("""COMPUTED_VALUE"""),96.16)</f>
        <v/>
      </c>
      <c r="BF111" s="512">
        <f>IFERROR(__xludf.DUMMYFUNCTION("""COMPUTED_VALUE"""),46022.6666666666)</f>
        <v/>
      </c>
      <c r="BG111" s="513">
        <f>IFERROR(__xludf.DUMMYFUNCTION("""COMPUTED_VALUE"""),82.82)</f>
        <v/>
      </c>
      <c r="BI111" s="512">
        <f>IFERROR(__xludf.DUMMYFUNCTION("""COMPUTED_VALUE"""),46022.6666666666)</f>
        <v/>
      </c>
      <c r="BJ111" s="513">
        <f>IFERROR(__xludf.DUMMYFUNCTION("""COMPUTED_VALUE"""),87.16)</f>
        <v/>
      </c>
      <c r="BL111" s="512">
        <f>IFERROR(__xludf.DUMMYFUNCTION("""COMPUTED_VALUE"""),46022.6666666666)</f>
        <v/>
      </c>
      <c r="BM111" s="513">
        <f>IFERROR(__xludf.DUMMYFUNCTION("""COMPUTED_VALUE"""),396.31)</f>
        <v/>
      </c>
      <c r="BO111" s="512">
        <f>IFERROR(__xludf.DUMMYFUNCTION("""COMPUTED_VALUE"""),46022.6666666666)</f>
        <v/>
      </c>
      <c r="BP111" s="513">
        <f>IFERROR(__xludf.DUMMYFUNCTION("""COMPUTED_VALUE"""),91.38)</f>
        <v/>
      </c>
    </row>
    <row r="112">
      <c r="A112" s="512">
        <f>IFERROR(__xludf.DUMMYFUNCTION("""COMPUTED_VALUE"""),46024.6666666666)</f>
        <v/>
      </c>
      <c r="B112" s="513">
        <f>IFERROR(__xludf.DUMMYFUNCTION("""COMPUTED_VALUE"""),683.17)</f>
        <v/>
      </c>
      <c r="D112" s="512">
        <f>IFERROR(__xludf.DUMMYFUNCTION("""COMPUTED_VALUE"""),46024.6666666666)</f>
        <v/>
      </c>
      <c r="E112" s="513">
        <f>IFERROR(__xludf.DUMMYFUNCTION("""COMPUTED_VALUE"""),88.52)</f>
        <v/>
      </c>
      <c r="G112" s="512">
        <f>IFERROR(__xludf.DUMMYFUNCTION("""COMPUTED_VALUE"""),46211.6666666666)</f>
        <v/>
      </c>
      <c r="H112" s="513">
        <f>IFERROR(__xludf.DUMMYFUNCTION("""COMPUTED_VALUE"""),70.34)</f>
        <v/>
      </c>
      <c r="J112" s="512">
        <f>IFERROR(__xludf.DUMMYFUNCTION("""COMPUTED_VALUE"""),46024.6666666666)</f>
        <v/>
      </c>
      <c r="K112" s="513">
        <f>IFERROR(__xludf.DUMMYFUNCTION("""COMPUTED_VALUE"""),81.33)</f>
        <v/>
      </c>
      <c r="M112" s="512">
        <f>IFERROR(__xludf.DUMMYFUNCTION("""COMPUTED_VALUE"""),46024.6666666666)</f>
        <v/>
      </c>
      <c r="N112" s="513">
        <f>IFERROR(__xludf.DUMMYFUNCTION("""COMPUTED_VALUE"""),248.78)</f>
        <v/>
      </c>
      <c r="P112" s="512">
        <f>IFERROR(__xludf.DUMMYFUNCTION("""COMPUTED_VALUE"""),46024.6666666666)</f>
        <v/>
      </c>
      <c r="Q112" s="513">
        <f>IFERROR(__xludf.DUMMYFUNCTION("""COMPUTED_VALUE"""),84.56)</f>
        <v/>
      </c>
      <c r="S112" s="512">
        <f>IFERROR(__xludf.DUMMYFUNCTION("""COMPUTED_VALUE"""),45294.6666666666)</f>
        <v/>
      </c>
      <c r="T112" s="513">
        <f>IFERROR(__xludf.DUMMYFUNCTION("""COMPUTED_VALUE"""),184.25)</f>
        <v/>
      </c>
      <c r="V112" s="512">
        <f>IFERROR(__xludf.DUMMYFUNCTION("""COMPUTED_VALUE"""),46024.6666666666)</f>
        <v/>
      </c>
      <c r="W112" s="513">
        <f>IFERROR(__xludf.DUMMYFUNCTION("""COMPUTED_VALUE"""),22.39)</f>
        <v/>
      </c>
      <c r="Y112" s="512">
        <f>IFERROR(__xludf.DUMMYFUNCTION("""COMPUTED_VALUE"""),46024.6666666666)</f>
        <v/>
      </c>
      <c r="Z112" s="513">
        <f>IFERROR(__xludf.DUMMYFUNCTION("""COMPUTED_VALUE"""),74.04)</f>
        <v/>
      </c>
      <c r="AB112" s="512">
        <f>IFERROR(__xludf.DUMMYFUNCTION("""COMPUTED_VALUE"""),46024.6666666666)</f>
        <v/>
      </c>
      <c r="AC112" s="513">
        <f>IFERROR(__xludf.DUMMYFUNCTION("""COMPUTED_VALUE"""),54.93)</f>
        <v/>
      </c>
      <c r="AE112" s="512">
        <f>IFERROR(__xludf.DUMMYFUNCTION("""COMPUTED_VALUE"""),46024.6666666666)</f>
        <v/>
      </c>
      <c r="AF112" s="513">
        <f>IFERROR(__xludf.DUMMYFUNCTION("""COMPUTED_VALUE"""),96.3)</f>
        <v/>
      </c>
      <c r="AH112" s="512">
        <f>IFERROR(__xludf.DUMMYFUNCTION("""COMPUTED_VALUE"""),46024.6666666666)</f>
        <v/>
      </c>
      <c r="AI112" s="513">
        <f>IFERROR(__xludf.DUMMYFUNCTION("""COMPUTED_VALUE"""),22.48)</f>
        <v/>
      </c>
      <c r="AK112" s="512">
        <f>IFERROR(__xludf.DUMMYFUNCTION("""COMPUTED_VALUE"""),46024.6666666666)</f>
        <v/>
      </c>
      <c r="AL112" s="513">
        <f>IFERROR(__xludf.DUMMYFUNCTION("""COMPUTED_VALUE"""),80.67)</f>
        <v/>
      </c>
      <c r="AN112" s="512">
        <f>IFERROR(__xludf.DUMMYFUNCTION("""COMPUTED_VALUE"""),46024.6666666666)</f>
        <v/>
      </c>
      <c r="AO112" s="513">
        <f>IFERROR(__xludf.DUMMYFUNCTION("""COMPUTED_VALUE"""),109.86)</f>
        <v/>
      </c>
      <c r="AQ112" s="512">
        <f>IFERROR(__xludf.DUMMYFUNCTION("""COMPUTED_VALUE"""),46024.6666666666)</f>
        <v/>
      </c>
      <c r="AR112" s="513">
        <f>IFERROR(__xludf.DUMMYFUNCTION("""COMPUTED_VALUE"""),97.04)</f>
        <v/>
      </c>
      <c r="AT112" s="512">
        <f>IFERROR(__xludf.DUMMYFUNCTION("""COMPUTED_VALUE"""),46024.6666666666)</f>
        <v/>
      </c>
      <c r="AU112" s="513">
        <f>IFERROR(__xludf.DUMMYFUNCTION("""COMPUTED_VALUE"""),56.24)</f>
        <v/>
      </c>
      <c r="AW112" s="512">
        <f>IFERROR(__xludf.DUMMYFUNCTION("""COMPUTED_VALUE"""),46024.6666666666)</f>
        <v/>
      </c>
      <c r="AX112" s="513">
        <f>IFERROR(__xludf.DUMMYFUNCTION("""COMPUTED_VALUE"""),99.85)</f>
        <v/>
      </c>
      <c r="AZ112" s="512">
        <f>IFERROR(__xludf.DUMMYFUNCTION("""COMPUTED_VALUE"""),46024.6666666666)</f>
        <v/>
      </c>
      <c r="BA112" s="513">
        <f>IFERROR(__xludf.DUMMYFUNCTION("""COMPUTED_VALUE"""),110.16)</f>
        <v/>
      </c>
      <c r="BC112" s="512">
        <f>IFERROR(__xludf.DUMMYFUNCTION("""COMPUTED_VALUE"""),46024.6666666666)</f>
        <v/>
      </c>
      <c r="BD112" s="513">
        <f>IFERROR(__xludf.DUMMYFUNCTION("""COMPUTED_VALUE"""),96.08)</f>
        <v/>
      </c>
      <c r="BF112" s="512">
        <f>IFERROR(__xludf.DUMMYFUNCTION("""COMPUTED_VALUE"""),46024.6666666666)</f>
        <v/>
      </c>
      <c r="BG112" s="513">
        <f>IFERROR(__xludf.DUMMYFUNCTION("""COMPUTED_VALUE"""),82.86)</f>
        <v/>
      </c>
      <c r="BI112" s="512">
        <f>IFERROR(__xludf.DUMMYFUNCTION("""COMPUTED_VALUE"""),46024.6666666666)</f>
        <v/>
      </c>
      <c r="BJ112" s="513">
        <f>IFERROR(__xludf.DUMMYFUNCTION("""COMPUTED_VALUE"""),87.03)</f>
        <v/>
      </c>
      <c r="BL112" s="512">
        <f>IFERROR(__xludf.DUMMYFUNCTION("""COMPUTED_VALUE"""),46024.6666666666)</f>
        <v/>
      </c>
      <c r="BM112" s="513">
        <f>IFERROR(__xludf.DUMMYFUNCTION("""COMPUTED_VALUE"""),398.28)</f>
        <v/>
      </c>
      <c r="BO112" s="512">
        <f>IFERROR(__xludf.DUMMYFUNCTION("""COMPUTED_VALUE"""),46024.6666666666)</f>
        <v/>
      </c>
      <c r="BP112" s="513">
        <f>IFERROR(__xludf.DUMMYFUNCTION("""COMPUTED_VALUE"""),91.42)</f>
        <v/>
      </c>
    </row>
    <row r="113">
      <c r="A113" s="512">
        <f>IFERROR(__xludf.DUMMYFUNCTION("""COMPUTED_VALUE"""),46027.6666666666)</f>
        <v/>
      </c>
      <c r="B113" s="513">
        <f>IFERROR(__xludf.DUMMYFUNCTION("""COMPUTED_VALUE"""),687.72)</f>
        <v/>
      </c>
      <c r="D113" s="512">
        <f>IFERROR(__xludf.DUMMYFUNCTION("""COMPUTED_VALUE"""),46027.6666666666)</f>
        <v/>
      </c>
      <c r="E113" s="513">
        <f>IFERROR(__xludf.DUMMYFUNCTION("""COMPUTED_VALUE"""),88.72)</f>
        <v/>
      </c>
      <c r="G113" s="512">
        <f>IFERROR(__xludf.DUMMYFUNCTION("""COMPUTED_VALUE"""),46212.6666666666)</f>
        <v/>
      </c>
      <c r="H113" s="513">
        <f>IFERROR(__xludf.DUMMYFUNCTION("""COMPUTED_VALUE"""),70.73)</f>
        <v/>
      </c>
      <c r="J113" s="512">
        <f>IFERROR(__xludf.DUMMYFUNCTION("""COMPUTED_VALUE"""),46027.6666666666)</f>
        <v/>
      </c>
      <c r="K113" s="513">
        <f>IFERROR(__xludf.DUMMYFUNCTION("""COMPUTED_VALUE"""),83.13)</f>
        <v/>
      </c>
      <c r="M113" s="512">
        <f>IFERROR(__xludf.DUMMYFUNCTION("""COMPUTED_VALUE"""),46027.6666666666)</f>
        <v/>
      </c>
      <c r="N113" s="513">
        <f>IFERROR(__xludf.DUMMYFUNCTION("""COMPUTED_VALUE"""),252.73)</f>
        <v/>
      </c>
      <c r="P113" s="512">
        <f>IFERROR(__xludf.DUMMYFUNCTION("""COMPUTED_VALUE"""),46027.6666666666)</f>
        <v/>
      </c>
      <c r="Q113" s="513">
        <f>IFERROR(__xludf.DUMMYFUNCTION("""COMPUTED_VALUE"""),85.23)</f>
        <v/>
      </c>
      <c r="S113" s="512">
        <f>IFERROR(__xludf.DUMMYFUNCTION("""COMPUTED_VALUE"""),45295.6666666666)</f>
        <v/>
      </c>
      <c r="T113" s="513">
        <f>IFERROR(__xludf.DUMMYFUNCTION("""COMPUTED_VALUE"""),181.91)</f>
        <v/>
      </c>
      <c r="V113" s="512">
        <f>IFERROR(__xludf.DUMMYFUNCTION("""COMPUTED_VALUE"""),46027.6666666666)</f>
        <v/>
      </c>
      <c r="W113" s="513">
        <f>IFERROR(__xludf.DUMMYFUNCTION("""COMPUTED_VALUE"""),22.81)</f>
        <v/>
      </c>
      <c r="Y113" s="512">
        <f>IFERROR(__xludf.DUMMYFUNCTION("""COMPUTED_VALUE"""),46027.6666666666)</f>
        <v/>
      </c>
      <c r="Z113" s="513">
        <f>IFERROR(__xludf.DUMMYFUNCTION("""COMPUTED_VALUE"""),74.18)</f>
        <v/>
      </c>
      <c r="AB113" s="512">
        <f>IFERROR(__xludf.DUMMYFUNCTION("""COMPUTED_VALUE"""),46027.6666666666)</f>
        <v/>
      </c>
      <c r="AC113" s="513">
        <f>IFERROR(__xludf.DUMMYFUNCTION("""COMPUTED_VALUE"""),55.29)</f>
        <v/>
      </c>
      <c r="AE113" s="512">
        <f>IFERROR(__xludf.DUMMYFUNCTION("""COMPUTED_VALUE"""),46027.6666666666)</f>
        <v/>
      </c>
      <c r="AF113" s="513">
        <f>IFERROR(__xludf.DUMMYFUNCTION("""COMPUTED_VALUE"""),96.45)</f>
        <v/>
      </c>
      <c r="AH113" s="512">
        <f>IFERROR(__xludf.DUMMYFUNCTION("""COMPUTED_VALUE"""),46027.6666666666)</f>
        <v/>
      </c>
      <c r="AI113" s="513">
        <f>IFERROR(__xludf.DUMMYFUNCTION("""COMPUTED_VALUE"""),22.52)</f>
        <v/>
      </c>
      <c r="AK113" s="512">
        <f>IFERROR(__xludf.DUMMYFUNCTION("""COMPUTED_VALUE"""),46027.6666666666)</f>
        <v/>
      </c>
      <c r="AL113" s="513">
        <f>IFERROR(__xludf.DUMMYFUNCTION("""COMPUTED_VALUE"""),80.88)</f>
        <v/>
      </c>
      <c r="AN113" s="512">
        <f>IFERROR(__xludf.DUMMYFUNCTION("""COMPUTED_VALUE"""),46027.6666666666)</f>
        <v/>
      </c>
      <c r="AO113" s="513">
        <f>IFERROR(__xludf.DUMMYFUNCTION("""COMPUTED_VALUE"""),110.16)</f>
        <v/>
      </c>
      <c r="AQ113" s="512">
        <f>IFERROR(__xludf.DUMMYFUNCTION("""COMPUTED_VALUE"""),46027.6666666666)</f>
        <v/>
      </c>
      <c r="AR113" s="513">
        <f>IFERROR(__xludf.DUMMYFUNCTION("""COMPUTED_VALUE"""),98.15)</f>
        <v/>
      </c>
      <c r="AT113" s="512">
        <f>IFERROR(__xludf.DUMMYFUNCTION("""COMPUTED_VALUE"""),46027.6666666666)</f>
        <v/>
      </c>
      <c r="AU113" s="513">
        <f>IFERROR(__xludf.DUMMYFUNCTION("""COMPUTED_VALUE"""),56.86)</f>
        <v/>
      </c>
      <c r="AW113" s="512">
        <f>IFERROR(__xludf.DUMMYFUNCTION("""COMPUTED_VALUE"""),46027.6666666666)</f>
        <v/>
      </c>
      <c r="AX113" s="513">
        <f>IFERROR(__xludf.DUMMYFUNCTION("""COMPUTED_VALUE"""),100.04)</f>
        <v/>
      </c>
      <c r="AZ113" s="512">
        <f>IFERROR(__xludf.DUMMYFUNCTION("""COMPUTED_VALUE"""),46027.6666666666)</f>
        <v/>
      </c>
      <c r="BA113" s="513">
        <f>IFERROR(__xludf.DUMMYFUNCTION("""COMPUTED_VALUE"""),110.47)</f>
        <v/>
      </c>
      <c r="BC113" s="512">
        <f>IFERROR(__xludf.DUMMYFUNCTION("""COMPUTED_VALUE"""),46027.6666666666)</f>
        <v/>
      </c>
      <c r="BD113" s="513">
        <f>IFERROR(__xludf.DUMMYFUNCTION("""COMPUTED_VALUE"""),96.37)</f>
        <v/>
      </c>
      <c r="BF113" s="512">
        <f>IFERROR(__xludf.DUMMYFUNCTION("""COMPUTED_VALUE"""),46027.6666666666)</f>
        <v/>
      </c>
      <c r="BG113" s="513">
        <f>IFERROR(__xludf.DUMMYFUNCTION("""COMPUTED_VALUE"""),82.89)</f>
        <v/>
      </c>
      <c r="BI113" s="512">
        <f>IFERROR(__xludf.DUMMYFUNCTION("""COMPUTED_VALUE"""),46027.6666666666)</f>
        <v/>
      </c>
      <c r="BJ113" s="513">
        <f>IFERROR(__xludf.DUMMYFUNCTION("""COMPUTED_VALUE"""),87.46)</f>
        <v/>
      </c>
      <c r="BL113" s="512">
        <f>IFERROR(__xludf.DUMMYFUNCTION("""COMPUTED_VALUE"""),46027.6666666666)</f>
        <v/>
      </c>
      <c r="BM113" s="513">
        <f>IFERROR(__xludf.DUMMYFUNCTION("""COMPUTED_VALUE"""),408.76)</f>
        <v/>
      </c>
      <c r="BO113" s="512">
        <f>IFERROR(__xludf.DUMMYFUNCTION("""COMPUTED_VALUE"""),46027.6666666666)</f>
        <v/>
      </c>
      <c r="BP113" s="513">
        <f>IFERROR(__xludf.DUMMYFUNCTION("""COMPUTED_VALUE"""),91.42)</f>
        <v/>
      </c>
    </row>
    <row r="114">
      <c r="A114" s="512">
        <f>IFERROR(__xludf.DUMMYFUNCTION("""COMPUTED_VALUE"""),46028.6666666666)</f>
        <v/>
      </c>
      <c r="B114" s="513">
        <f>IFERROR(__xludf.DUMMYFUNCTION("""COMPUTED_VALUE"""),691.81)</f>
        <v/>
      </c>
      <c r="D114" s="512">
        <f>IFERROR(__xludf.DUMMYFUNCTION("""COMPUTED_VALUE"""),46028.6666666666)</f>
        <v/>
      </c>
      <c r="E114" s="513">
        <f>IFERROR(__xludf.DUMMYFUNCTION("""COMPUTED_VALUE"""),89.37)</f>
        <v/>
      </c>
      <c r="G114" s="512">
        <f>IFERROR(__xludf.DUMMYFUNCTION("""COMPUTED_VALUE"""),46213.6666666666)</f>
        <v/>
      </c>
      <c r="H114" s="513">
        <f>IFERROR(__xludf.DUMMYFUNCTION("""COMPUTED_VALUE"""),70.99)</f>
        <v/>
      </c>
      <c r="J114" s="512">
        <f>IFERROR(__xludf.DUMMYFUNCTION("""COMPUTED_VALUE"""),46028.6666666666)</f>
        <v/>
      </c>
      <c r="K114" s="513">
        <f>IFERROR(__xludf.DUMMYFUNCTION("""COMPUTED_VALUE"""),83.07)</f>
        <v/>
      </c>
      <c r="M114" s="512">
        <f>IFERROR(__xludf.DUMMYFUNCTION("""COMPUTED_VALUE"""),46028.6666666666)</f>
        <v/>
      </c>
      <c r="N114" s="513">
        <f>IFERROR(__xludf.DUMMYFUNCTION("""COMPUTED_VALUE"""),256.08)</f>
        <v/>
      </c>
      <c r="P114" s="512">
        <f>IFERROR(__xludf.DUMMYFUNCTION("""COMPUTED_VALUE"""),46028.6666666666)</f>
        <v/>
      </c>
      <c r="Q114" s="513">
        <f>IFERROR(__xludf.DUMMYFUNCTION("""COMPUTED_VALUE"""),85.44)</f>
        <v/>
      </c>
      <c r="S114" s="512">
        <f>IFERROR(__xludf.DUMMYFUNCTION("""COMPUTED_VALUE"""),45296.6666666666)</f>
        <v/>
      </c>
      <c r="T114" s="513">
        <f>IFERROR(__xludf.DUMMYFUNCTION("""COMPUTED_VALUE"""),181.18)</f>
        <v/>
      </c>
      <c r="V114" s="512">
        <f>IFERROR(__xludf.DUMMYFUNCTION("""COMPUTED_VALUE"""),46028.6666666666)</f>
        <v/>
      </c>
      <c r="W114" s="513">
        <f>IFERROR(__xludf.DUMMYFUNCTION("""COMPUTED_VALUE"""),22.8)</f>
        <v/>
      </c>
      <c r="Y114" s="512">
        <f>IFERROR(__xludf.DUMMYFUNCTION("""COMPUTED_VALUE"""),46028.6666666666)</f>
        <v/>
      </c>
      <c r="Z114" s="513">
        <f>IFERROR(__xludf.DUMMYFUNCTION("""COMPUTED_VALUE"""),74.18)</f>
        <v/>
      </c>
      <c r="AB114" s="512">
        <f>IFERROR(__xludf.DUMMYFUNCTION("""COMPUTED_VALUE"""),46028.6666666666)</f>
        <v/>
      </c>
      <c r="AC114" s="513">
        <f>IFERROR(__xludf.DUMMYFUNCTION("""COMPUTED_VALUE"""),55.59)</f>
        <v/>
      </c>
      <c r="AE114" s="512">
        <f>IFERROR(__xludf.DUMMYFUNCTION("""COMPUTED_VALUE"""),46028.6666666666)</f>
        <v/>
      </c>
      <c r="AF114" s="513">
        <f>IFERROR(__xludf.DUMMYFUNCTION("""COMPUTED_VALUE"""),96.35)</f>
        <v/>
      </c>
      <c r="AH114" s="512">
        <f>IFERROR(__xludf.DUMMYFUNCTION("""COMPUTED_VALUE"""),46028.6666666666)</f>
        <v/>
      </c>
      <c r="AI114" s="513">
        <f>IFERROR(__xludf.DUMMYFUNCTION("""COMPUTED_VALUE"""),22.48)</f>
        <v/>
      </c>
      <c r="AK114" s="512">
        <f>IFERROR(__xludf.DUMMYFUNCTION("""COMPUTED_VALUE"""),46028.6666666666)</f>
        <v/>
      </c>
      <c r="AL114" s="513">
        <f>IFERROR(__xludf.DUMMYFUNCTION("""COMPUTED_VALUE"""),80.9)</f>
        <v/>
      </c>
      <c r="AN114" s="512">
        <f>IFERROR(__xludf.DUMMYFUNCTION("""COMPUTED_VALUE"""),46028.6666666666)</f>
        <v/>
      </c>
      <c r="AO114" s="513">
        <f>IFERROR(__xludf.DUMMYFUNCTION("""COMPUTED_VALUE"""),110.08)</f>
        <v/>
      </c>
      <c r="AQ114" s="512">
        <f>IFERROR(__xludf.DUMMYFUNCTION("""COMPUTED_VALUE"""),46028.6666666666)</f>
        <v/>
      </c>
      <c r="AR114" s="513">
        <f>IFERROR(__xludf.DUMMYFUNCTION("""COMPUTED_VALUE"""),98.3)</f>
        <v/>
      </c>
      <c r="AT114" s="512">
        <f>IFERROR(__xludf.DUMMYFUNCTION("""COMPUTED_VALUE"""),46028.6666666666)</f>
        <v/>
      </c>
      <c r="AU114" s="513">
        <f>IFERROR(__xludf.DUMMYFUNCTION("""COMPUTED_VALUE"""),57.28)</f>
        <v/>
      </c>
      <c r="AW114" s="512">
        <f>IFERROR(__xludf.DUMMYFUNCTION("""COMPUTED_VALUE"""),46028.6666666666)</f>
        <v/>
      </c>
      <c r="AX114" s="513">
        <f>IFERROR(__xludf.DUMMYFUNCTION("""COMPUTED_VALUE"""),100.02)</f>
        <v/>
      </c>
      <c r="AZ114" s="512">
        <f>IFERROR(__xludf.DUMMYFUNCTION("""COMPUTED_VALUE"""),46028.6666666666)</f>
        <v/>
      </c>
      <c r="BA114" s="513">
        <f>IFERROR(__xludf.DUMMYFUNCTION("""COMPUTED_VALUE"""),110.47)</f>
        <v/>
      </c>
      <c r="BC114" s="512">
        <f>IFERROR(__xludf.DUMMYFUNCTION("""COMPUTED_VALUE"""),46028.6666666666)</f>
        <v/>
      </c>
      <c r="BD114" s="513">
        <f>IFERROR(__xludf.DUMMYFUNCTION("""COMPUTED_VALUE"""),96.3)</f>
        <v/>
      </c>
      <c r="BF114" s="512">
        <f>IFERROR(__xludf.DUMMYFUNCTION("""COMPUTED_VALUE"""),46028.6666666666)</f>
        <v/>
      </c>
      <c r="BG114" s="513">
        <f>IFERROR(__xludf.DUMMYFUNCTION("""COMPUTED_VALUE"""),82.9)</f>
        <v/>
      </c>
      <c r="BI114" s="512">
        <f>IFERROR(__xludf.DUMMYFUNCTION("""COMPUTED_VALUE"""),46028.6666666666)</f>
        <v/>
      </c>
      <c r="BJ114" s="513">
        <f>IFERROR(__xludf.DUMMYFUNCTION("""COMPUTED_VALUE"""),87.28)</f>
        <v/>
      </c>
      <c r="BL114" s="512">
        <f>IFERROR(__xludf.DUMMYFUNCTION("""COMPUTED_VALUE"""),46028.6666666666)</f>
        <v/>
      </c>
      <c r="BM114" s="513">
        <f>IFERROR(__xludf.DUMMYFUNCTION("""COMPUTED_VALUE"""),413.18)</f>
        <v/>
      </c>
      <c r="BO114" s="512">
        <f>IFERROR(__xludf.DUMMYFUNCTION("""COMPUTED_VALUE"""),46028.6666666666)</f>
        <v/>
      </c>
      <c r="BP114" s="513">
        <f>IFERROR(__xludf.DUMMYFUNCTION("""COMPUTED_VALUE"""),91.43)</f>
        <v/>
      </c>
    </row>
    <row r="115">
      <c r="A115" s="512">
        <f>IFERROR(__xludf.DUMMYFUNCTION("""COMPUTED_VALUE"""),46029.6666666666)</f>
        <v/>
      </c>
      <c r="B115" s="513">
        <f>IFERROR(__xludf.DUMMYFUNCTION("""COMPUTED_VALUE"""),689.58)</f>
        <v/>
      </c>
      <c r="D115" s="512">
        <f>IFERROR(__xludf.DUMMYFUNCTION("""COMPUTED_VALUE"""),46029.6666666666)</f>
        <v/>
      </c>
      <c r="E115" s="513">
        <f>IFERROR(__xludf.DUMMYFUNCTION("""COMPUTED_VALUE"""),88.5)</f>
        <v/>
      </c>
      <c r="G115" s="512">
        <f>IFERROR(__xludf.DUMMYFUNCTION("""COMPUTED_VALUE"""),46216.6666666666)</f>
        <v/>
      </c>
      <c r="H115" s="513">
        <f>IFERROR(__xludf.DUMMYFUNCTION("""COMPUTED_VALUE"""),69.76)</f>
        <v/>
      </c>
      <c r="J115" s="512">
        <f>IFERROR(__xludf.DUMMYFUNCTION("""COMPUTED_VALUE"""),46029.6666666666)</f>
        <v/>
      </c>
      <c r="K115" s="513">
        <f>IFERROR(__xludf.DUMMYFUNCTION("""COMPUTED_VALUE"""),82.92)</f>
        <v/>
      </c>
      <c r="M115" s="512">
        <f>IFERROR(__xludf.DUMMYFUNCTION("""COMPUTED_VALUE"""),46029.6666666666)</f>
        <v/>
      </c>
      <c r="N115" s="513">
        <f>IFERROR(__xludf.DUMMYFUNCTION("""COMPUTED_VALUE"""),255.48)</f>
        <v/>
      </c>
      <c r="P115" s="512">
        <f>IFERROR(__xludf.DUMMYFUNCTION("""COMPUTED_VALUE"""),46029.6666666666)</f>
        <v/>
      </c>
      <c r="Q115" s="513">
        <f>IFERROR(__xludf.DUMMYFUNCTION("""COMPUTED_VALUE"""),85.19)</f>
        <v/>
      </c>
      <c r="S115" s="512">
        <f>IFERROR(__xludf.DUMMYFUNCTION("""COMPUTED_VALUE"""),45299.6666666666)</f>
        <v/>
      </c>
      <c r="T115" s="513">
        <f>IFERROR(__xludf.DUMMYFUNCTION("""COMPUTED_VALUE"""),185.56)</f>
        <v/>
      </c>
      <c r="V115" s="512">
        <f>IFERROR(__xludf.DUMMYFUNCTION("""COMPUTED_VALUE"""),46029.6666666666)</f>
        <v/>
      </c>
      <c r="W115" s="513">
        <f>IFERROR(__xludf.DUMMYFUNCTION("""COMPUTED_VALUE"""),22.59)</f>
        <v/>
      </c>
      <c r="Y115" s="512">
        <f>IFERROR(__xludf.DUMMYFUNCTION("""COMPUTED_VALUE"""),46029.6666666666)</f>
        <v/>
      </c>
      <c r="Z115" s="513">
        <f>IFERROR(__xludf.DUMMYFUNCTION("""COMPUTED_VALUE"""),74.26)</f>
        <v/>
      </c>
      <c r="AB115" s="512">
        <f>IFERROR(__xludf.DUMMYFUNCTION("""COMPUTED_VALUE"""),46029.6666666666)</f>
        <v/>
      </c>
      <c r="AC115" s="513">
        <f>IFERROR(__xludf.DUMMYFUNCTION("""COMPUTED_VALUE"""),55.25)</f>
        <v/>
      </c>
      <c r="AE115" s="512">
        <f>IFERROR(__xludf.DUMMYFUNCTION("""COMPUTED_VALUE"""),46029.6666666666)</f>
        <v/>
      </c>
      <c r="AF115" s="513">
        <f>IFERROR(__xludf.DUMMYFUNCTION("""COMPUTED_VALUE"""),96.16)</f>
        <v/>
      </c>
      <c r="AH115" s="512">
        <f>IFERROR(__xludf.DUMMYFUNCTION("""COMPUTED_VALUE"""),46029.6666666666)</f>
        <v/>
      </c>
      <c r="AI115" s="513">
        <f>IFERROR(__xludf.DUMMYFUNCTION("""COMPUTED_VALUE"""),22.49)</f>
        <v/>
      </c>
      <c r="AK115" s="512">
        <f>IFERROR(__xludf.DUMMYFUNCTION("""COMPUTED_VALUE"""),46029.6666666666)</f>
        <v/>
      </c>
      <c r="AL115" s="513">
        <f>IFERROR(__xludf.DUMMYFUNCTION("""COMPUTED_VALUE"""),80.88)</f>
        <v/>
      </c>
      <c r="AN115" s="512">
        <f>IFERROR(__xludf.DUMMYFUNCTION("""COMPUTED_VALUE"""),46029.6666666666)</f>
        <v/>
      </c>
      <c r="AO115" s="513">
        <f>IFERROR(__xludf.DUMMYFUNCTION("""COMPUTED_VALUE"""),110.25)</f>
        <v/>
      </c>
      <c r="AQ115" s="512">
        <f>IFERROR(__xludf.DUMMYFUNCTION("""COMPUTED_VALUE"""),46029.6666666666)</f>
        <v/>
      </c>
      <c r="AR115" s="513">
        <f>IFERROR(__xludf.DUMMYFUNCTION("""COMPUTED_VALUE"""),97.93)</f>
        <v/>
      </c>
      <c r="AT115" s="512">
        <f>IFERROR(__xludf.DUMMYFUNCTION("""COMPUTED_VALUE"""),46029.6666666666)</f>
        <v/>
      </c>
      <c r="AU115" s="513">
        <f>IFERROR(__xludf.DUMMYFUNCTION("""COMPUTED_VALUE"""),56.85)</f>
        <v/>
      </c>
      <c r="AW115" s="512">
        <f>IFERROR(__xludf.DUMMYFUNCTION("""COMPUTED_VALUE"""),46029.6666666666)</f>
        <v/>
      </c>
      <c r="AX115" s="513">
        <f>IFERROR(__xludf.DUMMYFUNCTION("""COMPUTED_VALUE"""),100.12)</f>
        <v/>
      </c>
      <c r="AZ115" s="512">
        <f>IFERROR(__xludf.DUMMYFUNCTION("""COMPUTED_VALUE"""),46029.6666666666)</f>
        <v/>
      </c>
      <c r="BA115" s="513">
        <f>IFERROR(__xludf.DUMMYFUNCTION("""COMPUTED_VALUE"""),110.55)</f>
        <v/>
      </c>
      <c r="BC115" s="512">
        <f>IFERROR(__xludf.DUMMYFUNCTION("""COMPUTED_VALUE"""),46029.6666666666)</f>
        <v/>
      </c>
      <c r="BD115" s="513">
        <f>IFERROR(__xludf.DUMMYFUNCTION("""COMPUTED_VALUE"""),96.48)</f>
        <v/>
      </c>
      <c r="BF115" s="512">
        <f>IFERROR(__xludf.DUMMYFUNCTION("""COMPUTED_VALUE"""),46029.6666666666)</f>
        <v/>
      </c>
      <c r="BG115" s="513">
        <f>IFERROR(__xludf.DUMMYFUNCTION("""COMPUTED_VALUE"""),82.89)</f>
        <v/>
      </c>
      <c r="BI115" s="512">
        <f>IFERROR(__xludf.DUMMYFUNCTION("""COMPUTED_VALUE"""),46029.6666666666)</f>
        <v/>
      </c>
      <c r="BJ115" s="513">
        <f>IFERROR(__xludf.DUMMYFUNCTION("""COMPUTED_VALUE"""),87.79)</f>
        <v/>
      </c>
      <c r="BL115" s="512">
        <f>IFERROR(__xludf.DUMMYFUNCTION("""COMPUTED_VALUE"""),46029.6666666666)</f>
        <v/>
      </c>
      <c r="BM115" s="513">
        <f>IFERROR(__xludf.DUMMYFUNCTION("""COMPUTED_VALUE"""),409.23)</f>
        <v/>
      </c>
      <c r="BO115" s="512">
        <f>IFERROR(__xludf.DUMMYFUNCTION("""COMPUTED_VALUE"""),46029.6666666666)</f>
        <v/>
      </c>
      <c r="BP115" s="513">
        <f>IFERROR(__xludf.DUMMYFUNCTION("""COMPUTED_VALUE"""),91.45)</f>
        <v/>
      </c>
    </row>
    <row r="116">
      <c r="A116" s="512">
        <f>IFERROR(__xludf.DUMMYFUNCTION("""COMPUTED_VALUE"""),46030.6666666666)</f>
        <v/>
      </c>
      <c r="B116" s="513">
        <f>IFERROR(__xludf.DUMMYFUNCTION("""COMPUTED_VALUE"""),689.51)</f>
        <v/>
      </c>
      <c r="D116" s="512">
        <f>IFERROR(__xludf.DUMMYFUNCTION("""COMPUTED_VALUE"""),46030.6666666666)</f>
        <v/>
      </c>
      <c r="E116" s="513">
        <f>IFERROR(__xludf.DUMMYFUNCTION("""COMPUTED_VALUE"""),89.29)</f>
        <v/>
      </c>
      <c r="G116" s="512">
        <f>IFERROR(__xludf.DUMMYFUNCTION("""COMPUTED_VALUE"""),46217.6666666666)</f>
        <v/>
      </c>
      <c r="H116" s="513">
        <f>IFERROR(__xludf.DUMMYFUNCTION("""COMPUTED_VALUE"""),70.6)</f>
        <v/>
      </c>
      <c r="J116" s="512">
        <f>IFERROR(__xludf.DUMMYFUNCTION("""COMPUTED_VALUE"""),46030.6666666666)</f>
        <v/>
      </c>
      <c r="K116" s="513">
        <f>IFERROR(__xludf.DUMMYFUNCTION("""COMPUTED_VALUE"""),82.86)</f>
        <v/>
      </c>
      <c r="M116" s="512">
        <f>IFERROR(__xludf.DUMMYFUNCTION("""COMPUTED_VALUE"""),46030.6666666666)</f>
        <v/>
      </c>
      <c r="N116" s="513">
        <f>IFERROR(__xludf.DUMMYFUNCTION("""COMPUTED_VALUE"""),258.27)</f>
        <v/>
      </c>
      <c r="P116" s="512">
        <f>IFERROR(__xludf.DUMMYFUNCTION("""COMPUTED_VALUE"""),46030.6666666666)</f>
        <v/>
      </c>
      <c r="Q116" s="513">
        <f>IFERROR(__xludf.DUMMYFUNCTION("""COMPUTED_VALUE"""),85.18)</f>
        <v/>
      </c>
      <c r="S116" s="512">
        <f>IFERROR(__xludf.DUMMYFUNCTION("""COMPUTED_VALUE"""),45300.6666666666)</f>
        <v/>
      </c>
      <c r="T116" s="513">
        <f>IFERROR(__xludf.DUMMYFUNCTION("""COMPUTED_VALUE"""),185.14)</f>
        <v/>
      </c>
      <c r="V116" s="512">
        <f>IFERROR(__xludf.DUMMYFUNCTION("""COMPUTED_VALUE"""),46030.6666666666)</f>
        <v/>
      </c>
      <c r="W116" s="513">
        <f>IFERROR(__xludf.DUMMYFUNCTION("""COMPUTED_VALUE"""),22.88)</f>
        <v/>
      </c>
      <c r="Y116" s="512">
        <f>IFERROR(__xludf.DUMMYFUNCTION("""COMPUTED_VALUE"""),46030.6666666666)</f>
        <v/>
      </c>
      <c r="Z116" s="513">
        <f>IFERROR(__xludf.DUMMYFUNCTION("""COMPUTED_VALUE"""),74.13)</f>
        <v/>
      </c>
      <c r="AB116" s="512">
        <f>IFERROR(__xludf.DUMMYFUNCTION("""COMPUTED_VALUE"""),46030.6666666666)</f>
        <v/>
      </c>
      <c r="AC116" s="513">
        <f>IFERROR(__xludf.DUMMYFUNCTION("""COMPUTED_VALUE"""),55.31)</f>
        <v/>
      </c>
      <c r="AE116" s="512">
        <f>IFERROR(__xludf.DUMMYFUNCTION("""COMPUTED_VALUE"""),46030.6666666666)</f>
        <v/>
      </c>
      <c r="AF116" s="513">
        <f>IFERROR(__xludf.DUMMYFUNCTION("""COMPUTED_VALUE"""),96.01)</f>
        <v/>
      </c>
      <c r="AH116" s="512">
        <f>IFERROR(__xludf.DUMMYFUNCTION("""COMPUTED_VALUE"""),46030.6666666666)</f>
        <v/>
      </c>
      <c r="AI116" s="513">
        <f>IFERROR(__xludf.DUMMYFUNCTION("""COMPUTED_VALUE"""),22.45)</f>
        <v/>
      </c>
      <c r="AK116" s="512">
        <f>IFERROR(__xludf.DUMMYFUNCTION("""COMPUTED_VALUE"""),46030.6666666666)</f>
        <v/>
      </c>
      <c r="AL116" s="513">
        <f>IFERROR(__xludf.DUMMYFUNCTION("""COMPUTED_VALUE"""),80.94)</f>
        <v/>
      </c>
      <c r="AN116" s="512">
        <f>IFERROR(__xludf.DUMMYFUNCTION("""COMPUTED_VALUE"""),46030.6666666666)</f>
        <v/>
      </c>
      <c r="AO116" s="513">
        <f>IFERROR(__xludf.DUMMYFUNCTION("""COMPUTED_VALUE"""),110.03)</f>
        <v/>
      </c>
      <c r="AQ116" s="512">
        <f>IFERROR(__xludf.DUMMYFUNCTION("""COMPUTED_VALUE"""),46030.6666666666)</f>
        <v/>
      </c>
      <c r="AR116" s="513">
        <f>IFERROR(__xludf.DUMMYFUNCTION("""COMPUTED_VALUE"""),97.94)</f>
        <v/>
      </c>
      <c r="AT116" s="512">
        <f>IFERROR(__xludf.DUMMYFUNCTION("""COMPUTED_VALUE"""),46030.6666666666)</f>
        <v/>
      </c>
      <c r="AU116" s="513">
        <f>IFERROR(__xludf.DUMMYFUNCTION("""COMPUTED_VALUE"""),56.87)</f>
        <v/>
      </c>
      <c r="AW116" s="512">
        <f>IFERROR(__xludf.DUMMYFUNCTION("""COMPUTED_VALUE"""),46030.6666666666)</f>
        <v/>
      </c>
      <c r="AX116" s="513">
        <f>IFERROR(__xludf.DUMMYFUNCTION("""COMPUTED_VALUE"""),99.94)</f>
        <v/>
      </c>
      <c r="AZ116" s="512">
        <f>IFERROR(__xludf.DUMMYFUNCTION("""COMPUTED_VALUE"""),46030.6666666666)</f>
        <v/>
      </c>
      <c r="BA116" s="513">
        <f>IFERROR(__xludf.DUMMYFUNCTION("""COMPUTED_VALUE"""),110.24)</f>
        <v/>
      </c>
      <c r="BC116" s="512">
        <f>IFERROR(__xludf.DUMMYFUNCTION("""COMPUTED_VALUE"""),46030.6666666666)</f>
        <v/>
      </c>
      <c r="BD116" s="513">
        <f>IFERROR(__xludf.DUMMYFUNCTION("""COMPUTED_VALUE"""),96.19)</f>
        <v/>
      </c>
      <c r="BF116" s="512">
        <f>IFERROR(__xludf.DUMMYFUNCTION("""COMPUTED_VALUE"""),46030.6666666666)</f>
        <v/>
      </c>
      <c r="BG116" s="513">
        <f>IFERROR(__xludf.DUMMYFUNCTION("""COMPUTED_VALUE"""),82.86)</f>
        <v/>
      </c>
      <c r="BI116" s="512">
        <f>IFERROR(__xludf.DUMMYFUNCTION("""COMPUTED_VALUE"""),46030.6666666666)</f>
        <v/>
      </c>
      <c r="BJ116" s="513">
        <f>IFERROR(__xludf.DUMMYFUNCTION("""COMPUTED_VALUE"""),87.35)</f>
        <v/>
      </c>
      <c r="BL116" s="512">
        <f>IFERROR(__xludf.DUMMYFUNCTION("""COMPUTED_VALUE"""),46030.6666666666)</f>
        <v/>
      </c>
      <c r="BM116" s="513">
        <f>IFERROR(__xludf.DUMMYFUNCTION("""COMPUTED_VALUE"""),411.49)</f>
        <v/>
      </c>
      <c r="BO116" s="512">
        <f>IFERROR(__xludf.DUMMYFUNCTION("""COMPUTED_VALUE"""),46030.6666666666)</f>
        <v/>
      </c>
      <c r="BP116" s="513">
        <f>IFERROR(__xludf.DUMMYFUNCTION("""COMPUTED_VALUE"""),91.45)</f>
        <v/>
      </c>
    </row>
    <row r="117">
      <c r="A117" s="512">
        <f>IFERROR(__xludf.DUMMYFUNCTION("""COMPUTED_VALUE"""),46031.6666666666)</f>
        <v/>
      </c>
      <c r="B117" s="513">
        <f>IFERROR(__xludf.DUMMYFUNCTION("""COMPUTED_VALUE"""),694.07)</f>
        <v/>
      </c>
      <c r="D117" s="512">
        <f>IFERROR(__xludf.DUMMYFUNCTION("""COMPUTED_VALUE"""),46031.6666666666)</f>
        <v/>
      </c>
      <c r="E117" s="513">
        <f>IFERROR(__xludf.DUMMYFUNCTION("""COMPUTED_VALUE"""),89.47)</f>
        <v/>
      </c>
      <c r="G117" s="512">
        <f>IFERROR(__xludf.DUMMYFUNCTION("""COMPUTED_VALUE"""),46218.6666666666)</f>
        <v/>
      </c>
      <c r="H117" s="513">
        <f>IFERROR(__xludf.DUMMYFUNCTION("""COMPUTED_VALUE"""),70.82)</f>
        <v/>
      </c>
      <c r="J117" s="512">
        <f>IFERROR(__xludf.DUMMYFUNCTION("""COMPUTED_VALUE"""),46031.6666666666)</f>
        <v/>
      </c>
      <c r="K117" s="513">
        <f>IFERROR(__xludf.DUMMYFUNCTION("""COMPUTED_VALUE"""),84.61)</f>
        <v/>
      </c>
      <c r="M117" s="512">
        <f>IFERROR(__xludf.DUMMYFUNCTION("""COMPUTED_VALUE"""),46031.6666666666)</f>
        <v/>
      </c>
      <c r="N117" s="513">
        <f>IFERROR(__xludf.DUMMYFUNCTION("""COMPUTED_VALUE"""),260.23)</f>
        <v/>
      </c>
      <c r="P117" s="512">
        <f>IFERROR(__xludf.DUMMYFUNCTION("""COMPUTED_VALUE"""),46031.6666666666)</f>
        <v/>
      </c>
      <c r="Q117" s="513">
        <f>IFERROR(__xludf.DUMMYFUNCTION("""COMPUTED_VALUE"""),85.77)</f>
        <v/>
      </c>
      <c r="S117" s="512">
        <f>IFERROR(__xludf.DUMMYFUNCTION("""COMPUTED_VALUE"""),45301.6666666666)</f>
        <v/>
      </c>
      <c r="T117" s="513">
        <f>IFERROR(__xludf.DUMMYFUNCTION("""COMPUTED_VALUE"""),186.19)</f>
        <v/>
      </c>
      <c r="V117" s="512">
        <f>IFERROR(__xludf.DUMMYFUNCTION("""COMPUTED_VALUE"""),46031.6666666666)</f>
        <v/>
      </c>
      <c r="W117" s="513">
        <f>IFERROR(__xludf.DUMMYFUNCTION("""COMPUTED_VALUE"""),22.9)</f>
        <v/>
      </c>
      <c r="Y117" s="512">
        <f>IFERROR(__xludf.DUMMYFUNCTION("""COMPUTED_VALUE"""),46031.6666666666)</f>
        <v/>
      </c>
      <c r="Z117" s="513">
        <f>IFERROR(__xludf.DUMMYFUNCTION("""COMPUTED_VALUE"""),74.29)</f>
        <v/>
      </c>
      <c r="AB117" s="512">
        <f>IFERROR(__xludf.DUMMYFUNCTION("""COMPUTED_VALUE"""),46031.6666666666)</f>
        <v/>
      </c>
      <c r="AC117" s="513">
        <f>IFERROR(__xludf.DUMMYFUNCTION("""COMPUTED_VALUE"""),55.43)</f>
        <v/>
      </c>
      <c r="AE117" s="512">
        <f>IFERROR(__xludf.DUMMYFUNCTION("""COMPUTED_VALUE"""),46031.6666666666)</f>
        <v/>
      </c>
      <c r="AF117" s="513">
        <f>IFERROR(__xludf.DUMMYFUNCTION("""COMPUTED_VALUE"""),96.36)</f>
        <v/>
      </c>
      <c r="AH117" s="512">
        <f>IFERROR(__xludf.DUMMYFUNCTION("""COMPUTED_VALUE"""),46031.6666666666)</f>
        <v/>
      </c>
      <c r="AI117" s="513">
        <f>IFERROR(__xludf.DUMMYFUNCTION("""COMPUTED_VALUE"""),22.39)</f>
        <v/>
      </c>
      <c r="AK117" s="512">
        <f>IFERROR(__xludf.DUMMYFUNCTION("""COMPUTED_VALUE"""),46031.6666666666)</f>
        <v/>
      </c>
      <c r="AL117" s="513">
        <f>IFERROR(__xludf.DUMMYFUNCTION("""COMPUTED_VALUE"""),81)</f>
        <v/>
      </c>
      <c r="AN117" s="512">
        <f>IFERROR(__xludf.DUMMYFUNCTION("""COMPUTED_VALUE"""),46031.6666666666)</f>
        <v/>
      </c>
      <c r="AO117" s="513">
        <f>IFERROR(__xludf.DUMMYFUNCTION("""COMPUTED_VALUE"""),110.18)</f>
        <v/>
      </c>
      <c r="AQ117" s="512">
        <f>IFERROR(__xludf.DUMMYFUNCTION("""COMPUTED_VALUE"""),46031.6666666666)</f>
        <v/>
      </c>
      <c r="AR117" s="513">
        <f>IFERROR(__xludf.DUMMYFUNCTION("""COMPUTED_VALUE"""),98.81)</f>
        <v/>
      </c>
      <c r="AT117" s="512">
        <f>IFERROR(__xludf.DUMMYFUNCTION("""COMPUTED_VALUE"""),46031.6666666666)</f>
        <v/>
      </c>
      <c r="AU117" s="513">
        <f>IFERROR(__xludf.DUMMYFUNCTION("""COMPUTED_VALUE"""),57.14)</f>
        <v/>
      </c>
      <c r="AW117" s="512">
        <f>IFERROR(__xludf.DUMMYFUNCTION("""COMPUTED_VALUE"""),46031.6666666666)</f>
        <v/>
      </c>
      <c r="AX117" s="513">
        <f>IFERROR(__xludf.DUMMYFUNCTION("""COMPUTED_VALUE"""),100.16)</f>
        <v/>
      </c>
      <c r="AZ117" s="512">
        <f>IFERROR(__xludf.DUMMYFUNCTION("""COMPUTED_VALUE"""),46031.6666666666)</f>
        <v/>
      </c>
      <c r="BA117" s="513">
        <f>IFERROR(__xludf.DUMMYFUNCTION("""COMPUTED_VALUE"""),110.64)</f>
        <v/>
      </c>
      <c r="BC117" s="512">
        <f>IFERROR(__xludf.DUMMYFUNCTION("""COMPUTED_VALUE"""),46031.6666666666)</f>
        <v/>
      </c>
      <c r="BD117" s="513">
        <f>IFERROR(__xludf.DUMMYFUNCTION("""COMPUTED_VALUE"""),96.3)</f>
        <v/>
      </c>
      <c r="BF117" s="512">
        <f>IFERROR(__xludf.DUMMYFUNCTION("""COMPUTED_VALUE"""),46031.6666666666)</f>
        <v/>
      </c>
      <c r="BG117" s="513">
        <f>IFERROR(__xludf.DUMMYFUNCTION("""COMPUTED_VALUE"""),82.83)</f>
        <v/>
      </c>
      <c r="BI117" s="512">
        <f>IFERROR(__xludf.DUMMYFUNCTION("""COMPUTED_VALUE"""),46031.6666666666)</f>
        <v/>
      </c>
      <c r="BJ117" s="513">
        <f>IFERROR(__xludf.DUMMYFUNCTION("""COMPUTED_VALUE"""),87.93)</f>
        <v/>
      </c>
      <c r="BL117" s="512">
        <f>IFERROR(__xludf.DUMMYFUNCTION("""COMPUTED_VALUE"""),46031.6666666666)</f>
        <v/>
      </c>
      <c r="BM117" s="513">
        <f>IFERROR(__xludf.DUMMYFUNCTION("""COMPUTED_VALUE"""),414.47)</f>
        <v/>
      </c>
      <c r="BO117" s="512">
        <f>IFERROR(__xludf.DUMMYFUNCTION("""COMPUTED_VALUE"""),46031.6666666666)</f>
        <v/>
      </c>
      <c r="BP117" s="513">
        <f>IFERROR(__xludf.DUMMYFUNCTION("""COMPUTED_VALUE"""),91.47)</f>
        <v/>
      </c>
    </row>
    <row r="118">
      <c r="A118" s="512">
        <f>IFERROR(__xludf.DUMMYFUNCTION("""COMPUTED_VALUE"""),46034.6666666666)</f>
        <v/>
      </c>
      <c r="B118" s="513">
        <f>IFERROR(__xludf.DUMMYFUNCTION("""COMPUTED_VALUE"""),695.16)</f>
        <v/>
      </c>
      <c r="D118" s="512">
        <f>IFERROR(__xludf.DUMMYFUNCTION("""COMPUTED_VALUE"""),46034.6666666666)</f>
        <v/>
      </c>
      <c r="E118" s="513">
        <f>IFERROR(__xludf.DUMMYFUNCTION("""COMPUTED_VALUE"""),89.59)</f>
        <v/>
      </c>
      <c r="G118" s="512">
        <f>IFERROR(__xludf.DUMMYFUNCTION("""COMPUTED_VALUE"""),46219.6666666666)</f>
        <v/>
      </c>
      <c r="H118" s="513">
        <f>IFERROR(__xludf.DUMMYFUNCTION("""COMPUTED_VALUE"""),70.03)</f>
        <v/>
      </c>
      <c r="J118" s="512">
        <f>IFERROR(__xludf.DUMMYFUNCTION("""COMPUTED_VALUE"""),46034.6666666666)</f>
        <v/>
      </c>
      <c r="K118" s="513">
        <f>IFERROR(__xludf.DUMMYFUNCTION("""COMPUTED_VALUE"""),85.29)</f>
        <v/>
      </c>
      <c r="M118" s="512">
        <f>IFERROR(__xludf.DUMMYFUNCTION("""COMPUTED_VALUE"""),46034.6666666666)</f>
        <v/>
      </c>
      <c r="N118" s="513">
        <f>IFERROR(__xludf.DUMMYFUNCTION("""COMPUTED_VALUE"""),261.5)</f>
        <v/>
      </c>
      <c r="P118" s="512">
        <f>IFERROR(__xludf.DUMMYFUNCTION("""COMPUTED_VALUE"""),46034.6666666666)</f>
        <v/>
      </c>
      <c r="Q118" s="513">
        <f>IFERROR(__xludf.DUMMYFUNCTION("""COMPUTED_VALUE"""),86.24)</f>
        <v/>
      </c>
      <c r="S118" s="512">
        <f>IFERROR(__xludf.DUMMYFUNCTION("""COMPUTED_VALUE"""),45302.6666666666)</f>
        <v/>
      </c>
      <c r="T118" s="513">
        <f>IFERROR(__xludf.DUMMYFUNCTION("""COMPUTED_VALUE"""),185.59)</f>
        <v/>
      </c>
      <c r="V118" s="512">
        <f>IFERROR(__xludf.DUMMYFUNCTION("""COMPUTED_VALUE"""),46034.6666666666)</f>
        <v/>
      </c>
      <c r="W118" s="513">
        <f>IFERROR(__xludf.DUMMYFUNCTION("""COMPUTED_VALUE"""),23.19)</f>
        <v/>
      </c>
      <c r="Y118" s="512">
        <f>IFERROR(__xludf.DUMMYFUNCTION("""COMPUTED_VALUE"""),46034.6666666666)</f>
        <v/>
      </c>
      <c r="Z118" s="513">
        <f>IFERROR(__xludf.DUMMYFUNCTION("""COMPUTED_VALUE"""),74.22)</f>
        <v/>
      </c>
      <c r="AB118" s="512">
        <f>IFERROR(__xludf.DUMMYFUNCTION("""COMPUTED_VALUE"""),46034.6666666666)</f>
        <v/>
      </c>
      <c r="AC118" s="513">
        <f>IFERROR(__xludf.DUMMYFUNCTION("""COMPUTED_VALUE"""),56.29)</f>
        <v/>
      </c>
      <c r="AE118" s="512">
        <f>IFERROR(__xludf.DUMMYFUNCTION("""COMPUTED_VALUE"""),46034.6666666666)</f>
        <v/>
      </c>
      <c r="AF118" s="513">
        <f>IFERROR(__xludf.DUMMYFUNCTION("""COMPUTED_VALUE"""),96.28)</f>
        <v/>
      </c>
      <c r="AH118" s="512">
        <f>IFERROR(__xludf.DUMMYFUNCTION("""COMPUTED_VALUE"""),46034.6666666666)</f>
        <v/>
      </c>
      <c r="AI118" s="513">
        <f>IFERROR(__xludf.DUMMYFUNCTION("""COMPUTED_VALUE"""),22.44)</f>
        <v/>
      </c>
      <c r="AK118" s="512">
        <f>IFERROR(__xludf.DUMMYFUNCTION("""COMPUTED_VALUE"""),46034.6666666666)</f>
        <v/>
      </c>
      <c r="AL118" s="513">
        <f>IFERROR(__xludf.DUMMYFUNCTION("""COMPUTED_VALUE"""),81.04)</f>
        <v/>
      </c>
      <c r="AN118" s="512">
        <f>IFERROR(__xludf.DUMMYFUNCTION("""COMPUTED_VALUE"""),46034.6666666666)</f>
        <v/>
      </c>
      <c r="AO118" s="513">
        <f>IFERROR(__xludf.DUMMYFUNCTION("""COMPUTED_VALUE"""),110.18)</f>
        <v/>
      </c>
      <c r="AQ118" s="512">
        <f>IFERROR(__xludf.DUMMYFUNCTION("""COMPUTED_VALUE"""),46034.6666666666)</f>
        <v/>
      </c>
      <c r="AR118" s="513">
        <f>IFERROR(__xludf.DUMMYFUNCTION("""COMPUTED_VALUE"""),99.41)</f>
        <v/>
      </c>
      <c r="AT118" s="512">
        <f>IFERROR(__xludf.DUMMYFUNCTION("""COMPUTED_VALUE"""),46034.6666666666)</f>
        <v/>
      </c>
      <c r="AU118" s="513">
        <f>IFERROR(__xludf.DUMMYFUNCTION("""COMPUTED_VALUE"""),57.94)</f>
        <v/>
      </c>
      <c r="AW118" s="512">
        <f>IFERROR(__xludf.DUMMYFUNCTION("""COMPUTED_VALUE"""),46034.6666666666)</f>
        <v/>
      </c>
      <c r="AX118" s="513">
        <f>IFERROR(__xludf.DUMMYFUNCTION("""COMPUTED_VALUE"""),100.11)</f>
        <v/>
      </c>
      <c r="AZ118" s="512">
        <f>IFERROR(__xludf.DUMMYFUNCTION("""COMPUTED_VALUE"""),46034.6666666666)</f>
        <v/>
      </c>
      <c r="BA118" s="513">
        <f>IFERROR(__xludf.DUMMYFUNCTION("""COMPUTED_VALUE"""),110.51)</f>
        <v/>
      </c>
      <c r="BC118" s="512">
        <f>IFERROR(__xludf.DUMMYFUNCTION("""COMPUTED_VALUE"""),46034.6666666666)</f>
        <v/>
      </c>
      <c r="BD118" s="513">
        <f>IFERROR(__xludf.DUMMYFUNCTION("""COMPUTED_VALUE"""),96.18)</f>
        <v/>
      </c>
      <c r="BF118" s="512">
        <f>IFERROR(__xludf.DUMMYFUNCTION("""COMPUTED_VALUE"""),46034.6666666666)</f>
        <v/>
      </c>
      <c r="BG118" s="513">
        <f>IFERROR(__xludf.DUMMYFUNCTION("""COMPUTED_VALUE"""),82.83)</f>
        <v/>
      </c>
      <c r="BI118" s="512">
        <f>IFERROR(__xludf.DUMMYFUNCTION("""COMPUTED_VALUE"""),46034.6666666666)</f>
        <v/>
      </c>
      <c r="BJ118" s="513">
        <f>IFERROR(__xludf.DUMMYFUNCTION("""COMPUTED_VALUE"""),87.67)</f>
        <v/>
      </c>
      <c r="BL118" s="512">
        <f>IFERROR(__xludf.DUMMYFUNCTION("""COMPUTED_VALUE"""),46034.6666666666)</f>
        <v/>
      </c>
      <c r="BM118" s="513">
        <f>IFERROR(__xludf.DUMMYFUNCTION("""COMPUTED_VALUE"""),422.23)</f>
        <v/>
      </c>
      <c r="BO118" s="512">
        <f>IFERROR(__xludf.DUMMYFUNCTION("""COMPUTED_VALUE"""),46034.6666666666)</f>
        <v/>
      </c>
      <c r="BP118" s="513">
        <f>IFERROR(__xludf.DUMMYFUNCTION("""COMPUTED_VALUE"""),91.48)</f>
        <v/>
      </c>
    </row>
    <row r="119">
      <c r="A119" s="512">
        <f>IFERROR(__xludf.DUMMYFUNCTION("""COMPUTED_VALUE"""),46035.6666666666)</f>
        <v/>
      </c>
      <c r="B119" s="513">
        <f>IFERROR(__xludf.DUMMYFUNCTION("""COMPUTED_VALUE"""),693.77)</f>
        <v/>
      </c>
      <c r="D119" s="512">
        <f>IFERROR(__xludf.DUMMYFUNCTION("""COMPUTED_VALUE"""),46035.6666666666)</f>
        <v/>
      </c>
      <c r="E119" s="513">
        <f>IFERROR(__xludf.DUMMYFUNCTION("""COMPUTED_VALUE"""),90.09)</f>
        <v/>
      </c>
      <c r="G119" s="512">
        <f>IFERROR(__xludf.DUMMYFUNCTION("""COMPUTED_VALUE"""),46220.6666666666)</f>
        <v/>
      </c>
      <c r="H119" s="513">
        <f>IFERROR(__xludf.DUMMYFUNCTION("""COMPUTED_VALUE"""),69.7)</f>
        <v/>
      </c>
      <c r="J119" s="512">
        <f>IFERROR(__xludf.DUMMYFUNCTION("""COMPUTED_VALUE"""),46035.6666666666)</f>
        <v/>
      </c>
      <c r="K119" s="513">
        <f>IFERROR(__xludf.DUMMYFUNCTION("""COMPUTED_VALUE"""),84.45)</f>
        <v/>
      </c>
      <c r="M119" s="512">
        <f>IFERROR(__xludf.DUMMYFUNCTION("""COMPUTED_VALUE"""),46035.6666666666)</f>
        <v/>
      </c>
      <c r="N119" s="513">
        <f>IFERROR(__xludf.DUMMYFUNCTION("""COMPUTED_VALUE"""),261.35)</f>
        <v/>
      </c>
      <c r="P119" s="512">
        <f>IFERROR(__xludf.DUMMYFUNCTION("""COMPUTED_VALUE"""),46035.6666666666)</f>
        <v/>
      </c>
      <c r="Q119" s="513">
        <f>IFERROR(__xludf.DUMMYFUNCTION("""COMPUTED_VALUE"""),85.79)</f>
        <v/>
      </c>
      <c r="S119" s="512">
        <f>IFERROR(__xludf.DUMMYFUNCTION("""COMPUTED_VALUE"""),45303.6666666666)</f>
        <v/>
      </c>
      <c r="T119" s="513">
        <f>IFERROR(__xludf.DUMMYFUNCTION("""COMPUTED_VALUE"""),185.92)</f>
        <v/>
      </c>
      <c r="V119" s="512">
        <f>IFERROR(__xludf.DUMMYFUNCTION("""COMPUTED_VALUE"""),46035.6666666666)</f>
        <v/>
      </c>
      <c r="W119" s="513">
        <f>IFERROR(__xludf.DUMMYFUNCTION("""COMPUTED_VALUE"""),23.37)</f>
        <v/>
      </c>
      <c r="Y119" s="512">
        <f>IFERROR(__xludf.DUMMYFUNCTION("""COMPUTED_VALUE"""),46035.6666666666)</f>
        <v/>
      </c>
      <c r="Z119" s="513">
        <f>IFERROR(__xludf.DUMMYFUNCTION("""COMPUTED_VALUE"""),74.28)</f>
        <v/>
      </c>
      <c r="AB119" s="512">
        <f>IFERROR(__xludf.DUMMYFUNCTION("""COMPUTED_VALUE"""),46035.6666666666)</f>
        <v/>
      </c>
      <c r="AC119" s="513">
        <f>IFERROR(__xludf.DUMMYFUNCTION("""COMPUTED_VALUE"""),55.96)</f>
        <v/>
      </c>
      <c r="AE119" s="512">
        <f>IFERROR(__xludf.DUMMYFUNCTION("""COMPUTED_VALUE"""),46035.6666666666)</f>
        <v/>
      </c>
      <c r="AF119" s="513">
        <f>IFERROR(__xludf.DUMMYFUNCTION("""COMPUTED_VALUE"""),96.16)</f>
        <v/>
      </c>
      <c r="AH119" s="512">
        <f>IFERROR(__xludf.DUMMYFUNCTION("""COMPUTED_VALUE"""),46035.6666666666)</f>
        <v/>
      </c>
      <c r="AI119" s="513">
        <f>IFERROR(__xludf.DUMMYFUNCTION("""COMPUTED_VALUE"""),22.33)</f>
        <v/>
      </c>
      <c r="AK119" s="512">
        <f>IFERROR(__xludf.DUMMYFUNCTION("""COMPUTED_VALUE"""),46035.6666666666)</f>
        <v/>
      </c>
      <c r="AL119" s="513">
        <f>IFERROR(__xludf.DUMMYFUNCTION("""COMPUTED_VALUE"""),81.04)</f>
        <v/>
      </c>
      <c r="AN119" s="512">
        <f>IFERROR(__xludf.DUMMYFUNCTION("""COMPUTED_VALUE"""),46035.6666666666)</f>
        <v/>
      </c>
      <c r="AO119" s="513">
        <f>IFERROR(__xludf.DUMMYFUNCTION("""COMPUTED_VALUE"""),110.28)</f>
        <v/>
      </c>
      <c r="AQ119" s="512">
        <f>IFERROR(__xludf.DUMMYFUNCTION("""COMPUTED_VALUE"""),46035.6666666666)</f>
        <v/>
      </c>
      <c r="AR119" s="513">
        <f>IFERROR(__xludf.DUMMYFUNCTION("""COMPUTED_VALUE"""),98.84)</f>
        <v/>
      </c>
      <c r="AT119" s="512">
        <f>IFERROR(__xludf.DUMMYFUNCTION("""COMPUTED_VALUE"""),46035.6666666666)</f>
        <v/>
      </c>
      <c r="AU119" s="513">
        <f>IFERROR(__xludf.DUMMYFUNCTION("""COMPUTED_VALUE"""),57.51)</f>
        <v/>
      </c>
      <c r="AW119" s="512">
        <f>IFERROR(__xludf.DUMMYFUNCTION("""COMPUTED_VALUE"""),46035.6666666666)</f>
        <v/>
      </c>
      <c r="AX119" s="513">
        <f>IFERROR(__xludf.DUMMYFUNCTION("""COMPUTED_VALUE"""),100.2)</f>
        <v/>
      </c>
      <c r="AZ119" s="512">
        <f>IFERROR(__xludf.DUMMYFUNCTION("""COMPUTED_VALUE"""),46035.6666666666)</f>
        <v/>
      </c>
      <c r="BA119" s="513">
        <f>IFERROR(__xludf.DUMMYFUNCTION("""COMPUTED_VALUE"""),110.75)</f>
        <v/>
      </c>
      <c r="BC119" s="512">
        <f>IFERROR(__xludf.DUMMYFUNCTION("""COMPUTED_VALUE"""),46035.6666666666)</f>
        <v/>
      </c>
      <c r="BD119" s="513">
        <f>IFERROR(__xludf.DUMMYFUNCTION("""COMPUTED_VALUE"""),96.3)</f>
        <v/>
      </c>
      <c r="BF119" s="512">
        <f>IFERROR(__xludf.DUMMYFUNCTION("""COMPUTED_VALUE"""),46035.6666666666)</f>
        <v/>
      </c>
      <c r="BG119" s="513">
        <f>IFERROR(__xludf.DUMMYFUNCTION("""COMPUTED_VALUE"""),82.85)</f>
        <v/>
      </c>
      <c r="BI119" s="512">
        <f>IFERROR(__xludf.DUMMYFUNCTION("""COMPUTED_VALUE"""),46035.6666666666)</f>
        <v/>
      </c>
      <c r="BJ119" s="513">
        <f>IFERROR(__xludf.DUMMYFUNCTION("""COMPUTED_VALUE"""),87.82)</f>
        <v/>
      </c>
      <c r="BL119" s="512">
        <f>IFERROR(__xludf.DUMMYFUNCTION("""COMPUTED_VALUE"""),46035.6666666666)</f>
        <v/>
      </c>
      <c r="BM119" s="513">
        <f>IFERROR(__xludf.DUMMYFUNCTION("""COMPUTED_VALUE"""),421.63)</f>
        <v/>
      </c>
      <c r="BO119" s="512">
        <f>IFERROR(__xludf.DUMMYFUNCTION("""COMPUTED_VALUE"""),46035.6666666666)</f>
        <v/>
      </c>
      <c r="BP119" s="513">
        <f>IFERROR(__xludf.DUMMYFUNCTION("""COMPUTED_VALUE"""),91.49)</f>
        <v/>
      </c>
    </row>
    <row r="120">
      <c r="A120" s="512">
        <f>IFERROR(__xludf.DUMMYFUNCTION("""COMPUTED_VALUE"""),46036.6666666666)</f>
        <v/>
      </c>
      <c r="B120" s="513">
        <f>IFERROR(__xludf.DUMMYFUNCTION("""COMPUTED_VALUE"""),690.36)</f>
        <v/>
      </c>
      <c r="D120" s="512">
        <f>IFERROR(__xludf.DUMMYFUNCTION("""COMPUTED_VALUE"""),46036.6666666666)</f>
        <v/>
      </c>
      <c r="E120" s="513">
        <f>IFERROR(__xludf.DUMMYFUNCTION("""COMPUTED_VALUE"""),90.87)</f>
        <v/>
      </c>
      <c r="G120" s="512">
        <f>IFERROR(__xludf.DUMMYFUNCTION("""COMPUTED_VALUE"""),46223.6666666666)</f>
        <v/>
      </c>
      <c r="H120" s="513">
        <f>IFERROR(__xludf.DUMMYFUNCTION("""COMPUTED_VALUE"""),69.23)</f>
        <v/>
      </c>
      <c r="J120" s="512">
        <f>IFERROR(__xludf.DUMMYFUNCTION("""COMPUTED_VALUE"""),46036.6666666666)</f>
        <v/>
      </c>
      <c r="K120" s="513">
        <f>IFERROR(__xludf.DUMMYFUNCTION("""COMPUTED_VALUE"""),85.04)</f>
        <v/>
      </c>
      <c r="M120" s="512">
        <f>IFERROR(__xludf.DUMMYFUNCTION("""COMPUTED_VALUE"""),46036.6666666666)</f>
        <v/>
      </c>
      <c r="N120" s="513">
        <f>IFERROR(__xludf.DUMMYFUNCTION("""COMPUTED_VALUE"""),263.19)</f>
        <v/>
      </c>
      <c r="P120" s="512">
        <f>IFERROR(__xludf.DUMMYFUNCTION("""COMPUTED_VALUE"""),46036.6666666666)</f>
        <v/>
      </c>
      <c r="Q120" s="513">
        <f>IFERROR(__xludf.DUMMYFUNCTION("""COMPUTED_VALUE"""),86.12)</f>
        <v/>
      </c>
      <c r="S120" s="512">
        <f>IFERROR(__xludf.DUMMYFUNCTION("""COMPUTED_VALUE"""),45307.6666666666)</f>
        <v/>
      </c>
      <c r="T120" s="513">
        <f>IFERROR(__xludf.DUMMYFUNCTION("""COMPUTED_VALUE"""),183.63)</f>
        <v/>
      </c>
      <c r="V120" s="512">
        <f>IFERROR(__xludf.DUMMYFUNCTION("""COMPUTED_VALUE"""),46036.6666666666)</f>
        <v/>
      </c>
      <c r="W120" s="513">
        <f>IFERROR(__xludf.DUMMYFUNCTION("""COMPUTED_VALUE"""),23.39)</f>
        <v/>
      </c>
      <c r="Y120" s="512">
        <f>IFERROR(__xludf.DUMMYFUNCTION("""COMPUTED_VALUE"""),46036.6666666666)</f>
        <v/>
      </c>
      <c r="Z120" s="513">
        <f>IFERROR(__xludf.DUMMYFUNCTION("""COMPUTED_VALUE"""),74.43)</f>
        <v/>
      </c>
      <c r="AB120" s="512">
        <f>IFERROR(__xludf.DUMMYFUNCTION("""COMPUTED_VALUE"""),46036.6666666666)</f>
        <v/>
      </c>
      <c r="AC120" s="513">
        <f>IFERROR(__xludf.DUMMYFUNCTION("""COMPUTED_VALUE"""),56.08)</f>
        <v/>
      </c>
      <c r="AE120" s="512">
        <f>IFERROR(__xludf.DUMMYFUNCTION("""COMPUTED_VALUE"""),46036.6666666666)</f>
        <v/>
      </c>
      <c r="AF120" s="513">
        <f>IFERROR(__xludf.DUMMYFUNCTION("""COMPUTED_VALUE"""),96.36)</f>
        <v/>
      </c>
      <c r="AH120" s="512">
        <f>IFERROR(__xludf.DUMMYFUNCTION("""COMPUTED_VALUE"""),46036.6666666666)</f>
        <v/>
      </c>
      <c r="AI120" s="513">
        <f>IFERROR(__xludf.DUMMYFUNCTION("""COMPUTED_VALUE"""),22.4)</f>
        <v/>
      </c>
      <c r="AK120" s="512">
        <f>IFERROR(__xludf.DUMMYFUNCTION("""COMPUTED_VALUE"""),46036.6666666666)</f>
        <v/>
      </c>
      <c r="AL120" s="513">
        <f>IFERROR(__xludf.DUMMYFUNCTION("""COMPUTED_VALUE"""),81.04)</f>
        <v/>
      </c>
      <c r="AN120" s="512">
        <f>IFERROR(__xludf.DUMMYFUNCTION("""COMPUTED_VALUE"""),46036.6666666666)</f>
        <v/>
      </c>
      <c r="AO120" s="513">
        <f>IFERROR(__xludf.DUMMYFUNCTION("""COMPUTED_VALUE"""),110.4)</f>
        <v/>
      </c>
      <c r="AQ120" s="512">
        <f>IFERROR(__xludf.DUMMYFUNCTION("""COMPUTED_VALUE"""),46036.6666666666)</f>
        <v/>
      </c>
      <c r="AR120" s="513">
        <f>IFERROR(__xludf.DUMMYFUNCTION("""COMPUTED_VALUE"""),99.3)</f>
        <v/>
      </c>
      <c r="AT120" s="512">
        <f>IFERROR(__xludf.DUMMYFUNCTION("""COMPUTED_VALUE"""),46036.6666666666)</f>
        <v/>
      </c>
      <c r="AU120" s="513">
        <f>IFERROR(__xludf.DUMMYFUNCTION("""COMPUTED_VALUE"""),57.75)</f>
        <v/>
      </c>
      <c r="AW120" s="512">
        <f>IFERROR(__xludf.DUMMYFUNCTION("""COMPUTED_VALUE"""),46036.6666666666)</f>
        <v/>
      </c>
      <c r="AX120" s="513">
        <f>IFERROR(__xludf.DUMMYFUNCTION("""COMPUTED_VALUE"""),100.35)</f>
        <v/>
      </c>
      <c r="AZ120" s="512">
        <f>IFERROR(__xludf.DUMMYFUNCTION("""COMPUTED_VALUE"""),46036.6666666666)</f>
        <v/>
      </c>
      <c r="BA120" s="513">
        <f>IFERROR(__xludf.DUMMYFUNCTION("""COMPUTED_VALUE"""),111.03)</f>
        <v/>
      </c>
      <c r="BC120" s="512">
        <f>IFERROR(__xludf.DUMMYFUNCTION("""COMPUTED_VALUE"""),46036.6666666666)</f>
        <v/>
      </c>
      <c r="BD120" s="513">
        <f>IFERROR(__xludf.DUMMYFUNCTION("""COMPUTED_VALUE"""),96.5)</f>
        <v/>
      </c>
      <c r="BF120" s="512">
        <f>IFERROR(__xludf.DUMMYFUNCTION("""COMPUTED_VALUE"""),46036.6666666666)</f>
        <v/>
      </c>
      <c r="BG120" s="513">
        <f>IFERROR(__xludf.DUMMYFUNCTION("""COMPUTED_VALUE"""),82.87)</f>
        <v/>
      </c>
      <c r="BI120" s="512">
        <f>IFERROR(__xludf.DUMMYFUNCTION("""COMPUTED_VALUE"""),46036.6666666666)</f>
        <v/>
      </c>
      <c r="BJ120" s="513">
        <f>IFERROR(__xludf.DUMMYFUNCTION("""COMPUTED_VALUE"""),88.33)</f>
        <v/>
      </c>
      <c r="BL120" s="512">
        <f>IFERROR(__xludf.DUMMYFUNCTION("""COMPUTED_VALUE"""),46036.6666666666)</f>
        <v/>
      </c>
      <c r="BM120" s="513">
        <f>IFERROR(__xludf.DUMMYFUNCTION("""COMPUTED_VALUE"""),425.94)</f>
        <v/>
      </c>
      <c r="BO120" s="512">
        <f>IFERROR(__xludf.DUMMYFUNCTION("""COMPUTED_VALUE"""),46036.6666666666)</f>
        <v/>
      </c>
      <c r="BP120" s="513">
        <f>IFERROR(__xludf.DUMMYFUNCTION("""COMPUTED_VALUE"""),91.5)</f>
        <v/>
      </c>
    </row>
    <row r="121">
      <c r="A121" s="512">
        <f>IFERROR(__xludf.DUMMYFUNCTION("""COMPUTED_VALUE"""),46037.6666666666)</f>
        <v/>
      </c>
      <c r="B121" s="513">
        <f>IFERROR(__xludf.DUMMYFUNCTION("""COMPUTED_VALUE"""),692.24)</f>
        <v/>
      </c>
      <c r="D121" s="512">
        <f>IFERROR(__xludf.DUMMYFUNCTION("""COMPUTED_VALUE"""),46037.6666666666)</f>
        <v/>
      </c>
      <c r="E121" s="513">
        <f>IFERROR(__xludf.DUMMYFUNCTION("""COMPUTED_VALUE"""),91.5)</f>
        <v/>
      </c>
      <c r="G121" s="512">
        <f>IFERROR(__xludf.DUMMYFUNCTION("""COMPUTED_VALUE"""),46224.6666666666)</f>
        <v/>
      </c>
      <c r="H121" s="513">
        <f>IFERROR(__xludf.DUMMYFUNCTION("""COMPUTED_VALUE"""),70.47)</f>
        <v/>
      </c>
      <c r="J121" s="512">
        <f>IFERROR(__xludf.DUMMYFUNCTION("""COMPUTED_VALUE"""),46037.6666666666)</f>
        <v/>
      </c>
      <c r="K121" s="513">
        <f>IFERROR(__xludf.DUMMYFUNCTION("""COMPUTED_VALUE"""),85.42)</f>
        <v/>
      </c>
      <c r="M121" s="512">
        <f>IFERROR(__xludf.DUMMYFUNCTION("""COMPUTED_VALUE"""),46037.6666666666)</f>
        <v/>
      </c>
      <c r="N121" s="513">
        <f>IFERROR(__xludf.DUMMYFUNCTION("""COMPUTED_VALUE"""),265.51)</f>
        <v/>
      </c>
      <c r="P121" s="512">
        <f>IFERROR(__xludf.DUMMYFUNCTION("""COMPUTED_VALUE"""),46037.6666666666)</f>
        <v/>
      </c>
      <c r="Q121" s="513">
        <f>IFERROR(__xludf.DUMMYFUNCTION("""COMPUTED_VALUE"""),85.91)</f>
        <v/>
      </c>
      <c r="S121" s="512">
        <f>IFERROR(__xludf.DUMMYFUNCTION("""COMPUTED_VALUE"""),45308.6666666666)</f>
        <v/>
      </c>
      <c r="T121" s="513">
        <f>IFERROR(__xludf.DUMMYFUNCTION("""COMPUTED_VALUE"""),182.68)</f>
        <v/>
      </c>
      <c r="V121" s="512">
        <f>IFERROR(__xludf.DUMMYFUNCTION("""COMPUTED_VALUE"""),46037.6666666666)</f>
        <v/>
      </c>
      <c r="W121" s="513">
        <f>IFERROR(__xludf.DUMMYFUNCTION("""COMPUTED_VALUE"""),23.2)</f>
        <v/>
      </c>
      <c r="Y121" s="512">
        <f>IFERROR(__xludf.DUMMYFUNCTION("""COMPUTED_VALUE"""),46037.6666666666)</f>
        <v/>
      </c>
      <c r="Z121" s="513">
        <f>IFERROR(__xludf.DUMMYFUNCTION("""COMPUTED_VALUE"""),74.32)</f>
        <v/>
      </c>
      <c r="AB121" s="512">
        <f>IFERROR(__xludf.DUMMYFUNCTION("""COMPUTED_VALUE"""),46037.6666666666)</f>
        <v/>
      </c>
      <c r="AC121" s="513">
        <f>IFERROR(__xludf.DUMMYFUNCTION("""COMPUTED_VALUE"""),56.34)</f>
        <v/>
      </c>
      <c r="AE121" s="512">
        <f>IFERROR(__xludf.DUMMYFUNCTION("""COMPUTED_VALUE"""),46037.6666666666)</f>
        <v/>
      </c>
      <c r="AF121" s="513">
        <f>IFERROR(__xludf.DUMMYFUNCTION("""COMPUTED_VALUE"""),96.4)</f>
        <v/>
      </c>
      <c r="AH121" s="512">
        <f>IFERROR(__xludf.DUMMYFUNCTION("""COMPUTED_VALUE"""),46037.6666666666)</f>
        <v/>
      </c>
      <c r="AI121" s="513">
        <f>IFERROR(__xludf.DUMMYFUNCTION("""COMPUTED_VALUE"""),22.32)</f>
        <v/>
      </c>
      <c r="AK121" s="512">
        <f>IFERROR(__xludf.DUMMYFUNCTION("""COMPUTED_VALUE"""),46037.6666666666)</f>
        <v/>
      </c>
      <c r="AL121" s="513">
        <f>IFERROR(__xludf.DUMMYFUNCTION("""COMPUTED_VALUE"""),81.04)</f>
        <v/>
      </c>
      <c r="AN121" s="512">
        <f>IFERROR(__xludf.DUMMYFUNCTION("""COMPUTED_VALUE"""),46037.6666666666)</f>
        <v/>
      </c>
      <c r="AO121" s="513">
        <f>IFERROR(__xludf.DUMMYFUNCTION("""COMPUTED_VALUE"""),110.23)</f>
        <v/>
      </c>
      <c r="AQ121" s="512">
        <f>IFERROR(__xludf.DUMMYFUNCTION("""COMPUTED_VALUE"""),46037.6666666666)</f>
        <v/>
      </c>
      <c r="AR121" s="513">
        <f>IFERROR(__xludf.DUMMYFUNCTION("""COMPUTED_VALUE"""),99.26)</f>
        <v/>
      </c>
      <c r="AT121" s="512">
        <f>IFERROR(__xludf.DUMMYFUNCTION("""COMPUTED_VALUE"""),46037.6666666666)</f>
        <v/>
      </c>
      <c r="AU121" s="513">
        <f>IFERROR(__xludf.DUMMYFUNCTION("""COMPUTED_VALUE"""),58.09)</f>
        <v/>
      </c>
      <c r="AW121" s="512">
        <f>IFERROR(__xludf.DUMMYFUNCTION("""COMPUTED_VALUE"""),46037.6666666666)</f>
        <v/>
      </c>
      <c r="AX121" s="513">
        <f>IFERROR(__xludf.DUMMYFUNCTION("""COMPUTED_VALUE"""),100.22)</f>
        <v/>
      </c>
      <c r="AZ121" s="512">
        <f>IFERROR(__xludf.DUMMYFUNCTION("""COMPUTED_VALUE"""),46037.6666666666)</f>
        <v/>
      </c>
      <c r="BA121" s="513">
        <f>IFERROR(__xludf.DUMMYFUNCTION("""COMPUTED_VALUE"""),110.89)</f>
        <v/>
      </c>
      <c r="BC121" s="512">
        <f>IFERROR(__xludf.DUMMYFUNCTION("""COMPUTED_VALUE"""),46037.6666666666)</f>
        <v/>
      </c>
      <c r="BD121" s="513">
        <f>IFERROR(__xludf.DUMMYFUNCTION("""COMPUTED_VALUE"""),96.3)</f>
        <v/>
      </c>
      <c r="BF121" s="512">
        <f>IFERROR(__xludf.DUMMYFUNCTION("""COMPUTED_VALUE"""),46037.6666666666)</f>
        <v/>
      </c>
      <c r="BG121" s="513">
        <f>IFERROR(__xludf.DUMMYFUNCTION("""COMPUTED_VALUE"""),82.81)</f>
        <v/>
      </c>
      <c r="BI121" s="512">
        <f>IFERROR(__xludf.DUMMYFUNCTION("""COMPUTED_VALUE"""),46037.6666666666)</f>
        <v/>
      </c>
      <c r="BJ121" s="513">
        <f>IFERROR(__xludf.DUMMYFUNCTION("""COMPUTED_VALUE"""),88.31)</f>
        <v/>
      </c>
      <c r="BL121" s="512">
        <f>IFERROR(__xludf.DUMMYFUNCTION("""COMPUTED_VALUE"""),46037.6666666666)</f>
        <v/>
      </c>
      <c r="BM121" s="513">
        <f>IFERROR(__xludf.DUMMYFUNCTION("""COMPUTED_VALUE"""),423.33)</f>
        <v/>
      </c>
      <c r="BO121" s="512">
        <f>IFERROR(__xludf.DUMMYFUNCTION("""COMPUTED_VALUE"""),46037.6666666666)</f>
        <v/>
      </c>
      <c r="BP121" s="513">
        <f>IFERROR(__xludf.DUMMYFUNCTION("""COMPUTED_VALUE"""),91.5)</f>
        <v/>
      </c>
    </row>
    <row r="122">
      <c r="A122" s="512">
        <f>IFERROR(__xludf.DUMMYFUNCTION("""COMPUTED_VALUE"""),46038.6666666666)</f>
        <v/>
      </c>
      <c r="B122" s="513">
        <f>IFERROR(__xludf.DUMMYFUNCTION("""COMPUTED_VALUE"""),691.66)</f>
        <v/>
      </c>
      <c r="D122" s="512">
        <f>IFERROR(__xludf.DUMMYFUNCTION("""COMPUTED_VALUE"""),46038.6666666666)</f>
        <v/>
      </c>
      <c r="E122" s="513">
        <f>IFERROR(__xludf.DUMMYFUNCTION("""COMPUTED_VALUE"""),92.62)</f>
        <v/>
      </c>
      <c r="G122" s="512">
        <f>IFERROR(__xludf.DUMMYFUNCTION("""COMPUTED_VALUE"""),46225.6666666666)</f>
        <v/>
      </c>
      <c r="H122" s="513">
        <f>IFERROR(__xludf.DUMMYFUNCTION("""COMPUTED_VALUE"""),70.49)</f>
        <v/>
      </c>
      <c r="J122" s="512">
        <f>IFERROR(__xludf.DUMMYFUNCTION("""COMPUTED_VALUE"""),46038.6666666666)</f>
        <v/>
      </c>
      <c r="K122" s="513">
        <f>IFERROR(__xludf.DUMMYFUNCTION("""COMPUTED_VALUE"""),85.48)</f>
        <v/>
      </c>
      <c r="M122" s="512">
        <f>IFERROR(__xludf.DUMMYFUNCTION("""COMPUTED_VALUE"""),46038.6666666666)</f>
        <v/>
      </c>
      <c r="N122" s="513">
        <f>IFERROR(__xludf.DUMMYFUNCTION("""COMPUTED_VALUE"""),265.76)</f>
        <v/>
      </c>
      <c r="P122" s="512">
        <f>IFERROR(__xludf.DUMMYFUNCTION("""COMPUTED_VALUE"""),46038.6666666666)</f>
        <v/>
      </c>
      <c r="Q122" s="513">
        <f>IFERROR(__xludf.DUMMYFUNCTION("""COMPUTED_VALUE"""),86.17)</f>
        <v/>
      </c>
      <c r="S122" s="512">
        <f>IFERROR(__xludf.DUMMYFUNCTION("""COMPUTED_VALUE"""),45309.6666666666)</f>
        <v/>
      </c>
      <c r="T122" s="513">
        <f>IFERROR(__xludf.DUMMYFUNCTION("""COMPUTED_VALUE"""),188.63)</f>
        <v/>
      </c>
      <c r="V122" s="512">
        <f>IFERROR(__xludf.DUMMYFUNCTION("""COMPUTED_VALUE"""),46038.6666666666)</f>
        <v/>
      </c>
      <c r="W122" s="513">
        <f>IFERROR(__xludf.DUMMYFUNCTION("""COMPUTED_VALUE"""),23.16)</f>
        <v/>
      </c>
      <c r="Y122" s="512">
        <f>IFERROR(__xludf.DUMMYFUNCTION("""COMPUTED_VALUE"""),46038.6666666666)</f>
        <v/>
      </c>
      <c r="Z122" s="513">
        <f>IFERROR(__xludf.DUMMYFUNCTION("""COMPUTED_VALUE"""),74.2)</f>
        <v/>
      </c>
      <c r="AB122" s="512">
        <f>IFERROR(__xludf.DUMMYFUNCTION("""COMPUTED_VALUE"""),46038.6666666666)</f>
        <v/>
      </c>
      <c r="AC122" s="513">
        <f>IFERROR(__xludf.DUMMYFUNCTION("""COMPUTED_VALUE"""),56)</f>
        <v/>
      </c>
      <c r="AE122" s="512">
        <f>IFERROR(__xludf.DUMMYFUNCTION("""COMPUTED_VALUE"""),46038.6666666666)</f>
        <v/>
      </c>
      <c r="AF122" s="513">
        <f>IFERROR(__xludf.DUMMYFUNCTION("""COMPUTED_VALUE"""),96.21)</f>
        <v/>
      </c>
      <c r="AH122" s="512">
        <f>IFERROR(__xludf.DUMMYFUNCTION("""COMPUTED_VALUE"""),46038.6666666666)</f>
        <v/>
      </c>
      <c r="AI122" s="513">
        <f>IFERROR(__xludf.DUMMYFUNCTION("""COMPUTED_VALUE"""),22.34)</f>
        <v/>
      </c>
      <c r="AK122" s="512">
        <f>IFERROR(__xludf.DUMMYFUNCTION("""COMPUTED_VALUE"""),46038.6666666666)</f>
        <v/>
      </c>
      <c r="AL122" s="513">
        <f>IFERROR(__xludf.DUMMYFUNCTION("""COMPUTED_VALUE"""),81.09)</f>
        <v/>
      </c>
      <c r="AN122" s="512">
        <f>IFERROR(__xludf.DUMMYFUNCTION("""COMPUTED_VALUE"""),46038.6666666666)</f>
        <v/>
      </c>
      <c r="AO122" s="513">
        <f>IFERROR(__xludf.DUMMYFUNCTION("""COMPUTED_VALUE"""),110.02)</f>
        <v/>
      </c>
      <c r="AQ122" s="512">
        <f>IFERROR(__xludf.DUMMYFUNCTION("""COMPUTED_VALUE"""),46038.6666666666)</f>
        <v/>
      </c>
      <c r="AR122" s="513">
        <f>IFERROR(__xludf.DUMMYFUNCTION("""COMPUTED_VALUE"""),99.53)</f>
        <v/>
      </c>
      <c r="AT122" s="512">
        <f>IFERROR(__xludf.DUMMYFUNCTION("""COMPUTED_VALUE"""),46038.6666666666)</f>
        <v/>
      </c>
      <c r="AU122" s="513">
        <f>IFERROR(__xludf.DUMMYFUNCTION("""COMPUTED_VALUE"""),57.87)</f>
        <v/>
      </c>
      <c r="AW122" s="512">
        <f>IFERROR(__xludf.DUMMYFUNCTION("""COMPUTED_VALUE"""),46038.6666666666)</f>
        <v/>
      </c>
      <c r="AX122" s="513">
        <f>IFERROR(__xludf.DUMMYFUNCTION("""COMPUTED_VALUE"""),100.05)</f>
        <v/>
      </c>
      <c r="AZ122" s="512">
        <f>IFERROR(__xludf.DUMMYFUNCTION("""COMPUTED_VALUE"""),46038.6666666666)</f>
        <v/>
      </c>
      <c r="BA122" s="513">
        <f>IFERROR(__xludf.DUMMYFUNCTION("""COMPUTED_VALUE"""),110.57)</f>
        <v/>
      </c>
      <c r="BC122" s="512">
        <f>IFERROR(__xludf.DUMMYFUNCTION("""COMPUTED_VALUE"""),46038.6666666666)</f>
        <v/>
      </c>
      <c r="BD122" s="513">
        <f>IFERROR(__xludf.DUMMYFUNCTION("""COMPUTED_VALUE"""),95.93)</f>
        <v/>
      </c>
      <c r="BF122" s="512">
        <f>IFERROR(__xludf.DUMMYFUNCTION("""COMPUTED_VALUE"""),46038.6666666666)</f>
        <v/>
      </c>
      <c r="BG122" s="513">
        <f>IFERROR(__xludf.DUMMYFUNCTION("""COMPUTED_VALUE"""),82.79)</f>
        <v/>
      </c>
      <c r="BI122" s="512">
        <f>IFERROR(__xludf.DUMMYFUNCTION("""COMPUTED_VALUE"""),46038.6666666666)</f>
        <v/>
      </c>
      <c r="BJ122" s="513">
        <f>IFERROR(__xludf.DUMMYFUNCTION("""COMPUTED_VALUE"""),87.8)</f>
        <v/>
      </c>
      <c r="BL122" s="512">
        <f>IFERROR(__xludf.DUMMYFUNCTION("""COMPUTED_VALUE"""),46038.6666666666)</f>
        <v/>
      </c>
      <c r="BM122" s="513">
        <f>IFERROR(__xludf.DUMMYFUNCTION("""COMPUTED_VALUE"""),421.29)</f>
        <v/>
      </c>
      <c r="BO122" s="512">
        <f>IFERROR(__xludf.DUMMYFUNCTION("""COMPUTED_VALUE"""),46038.6666666666)</f>
        <v/>
      </c>
      <c r="BP122" s="513">
        <f>IFERROR(__xludf.DUMMYFUNCTION("""COMPUTED_VALUE"""),91.54)</f>
        <v/>
      </c>
    </row>
    <row r="123">
      <c r="A123" s="512">
        <f>IFERROR(__xludf.DUMMYFUNCTION("""COMPUTED_VALUE"""),46042.6666666666)</f>
        <v/>
      </c>
      <c r="B123" s="513">
        <f>IFERROR(__xludf.DUMMYFUNCTION("""COMPUTED_VALUE"""),677.58)</f>
        <v/>
      </c>
      <c r="D123" s="512">
        <f>IFERROR(__xludf.DUMMYFUNCTION("""COMPUTED_VALUE"""),46042.6666666666)</f>
        <v/>
      </c>
      <c r="E123" s="513">
        <f>IFERROR(__xludf.DUMMYFUNCTION("""COMPUTED_VALUE"""),90.9)</f>
        <v/>
      </c>
      <c r="G123" s="512">
        <f>IFERROR(__xludf.DUMMYFUNCTION("""COMPUTED_VALUE"""),46226.6666666666)</f>
        <v/>
      </c>
      <c r="H123" s="513">
        <f>IFERROR(__xludf.DUMMYFUNCTION("""COMPUTED_VALUE"""),69.78)</f>
        <v/>
      </c>
      <c r="J123" s="512">
        <f>IFERROR(__xludf.DUMMYFUNCTION("""COMPUTED_VALUE"""),46042.6666666666)</f>
        <v/>
      </c>
      <c r="K123" s="513">
        <f>IFERROR(__xludf.DUMMYFUNCTION("""COMPUTED_VALUE"""),83.72)</f>
        <v/>
      </c>
      <c r="M123" s="512">
        <f>IFERROR(__xludf.DUMMYFUNCTION("""COMPUTED_VALUE"""),46042.6666666666)</f>
        <v/>
      </c>
      <c r="N123" s="513">
        <f>IFERROR(__xludf.DUMMYFUNCTION("""COMPUTED_VALUE"""),262.58)</f>
        <v/>
      </c>
      <c r="P123" s="512">
        <f>IFERROR(__xludf.DUMMYFUNCTION("""COMPUTED_VALUE"""),46042.6666666666)</f>
        <v/>
      </c>
      <c r="Q123" s="513">
        <f>IFERROR(__xludf.DUMMYFUNCTION("""COMPUTED_VALUE"""),84.96)</f>
        <v/>
      </c>
      <c r="S123" s="512">
        <f>IFERROR(__xludf.DUMMYFUNCTION("""COMPUTED_VALUE"""),45310.6666666666)</f>
        <v/>
      </c>
      <c r="T123" s="513">
        <f>IFERROR(__xludf.DUMMYFUNCTION("""COMPUTED_VALUE"""),191.56)</f>
        <v/>
      </c>
      <c r="V123" s="512">
        <f>IFERROR(__xludf.DUMMYFUNCTION("""COMPUTED_VALUE"""),46042.6666666666)</f>
        <v/>
      </c>
      <c r="W123" s="513">
        <f>IFERROR(__xludf.DUMMYFUNCTION("""COMPUTED_VALUE"""),23.48)</f>
        <v/>
      </c>
      <c r="Y123" s="512">
        <f>IFERROR(__xludf.DUMMYFUNCTION("""COMPUTED_VALUE"""),46042.6666666666)</f>
        <v/>
      </c>
      <c r="Z123" s="513">
        <f>IFERROR(__xludf.DUMMYFUNCTION("""COMPUTED_VALUE"""),73.93)</f>
        <v/>
      </c>
      <c r="AB123" s="512">
        <f>IFERROR(__xludf.DUMMYFUNCTION("""COMPUTED_VALUE"""),46042.6666666666)</f>
        <v/>
      </c>
      <c r="AC123" s="513">
        <f>IFERROR(__xludf.DUMMYFUNCTION("""COMPUTED_VALUE"""),55.54)</f>
        <v/>
      </c>
      <c r="AE123" s="512">
        <f>IFERROR(__xludf.DUMMYFUNCTION("""COMPUTED_VALUE"""),46042.6666666666)</f>
        <v/>
      </c>
      <c r="AF123" s="513">
        <f>IFERROR(__xludf.DUMMYFUNCTION("""COMPUTED_VALUE"""),95.73)</f>
        <v/>
      </c>
      <c r="AH123" s="512">
        <f>IFERROR(__xludf.DUMMYFUNCTION("""COMPUTED_VALUE"""),46042.6666666666)</f>
        <v/>
      </c>
      <c r="AI123" s="513">
        <f>IFERROR(__xludf.DUMMYFUNCTION("""COMPUTED_VALUE"""),22.33)</f>
        <v/>
      </c>
      <c r="AK123" s="512">
        <f>IFERROR(__xludf.DUMMYFUNCTION("""COMPUTED_VALUE"""),46042.6666666666)</f>
        <v/>
      </c>
      <c r="AL123" s="513">
        <f>IFERROR(__xludf.DUMMYFUNCTION("""COMPUTED_VALUE"""),80.88)</f>
        <v/>
      </c>
      <c r="AN123" s="512">
        <f>IFERROR(__xludf.DUMMYFUNCTION("""COMPUTED_VALUE"""),46042.6666666666)</f>
        <v/>
      </c>
      <c r="AO123" s="513">
        <f>IFERROR(__xludf.DUMMYFUNCTION("""COMPUTED_VALUE"""),109.69)</f>
        <v/>
      </c>
      <c r="AQ123" s="512">
        <f>IFERROR(__xludf.DUMMYFUNCTION("""COMPUTED_VALUE"""),46042.6666666666)</f>
        <v/>
      </c>
      <c r="AR123" s="513">
        <f>IFERROR(__xludf.DUMMYFUNCTION("""COMPUTED_VALUE"""),98.02)</f>
        <v/>
      </c>
      <c r="AT123" s="512">
        <f>IFERROR(__xludf.DUMMYFUNCTION("""COMPUTED_VALUE"""),46042.6666666666)</f>
        <v/>
      </c>
      <c r="AU123" s="513">
        <f>IFERROR(__xludf.DUMMYFUNCTION("""COMPUTED_VALUE"""),57.31)</f>
        <v/>
      </c>
      <c r="AW123" s="512">
        <f>IFERROR(__xludf.DUMMYFUNCTION("""COMPUTED_VALUE"""),46042.6666666666)</f>
        <v/>
      </c>
      <c r="AX123" s="513">
        <f>IFERROR(__xludf.DUMMYFUNCTION("""COMPUTED_VALUE"""),99.67)</f>
        <v/>
      </c>
      <c r="AZ123" s="512">
        <f>IFERROR(__xludf.DUMMYFUNCTION("""COMPUTED_VALUE"""),46042.6666666666)</f>
        <v/>
      </c>
      <c r="BA123" s="513">
        <f>IFERROR(__xludf.DUMMYFUNCTION("""COMPUTED_VALUE"""),109.9)</f>
        <v/>
      </c>
      <c r="BC123" s="512">
        <f>IFERROR(__xludf.DUMMYFUNCTION("""COMPUTED_VALUE"""),46042.6666666666)</f>
        <v/>
      </c>
      <c r="BD123" s="513">
        <f>IFERROR(__xludf.DUMMYFUNCTION("""COMPUTED_VALUE"""),95.55)</f>
        <v/>
      </c>
      <c r="BF123" s="512">
        <f>IFERROR(__xludf.DUMMYFUNCTION("""COMPUTED_VALUE"""),46042.6666666666)</f>
        <v/>
      </c>
      <c r="BG123" s="513">
        <f>IFERROR(__xludf.DUMMYFUNCTION("""COMPUTED_VALUE"""),82.8)</f>
        <v/>
      </c>
      <c r="BI123" s="512">
        <f>IFERROR(__xludf.DUMMYFUNCTION("""COMPUTED_VALUE"""),46042.6666666666)</f>
        <v/>
      </c>
      <c r="BJ123" s="513">
        <f>IFERROR(__xludf.DUMMYFUNCTION("""COMPUTED_VALUE"""),86.65)</f>
        <v/>
      </c>
      <c r="BL123" s="512">
        <f>IFERROR(__xludf.DUMMYFUNCTION("""COMPUTED_VALUE"""),46042.6666666666)</f>
        <v/>
      </c>
      <c r="BM123" s="513">
        <f>IFERROR(__xludf.DUMMYFUNCTION("""COMPUTED_VALUE"""),437.23)</f>
        <v/>
      </c>
      <c r="BO123" s="512">
        <f>IFERROR(__xludf.DUMMYFUNCTION("""COMPUTED_VALUE"""),46042.6666666666)</f>
        <v/>
      </c>
      <c r="BP123" s="513">
        <f>IFERROR(__xludf.DUMMYFUNCTION("""COMPUTED_VALUE"""),91.54)</f>
        <v/>
      </c>
    </row>
    <row r="124">
      <c r="A124" s="512">
        <f>IFERROR(__xludf.DUMMYFUNCTION("""COMPUTED_VALUE"""),46043.6666666666)</f>
        <v/>
      </c>
      <c r="B124" s="513">
        <f>IFERROR(__xludf.DUMMYFUNCTION("""COMPUTED_VALUE"""),685.4)</f>
        <v/>
      </c>
      <c r="D124" s="512">
        <f>IFERROR(__xludf.DUMMYFUNCTION("""COMPUTED_VALUE"""),46043.6666666666)</f>
        <v/>
      </c>
      <c r="E124" s="513">
        <f>IFERROR(__xludf.DUMMYFUNCTION("""COMPUTED_VALUE"""),91.26)</f>
        <v/>
      </c>
      <c r="G124" s="512">
        <f>IFERROR(__xludf.DUMMYFUNCTION("""COMPUTED_VALUE"""),46227.6666666666)</f>
        <v/>
      </c>
      <c r="H124" s="513">
        <f>IFERROR(__xludf.DUMMYFUNCTION("""COMPUTED_VALUE"""),69.71)</f>
        <v/>
      </c>
      <c r="J124" s="512">
        <f>IFERROR(__xludf.DUMMYFUNCTION("""COMPUTED_VALUE"""),46043.6666666666)</f>
        <v/>
      </c>
      <c r="K124" s="513">
        <f>IFERROR(__xludf.DUMMYFUNCTION("""COMPUTED_VALUE"""),84.78)</f>
        <v/>
      </c>
      <c r="M124" s="512">
        <f>IFERROR(__xludf.DUMMYFUNCTION("""COMPUTED_VALUE"""),46043.6666666666)</f>
        <v/>
      </c>
      <c r="N124" s="513">
        <f>IFERROR(__xludf.DUMMYFUNCTION("""COMPUTED_VALUE"""),267.79)</f>
        <v/>
      </c>
      <c r="P124" s="512">
        <f>IFERROR(__xludf.DUMMYFUNCTION("""COMPUTED_VALUE"""),46043.6666666666)</f>
        <v/>
      </c>
      <c r="Q124" s="513">
        <f>IFERROR(__xludf.DUMMYFUNCTION("""COMPUTED_VALUE"""),85.81)</f>
        <v/>
      </c>
      <c r="S124" s="512">
        <f>IFERROR(__xludf.DUMMYFUNCTION("""COMPUTED_VALUE"""),45313.6666666666)</f>
        <v/>
      </c>
      <c r="T124" s="513">
        <f>IFERROR(__xludf.DUMMYFUNCTION("""COMPUTED_VALUE"""),193.89)</f>
        <v/>
      </c>
      <c r="V124" s="512">
        <f>IFERROR(__xludf.DUMMYFUNCTION("""COMPUTED_VALUE"""),46043.6666666666)</f>
        <v/>
      </c>
      <c r="W124" s="513">
        <f>IFERROR(__xludf.DUMMYFUNCTION("""COMPUTED_VALUE"""),23.75)</f>
        <v/>
      </c>
      <c r="Y124" s="512">
        <f>IFERROR(__xludf.DUMMYFUNCTION("""COMPUTED_VALUE"""),46043.6666666666)</f>
        <v/>
      </c>
      <c r="Z124" s="513">
        <f>IFERROR(__xludf.DUMMYFUNCTION("""COMPUTED_VALUE"""),74.14)</f>
        <v/>
      </c>
      <c r="AB124" s="512">
        <f>IFERROR(__xludf.DUMMYFUNCTION("""COMPUTED_VALUE"""),46043.6666666666)</f>
        <v/>
      </c>
      <c r="AC124" s="513">
        <f>IFERROR(__xludf.DUMMYFUNCTION("""COMPUTED_VALUE"""),56.11)</f>
        <v/>
      </c>
      <c r="AE124" s="512">
        <f>IFERROR(__xludf.DUMMYFUNCTION("""COMPUTED_VALUE"""),46043.6666666666)</f>
        <v/>
      </c>
      <c r="AF124" s="513">
        <f>IFERROR(__xludf.DUMMYFUNCTION("""COMPUTED_VALUE"""),96.5)</f>
        <v/>
      </c>
      <c r="AH124" s="512">
        <f>IFERROR(__xludf.DUMMYFUNCTION("""COMPUTED_VALUE"""),46043.6666666666)</f>
        <v/>
      </c>
      <c r="AI124" s="513">
        <f>IFERROR(__xludf.DUMMYFUNCTION("""COMPUTED_VALUE"""),22.32)</f>
        <v/>
      </c>
      <c r="AK124" s="512">
        <f>IFERROR(__xludf.DUMMYFUNCTION("""COMPUTED_VALUE"""),46043.6666666666)</f>
        <v/>
      </c>
      <c r="AL124" s="513">
        <f>IFERROR(__xludf.DUMMYFUNCTION("""COMPUTED_VALUE"""),81.12)</f>
        <v/>
      </c>
      <c r="AN124" s="512">
        <f>IFERROR(__xludf.DUMMYFUNCTION("""COMPUTED_VALUE"""),46043.6666666666)</f>
        <v/>
      </c>
      <c r="AO124" s="513">
        <f>IFERROR(__xludf.DUMMYFUNCTION("""COMPUTED_VALUE"""),110.12)</f>
        <v/>
      </c>
      <c r="AQ124" s="512">
        <f>IFERROR(__xludf.DUMMYFUNCTION("""COMPUTED_VALUE"""),46043.6666666666)</f>
        <v/>
      </c>
      <c r="AR124" s="513">
        <f>IFERROR(__xludf.DUMMYFUNCTION("""COMPUTED_VALUE"""),99.03)</f>
        <v/>
      </c>
      <c r="AT124" s="512">
        <f>IFERROR(__xludf.DUMMYFUNCTION("""COMPUTED_VALUE"""),46043.6666666666)</f>
        <v/>
      </c>
      <c r="AU124" s="513">
        <f>IFERROR(__xludf.DUMMYFUNCTION("""COMPUTED_VALUE"""),58.26)</f>
        <v/>
      </c>
      <c r="AW124" s="512">
        <f>IFERROR(__xludf.DUMMYFUNCTION("""COMPUTED_VALUE"""),46043.6666666666)</f>
        <v/>
      </c>
      <c r="AX124" s="513">
        <f>IFERROR(__xludf.DUMMYFUNCTION("""COMPUTED_VALUE"""),100)</f>
        <v/>
      </c>
      <c r="AZ124" s="512">
        <f>IFERROR(__xludf.DUMMYFUNCTION("""COMPUTED_VALUE"""),46043.6666666666)</f>
        <v/>
      </c>
      <c r="BA124" s="513">
        <f>IFERROR(__xludf.DUMMYFUNCTION("""COMPUTED_VALUE"""),110.56)</f>
        <v/>
      </c>
      <c r="BC124" s="512">
        <f>IFERROR(__xludf.DUMMYFUNCTION("""COMPUTED_VALUE"""),46043.6666666666)</f>
        <v/>
      </c>
      <c r="BD124" s="513">
        <f>IFERROR(__xludf.DUMMYFUNCTION("""COMPUTED_VALUE"""),95.8)</f>
        <v/>
      </c>
      <c r="BF124" s="512">
        <f>IFERROR(__xludf.DUMMYFUNCTION("""COMPUTED_VALUE"""),46043.6666666666)</f>
        <v/>
      </c>
      <c r="BG124" s="513">
        <f>IFERROR(__xludf.DUMMYFUNCTION("""COMPUTED_VALUE"""),82.84)</f>
        <v/>
      </c>
      <c r="BI124" s="512">
        <f>IFERROR(__xludf.DUMMYFUNCTION("""COMPUTED_VALUE"""),46043.6666666666)</f>
        <v/>
      </c>
      <c r="BJ124" s="513">
        <f>IFERROR(__xludf.DUMMYFUNCTION("""COMPUTED_VALUE"""),87.31)</f>
        <v/>
      </c>
      <c r="BL124" s="512">
        <f>IFERROR(__xludf.DUMMYFUNCTION("""COMPUTED_VALUE"""),46043.6666666666)</f>
        <v/>
      </c>
      <c r="BM124" s="513">
        <f>IFERROR(__xludf.DUMMYFUNCTION("""COMPUTED_VALUE"""),443.6)</f>
        <v/>
      </c>
      <c r="BO124" s="512">
        <f>IFERROR(__xludf.DUMMYFUNCTION("""COMPUTED_VALUE"""),46043.6666666666)</f>
        <v/>
      </c>
      <c r="BP124" s="513">
        <f>IFERROR(__xludf.DUMMYFUNCTION("""COMPUTED_VALUE"""),91.55)</f>
        <v/>
      </c>
    </row>
    <row r="125">
      <c r="A125" s="512">
        <f>IFERROR(__xludf.DUMMYFUNCTION("""COMPUTED_VALUE"""),46044.6666666666)</f>
        <v/>
      </c>
      <c r="B125" s="513">
        <f>IFERROR(__xludf.DUMMYFUNCTION("""COMPUTED_VALUE"""),688.98)</f>
        <v/>
      </c>
      <c r="D125" s="512">
        <f>IFERROR(__xludf.DUMMYFUNCTION("""COMPUTED_VALUE"""),46044.6666666666)</f>
        <v/>
      </c>
      <c r="E125" s="513">
        <f>IFERROR(__xludf.DUMMYFUNCTION("""COMPUTED_VALUE"""),90.36)</f>
        <v/>
      </c>
      <c r="G125" s="512">
        <f>IFERROR(__xludf.DUMMYFUNCTION("""COMPUTED_VALUE"""),46230.6666666666)</f>
        <v/>
      </c>
      <c r="H125" s="513">
        <f>IFERROR(__xludf.DUMMYFUNCTION("""COMPUTED_VALUE"""),70)</f>
        <v/>
      </c>
      <c r="J125" s="512">
        <f>IFERROR(__xludf.DUMMYFUNCTION("""COMPUTED_VALUE"""),46044.6666666666)</f>
        <v/>
      </c>
      <c r="K125" s="513">
        <f>IFERROR(__xludf.DUMMYFUNCTION("""COMPUTED_VALUE"""),84.86)</f>
        <v/>
      </c>
      <c r="M125" s="512">
        <f>IFERROR(__xludf.DUMMYFUNCTION("""COMPUTED_VALUE"""),46044.6666666666)</f>
        <v/>
      </c>
      <c r="N125" s="513">
        <f>IFERROR(__xludf.DUMMYFUNCTION("""COMPUTED_VALUE"""),269.79)</f>
        <v/>
      </c>
      <c r="P125" s="512">
        <f>IFERROR(__xludf.DUMMYFUNCTION("""COMPUTED_VALUE"""),46044.6666666666)</f>
        <v/>
      </c>
      <c r="Q125" s="513">
        <f>IFERROR(__xludf.DUMMYFUNCTION("""COMPUTED_VALUE"""),86.32)</f>
        <v/>
      </c>
      <c r="S125" s="512">
        <f>IFERROR(__xludf.DUMMYFUNCTION("""COMPUTED_VALUE"""),45314.6666666666)</f>
        <v/>
      </c>
      <c r="T125" s="513">
        <f>IFERROR(__xludf.DUMMYFUNCTION("""COMPUTED_VALUE"""),195.18)</f>
        <v/>
      </c>
      <c r="V125" s="512">
        <f>IFERROR(__xludf.DUMMYFUNCTION("""COMPUTED_VALUE"""),46044.6666666666)</f>
        <v/>
      </c>
      <c r="W125" s="513">
        <f>IFERROR(__xludf.DUMMYFUNCTION("""COMPUTED_VALUE"""),23.74)</f>
        <v/>
      </c>
      <c r="Y125" s="512">
        <f>IFERROR(__xludf.DUMMYFUNCTION("""COMPUTED_VALUE"""),46044.6666666666)</f>
        <v/>
      </c>
      <c r="Z125" s="513">
        <f>IFERROR(__xludf.DUMMYFUNCTION("""COMPUTED_VALUE"""),74.17)</f>
        <v/>
      </c>
      <c r="AB125" s="512">
        <f>IFERROR(__xludf.DUMMYFUNCTION("""COMPUTED_VALUE"""),46044.6666666666)</f>
        <v/>
      </c>
      <c r="AC125" s="513">
        <f>IFERROR(__xludf.DUMMYFUNCTION("""COMPUTED_VALUE"""),56.55)</f>
        <v/>
      </c>
      <c r="AE125" s="512">
        <f>IFERROR(__xludf.DUMMYFUNCTION("""COMPUTED_VALUE"""),46044.6666666666)</f>
        <v/>
      </c>
      <c r="AF125" s="513">
        <f>IFERROR(__xludf.DUMMYFUNCTION("""COMPUTED_VALUE"""),96.48)</f>
        <v/>
      </c>
      <c r="AH125" s="512">
        <f>IFERROR(__xludf.DUMMYFUNCTION("""COMPUTED_VALUE"""),46044.6666666666)</f>
        <v/>
      </c>
      <c r="AI125" s="513">
        <f>IFERROR(__xludf.DUMMYFUNCTION("""COMPUTED_VALUE"""),22.46)</f>
        <v/>
      </c>
      <c r="AK125" s="512">
        <f>IFERROR(__xludf.DUMMYFUNCTION("""COMPUTED_VALUE"""),46044.6666666666)</f>
        <v/>
      </c>
      <c r="AL125" s="513">
        <f>IFERROR(__xludf.DUMMYFUNCTION("""COMPUTED_VALUE"""),81.18)</f>
        <v/>
      </c>
      <c r="AN125" s="512">
        <f>IFERROR(__xludf.DUMMYFUNCTION("""COMPUTED_VALUE"""),46044.6666666666)</f>
        <v/>
      </c>
      <c r="AO125" s="513">
        <f>IFERROR(__xludf.DUMMYFUNCTION("""COMPUTED_VALUE"""),110.01)</f>
        <v/>
      </c>
      <c r="AQ125" s="512">
        <f>IFERROR(__xludf.DUMMYFUNCTION("""COMPUTED_VALUE"""),46044.6666666666)</f>
        <v/>
      </c>
      <c r="AR125" s="513">
        <f>IFERROR(__xludf.DUMMYFUNCTION("""COMPUTED_VALUE"""),99.42)</f>
        <v/>
      </c>
      <c r="AT125" s="512">
        <f>IFERROR(__xludf.DUMMYFUNCTION("""COMPUTED_VALUE"""),46044.6666666666)</f>
        <v/>
      </c>
      <c r="AU125" s="513">
        <f>IFERROR(__xludf.DUMMYFUNCTION("""COMPUTED_VALUE"""),58.7)</f>
        <v/>
      </c>
      <c r="AW125" s="512">
        <f>IFERROR(__xludf.DUMMYFUNCTION("""COMPUTED_VALUE"""),46044.6666666666)</f>
        <v/>
      </c>
      <c r="AX125" s="513">
        <f>IFERROR(__xludf.DUMMYFUNCTION("""COMPUTED_VALUE"""),100.02)</f>
        <v/>
      </c>
      <c r="AZ125" s="512">
        <f>IFERROR(__xludf.DUMMYFUNCTION("""COMPUTED_VALUE"""),46044.6666666666)</f>
        <v/>
      </c>
      <c r="BA125" s="513">
        <f>IFERROR(__xludf.DUMMYFUNCTION("""COMPUTED_VALUE"""),110.77)</f>
        <v/>
      </c>
      <c r="BC125" s="512">
        <f>IFERROR(__xludf.DUMMYFUNCTION("""COMPUTED_VALUE"""),46044.6666666666)</f>
        <v/>
      </c>
      <c r="BD125" s="513">
        <f>IFERROR(__xludf.DUMMYFUNCTION("""COMPUTED_VALUE"""),95.79)</f>
        <v/>
      </c>
      <c r="BF125" s="512">
        <f>IFERROR(__xludf.DUMMYFUNCTION("""COMPUTED_VALUE"""),46044.6666666666)</f>
        <v/>
      </c>
      <c r="BG125" s="513">
        <f>IFERROR(__xludf.DUMMYFUNCTION("""COMPUTED_VALUE"""),82.81)</f>
        <v/>
      </c>
      <c r="BI125" s="512">
        <f>IFERROR(__xludf.DUMMYFUNCTION("""COMPUTED_VALUE"""),46044.6666666666)</f>
        <v/>
      </c>
      <c r="BJ125" s="513">
        <f>IFERROR(__xludf.DUMMYFUNCTION("""COMPUTED_VALUE"""),87.69)</f>
        <v/>
      </c>
      <c r="BL125" s="512">
        <f>IFERROR(__xludf.DUMMYFUNCTION("""COMPUTED_VALUE"""),46044.6666666666)</f>
        <v/>
      </c>
      <c r="BM125" s="513">
        <f>IFERROR(__xludf.DUMMYFUNCTION("""COMPUTED_VALUE"""),451.79)</f>
        <v/>
      </c>
      <c r="BO125" s="512">
        <f>IFERROR(__xludf.DUMMYFUNCTION("""COMPUTED_VALUE"""),46044.6666666666)</f>
        <v/>
      </c>
      <c r="BP125" s="513">
        <f>IFERROR(__xludf.DUMMYFUNCTION("""COMPUTED_VALUE"""),91.56)</f>
        <v/>
      </c>
    </row>
    <row r="126">
      <c r="A126" s="512">
        <f>IFERROR(__xludf.DUMMYFUNCTION("""COMPUTED_VALUE"""),46045.6666666666)</f>
        <v/>
      </c>
      <c r="B126" s="513">
        <f>IFERROR(__xludf.DUMMYFUNCTION("""COMPUTED_VALUE"""),689.23)</f>
        <v/>
      </c>
      <c r="D126" s="512">
        <f>IFERROR(__xludf.DUMMYFUNCTION("""COMPUTED_VALUE"""),46045.6666666666)</f>
        <v/>
      </c>
      <c r="E126" s="513">
        <f>IFERROR(__xludf.DUMMYFUNCTION("""COMPUTED_VALUE"""),90.54)</f>
        <v/>
      </c>
      <c r="G126" s="512">
        <f>IFERROR(__xludf.DUMMYFUNCTION("""COMPUTED_VALUE"""),46231.6666666666)</f>
        <v/>
      </c>
      <c r="H126" s="513">
        <f>IFERROR(__xludf.DUMMYFUNCTION("""COMPUTED_VALUE"""),69.6)</f>
        <v/>
      </c>
      <c r="J126" s="512">
        <f>IFERROR(__xludf.DUMMYFUNCTION("""COMPUTED_VALUE"""),46045.6666666666)</f>
        <v/>
      </c>
      <c r="K126" s="513">
        <f>IFERROR(__xludf.DUMMYFUNCTION("""COMPUTED_VALUE"""),84.56)</f>
        <v/>
      </c>
      <c r="M126" s="512">
        <f>IFERROR(__xludf.DUMMYFUNCTION("""COMPUTED_VALUE"""),46045.6666666666)</f>
        <v/>
      </c>
      <c r="N126" s="513">
        <f>IFERROR(__xludf.DUMMYFUNCTION("""COMPUTED_VALUE"""),264.81)</f>
        <v/>
      </c>
      <c r="P126" s="512">
        <f>IFERROR(__xludf.DUMMYFUNCTION("""COMPUTED_VALUE"""),46045.6666666666)</f>
        <v/>
      </c>
      <c r="Q126" s="513">
        <f>IFERROR(__xludf.DUMMYFUNCTION("""COMPUTED_VALUE"""),86.93)</f>
        <v/>
      </c>
      <c r="S126" s="512">
        <f>IFERROR(__xludf.DUMMYFUNCTION("""COMPUTED_VALUE"""),45315.6666666666)</f>
        <v/>
      </c>
      <c r="T126" s="513">
        <f>IFERROR(__xludf.DUMMYFUNCTION("""COMPUTED_VALUE"""),194.5)</f>
        <v/>
      </c>
      <c r="V126" s="512">
        <f>IFERROR(__xludf.DUMMYFUNCTION("""COMPUTED_VALUE"""),46045.6666666666)</f>
        <v/>
      </c>
      <c r="W126" s="513">
        <f>IFERROR(__xludf.DUMMYFUNCTION("""COMPUTED_VALUE"""),24.18)</f>
        <v/>
      </c>
      <c r="Y126" s="512">
        <f>IFERROR(__xludf.DUMMYFUNCTION("""COMPUTED_VALUE"""),46045.6666666666)</f>
        <v/>
      </c>
      <c r="Z126" s="513">
        <f>IFERROR(__xludf.DUMMYFUNCTION("""COMPUTED_VALUE"""),74.25)</f>
        <v/>
      </c>
      <c r="AB126" s="512">
        <f>IFERROR(__xludf.DUMMYFUNCTION("""COMPUTED_VALUE"""),46045.6666666666)</f>
        <v/>
      </c>
      <c r="AC126" s="513">
        <f>IFERROR(__xludf.DUMMYFUNCTION("""COMPUTED_VALUE"""),56.77)</f>
        <v/>
      </c>
      <c r="AE126" s="512">
        <f>IFERROR(__xludf.DUMMYFUNCTION("""COMPUTED_VALUE"""),46045.6666666666)</f>
        <v/>
      </c>
      <c r="AF126" s="513">
        <f>IFERROR(__xludf.DUMMYFUNCTION("""COMPUTED_VALUE"""),96.72)</f>
        <v/>
      </c>
      <c r="AH126" s="512">
        <f>IFERROR(__xludf.DUMMYFUNCTION("""COMPUTED_VALUE"""),46045.6666666666)</f>
        <v/>
      </c>
      <c r="AI126" s="513">
        <f>IFERROR(__xludf.DUMMYFUNCTION("""COMPUTED_VALUE"""),22.64)</f>
        <v/>
      </c>
      <c r="AK126" s="512">
        <f>IFERROR(__xludf.DUMMYFUNCTION("""COMPUTED_VALUE"""),46045.6666666666)</f>
        <v/>
      </c>
      <c r="AL126" s="513">
        <f>IFERROR(__xludf.DUMMYFUNCTION("""COMPUTED_VALUE"""),81.14)</f>
        <v/>
      </c>
      <c r="AN126" s="512">
        <f>IFERROR(__xludf.DUMMYFUNCTION("""COMPUTED_VALUE"""),46045.6666666666)</f>
        <v/>
      </c>
      <c r="AO126" s="513">
        <f>IFERROR(__xludf.DUMMYFUNCTION("""COMPUTED_VALUE"""),110.23)</f>
        <v/>
      </c>
      <c r="AQ126" s="512">
        <f>IFERROR(__xludf.DUMMYFUNCTION("""COMPUTED_VALUE"""),46045.6666666666)</f>
        <v/>
      </c>
      <c r="AR126" s="513">
        <f>IFERROR(__xludf.DUMMYFUNCTION("""COMPUTED_VALUE"""),99.97)</f>
        <v/>
      </c>
      <c r="AT126" s="512">
        <f>IFERROR(__xludf.DUMMYFUNCTION("""COMPUTED_VALUE"""),46045.6666666666)</f>
        <v/>
      </c>
      <c r="AU126" s="513">
        <f>IFERROR(__xludf.DUMMYFUNCTION("""COMPUTED_VALUE"""),59.07)</f>
        <v/>
      </c>
      <c r="AW126" s="512">
        <f>IFERROR(__xludf.DUMMYFUNCTION("""COMPUTED_VALUE"""),46045.6666666666)</f>
        <v/>
      </c>
      <c r="AX126" s="513">
        <f>IFERROR(__xludf.DUMMYFUNCTION("""COMPUTED_VALUE"""),100.11)</f>
        <v/>
      </c>
      <c r="AZ126" s="512">
        <f>IFERROR(__xludf.DUMMYFUNCTION("""COMPUTED_VALUE"""),46045.6666666666)</f>
        <v/>
      </c>
      <c r="BA126" s="513">
        <f>IFERROR(__xludf.DUMMYFUNCTION("""COMPUTED_VALUE"""),110.84)</f>
        <v/>
      </c>
      <c r="BC126" s="512">
        <f>IFERROR(__xludf.DUMMYFUNCTION("""COMPUTED_VALUE"""),46045.6666666666)</f>
        <v/>
      </c>
      <c r="BD126" s="513">
        <f>IFERROR(__xludf.DUMMYFUNCTION("""COMPUTED_VALUE"""),95.95)</f>
        <v/>
      </c>
      <c r="BF126" s="512">
        <f>IFERROR(__xludf.DUMMYFUNCTION("""COMPUTED_VALUE"""),46045.6666666666)</f>
        <v/>
      </c>
      <c r="BG126" s="513">
        <f>IFERROR(__xludf.DUMMYFUNCTION("""COMPUTED_VALUE"""),82.84)</f>
        <v/>
      </c>
      <c r="BI126" s="512">
        <f>IFERROR(__xludf.DUMMYFUNCTION("""COMPUTED_VALUE"""),46045.6666666666)</f>
        <v/>
      </c>
      <c r="BJ126" s="513">
        <f>IFERROR(__xludf.DUMMYFUNCTION("""COMPUTED_VALUE"""),87.93)</f>
        <v/>
      </c>
      <c r="BL126" s="512">
        <f>IFERROR(__xludf.DUMMYFUNCTION("""COMPUTED_VALUE"""),46045.6666666666)</f>
        <v/>
      </c>
      <c r="BM126" s="513">
        <f>IFERROR(__xludf.DUMMYFUNCTION("""COMPUTED_VALUE"""),458)</f>
        <v/>
      </c>
      <c r="BO126" s="512">
        <f>IFERROR(__xludf.DUMMYFUNCTION("""COMPUTED_VALUE"""),46045.6666666666)</f>
        <v/>
      </c>
      <c r="BP126" s="513">
        <f>IFERROR(__xludf.DUMMYFUNCTION("""COMPUTED_VALUE"""),91.59)</f>
        <v/>
      </c>
    </row>
    <row r="127">
      <c r="A127" s="512">
        <f>IFERROR(__xludf.DUMMYFUNCTION("""COMPUTED_VALUE"""),46048.6666666666)</f>
        <v/>
      </c>
      <c r="B127" s="513">
        <f>IFERROR(__xludf.DUMMYFUNCTION("""COMPUTED_VALUE"""),692.73)</f>
        <v/>
      </c>
      <c r="D127" s="512">
        <f>IFERROR(__xludf.DUMMYFUNCTION("""COMPUTED_VALUE"""),46048.6666666666)</f>
        <v/>
      </c>
      <c r="E127" s="513">
        <f>IFERROR(__xludf.DUMMYFUNCTION("""COMPUTED_VALUE"""),90.42)</f>
        <v/>
      </c>
      <c r="G127" s="512">
        <f>IFERROR(__xludf.DUMMYFUNCTION("""COMPUTED_VALUE"""),46232.6666666666)</f>
        <v/>
      </c>
      <c r="H127" s="513">
        <f>IFERROR(__xludf.DUMMYFUNCTION("""COMPUTED_VALUE"""),68.95)</f>
        <v/>
      </c>
      <c r="J127" s="512">
        <f>IFERROR(__xludf.DUMMYFUNCTION("""COMPUTED_VALUE"""),46048.6666666666)</f>
        <v/>
      </c>
      <c r="K127" s="513">
        <f>IFERROR(__xludf.DUMMYFUNCTION("""COMPUTED_VALUE"""),84.63)</f>
        <v/>
      </c>
      <c r="M127" s="512">
        <f>IFERROR(__xludf.DUMMYFUNCTION("""COMPUTED_VALUE"""),46048.6666666666)</f>
        <v/>
      </c>
      <c r="N127" s="513">
        <f>IFERROR(__xludf.DUMMYFUNCTION("""COMPUTED_VALUE"""),263.98)</f>
        <v/>
      </c>
      <c r="P127" s="512">
        <f>IFERROR(__xludf.DUMMYFUNCTION("""COMPUTED_VALUE"""),46048.6666666666)</f>
        <v/>
      </c>
      <c r="Q127" s="513">
        <f>IFERROR(__xludf.DUMMYFUNCTION("""COMPUTED_VALUE"""),87.51)</f>
        <v/>
      </c>
      <c r="S127" s="512">
        <f>IFERROR(__xludf.DUMMYFUNCTION("""COMPUTED_VALUE"""),45316.6666666666)</f>
        <v/>
      </c>
      <c r="T127" s="513">
        <f>IFERROR(__xludf.DUMMYFUNCTION("""COMPUTED_VALUE"""),194.17)</f>
        <v/>
      </c>
      <c r="V127" s="512">
        <f>IFERROR(__xludf.DUMMYFUNCTION("""COMPUTED_VALUE"""),46048.6666666666)</f>
        <v/>
      </c>
      <c r="W127" s="513">
        <f>IFERROR(__xludf.DUMMYFUNCTION("""COMPUTED_VALUE"""),24.29)</f>
        <v/>
      </c>
      <c r="Y127" s="512">
        <f>IFERROR(__xludf.DUMMYFUNCTION("""COMPUTED_VALUE"""),46048.6666666666)</f>
        <v/>
      </c>
      <c r="Z127" s="513">
        <f>IFERROR(__xludf.DUMMYFUNCTION("""COMPUTED_VALUE"""),74.34)</f>
        <v/>
      </c>
      <c r="AB127" s="512">
        <f>IFERROR(__xludf.DUMMYFUNCTION("""COMPUTED_VALUE"""),46048.6666666666)</f>
        <v/>
      </c>
      <c r="AC127" s="513">
        <f>IFERROR(__xludf.DUMMYFUNCTION("""COMPUTED_VALUE"""),56.93)</f>
        <v/>
      </c>
      <c r="AE127" s="512">
        <f>IFERROR(__xludf.DUMMYFUNCTION("""COMPUTED_VALUE"""),46048.6666666666)</f>
        <v/>
      </c>
      <c r="AF127" s="513">
        <f>IFERROR(__xludf.DUMMYFUNCTION("""COMPUTED_VALUE"""),96.82)</f>
        <v/>
      </c>
      <c r="AH127" s="512">
        <f>IFERROR(__xludf.DUMMYFUNCTION("""COMPUTED_VALUE"""),46048.6666666666)</f>
        <v/>
      </c>
      <c r="AI127" s="513">
        <f>IFERROR(__xludf.DUMMYFUNCTION("""COMPUTED_VALUE"""),22.81)</f>
        <v/>
      </c>
      <c r="AK127" s="512">
        <f>IFERROR(__xludf.DUMMYFUNCTION("""COMPUTED_VALUE"""),46048.6666666666)</f>
        <v/>
      </c>
      <c r="AL127" s="513">
        <f>IFERROR(__xludf.DUMMYFUNCTION("""COMPUTED_VALUE"""),81.18)</f>
        <v/>
      </c>
      <c r="AN127" s="512">
        <f>IFERROR(__xludf.DUMMYFUNCTION("""COMPUTED_VALUE"""),46048.6666666666)</f>
        <v/>
      </c>
      <c r="AO127" s="513">
        <f>IFERROR(__xludf.DUMMYFUNCTION("""COMPUTED_VALUE"""),110.38)</f>
        <v/>
      </c>
      <c r="AQ127" s="512">
        <f>IFERROR(__xludf.DUMMYFUNCTION("""COMPUTED_VALUE"""),46048.6666666666)</f>
        <v/>
      </c>
      <c r="AR127" s="513">
        <f>IFERROR(__xludf.DUMMYFUNCTION("""COMPUTED_VALUE"""),100.47)</f>
        <v/>
      </c>
      <c r="AT127" s="512">
        <f>IFERROR(__xludf.DUMMYFUNCTION("""COMPUTED_VALUE"""),46048.6666666666)</f>
        <v/>
      </c>
      <c r="AU127" s="513">
        <f>IFERROR(__xludf.DUMMYFUNCTION("""COMPUTED_VALUE"""),59.17)</f>
        <v/>
      </c>
      <c r="AW127" s="512">
        <f>IFERROR(__xludf.DUMMYFUNCTION("""COMPUTED_VALUE"""),46048.6666666666)</f>
        <v/>
      </c>
      <c r="AX127" s="513">
        <f>IFERROR(__xludf.DUMMYFUNCTION("""COMPUTED_VALUE"""),100.26)</f>
        <v/>
      </c>
      <c r="AZ127" s="512">
        <f>IFERROR(__xludf.DUMMYFUNCTION("""COMPUTED_VALUE"""),46048.6666666666)</f>
        <v/>
      </c>
      <c r="BA127" s="513">
        <f>IFERROR(__xludf.DUMMYFUNCTION("""COMPUTED_VALUE"""),110.93)</f>
        <v/>
      </c>
      <c r="BC127" s="512">
        <f>IFERROR(__xludf.DUMMYFUNCTION("""COMPUTED_VALUE"""),46048.6666666666)</f>
        <v/>
      </c>
      <c r="BD127" s="513">
        <f>IFERROR(__xludf.DUMMYFUNCTION("""COMPUTED_VALUE"""),96.09)</f>
        <v/>
      </c>
      <c r="BF127" s="512">
        <f>IFERROR(__xludf.DUMMYFUNCTION("""COMPUTED_VALUE"""),46048.6666666666)</f>
        <v/>
      </c>
      <c r="BG127" s="513">
        <f>IFERROR(__xludf.DUMMYFUNCTION("""COMPUTED_VALUE"""),82.87)</f>
        <v/>
      </c>
      <c r="BI127" s="512">
        <f>IFERROR(__xludf.DUMMYFUNCTION("""COMPUTED_VALUE"""),46048.6666666666)</f>
        <v/>
      </c>
      <c r="BJ127" s="513">
        <f>IFERROR(__xludf.DUMMYFUNCTION("""COMPUTED_VALUE"""),88.35)</f>
        <v/>
      </c>
      <c r="BL127" s="512">
        <f>IFERROR(__xludf.DUMMYFUNCTION("""COMPUTED_VALUE"""),46048.6666666666)</f>
        <v/>
      </c>
      <c r="BM127" s="513">
        <f>IFERROR(__xludf.DUMMYFUNCTION("""COMPUTED_VALUE"""),464.7)</f>
        <v/>
      </c>
      <c r="BO127" s="512">
        <f>IFERROR(__xludf.DUMMYFUNCTION("""COMPUTED_VALUE"""),46048.6666666666)</f>
        <v/>
      </c>
      <c r="BP127" s="513">
        <f>IFERROR(__xludf.DUMMYFUNCTION("""COMPUTED_VALUE"""),91.59)</f>
        <v/>
      </c>
    </row>
    <row r="128">
      <c r="A128" s="512">
        <f>IFERROR(__xludf.DUMMYFUNCTION("""COMPUTED_VALUE"""),46049.6666666666)</f>
        <v/>
      </c>
      <c r="B128" s="513">
        <f>IFERROR(__xludf.DUMMYFUNCTION("""COMPUTED_VALUE"""),695.49)</f>
        <v/>
      </c>
      <c r="D128" s="512">
        <f>IFERROR(__xludf.DUMMYFUNCTION("""COMPUTED_VALUE"""),46049.6666666666)</f>
        <v/>
      </c>
      <c r="E128" s="513">
        <f>IFERROR(__xludf.DUMMYFUNCTION("""COMPUTED_VALUE"""),90.39)</f>
        <v/>
      </c>
      <c r="G128" s="512" t="n"/>
      <c r="H128" s="513" t="n"/>
      <c r="J128" s="512">
        <f>IFERROR(__xludf.DUMMYFUNCTION("""COMPUTED_VALUE"""),46049.6666666666)</f>
        <v/>
      </c>
      <c r="K128" s="513">
        <f>IFERROR(__xludf.DUMMYFUNCTION("""COMPUTED_VALUE"""),85.84)</f>
        <v/>
      </c>
      <c r="M128" s="512">
        <f>IFERROR(__xludf.DUMMYFUNCTION("""COMPUTED_VALUE"""),46049.6666666666)</f>
        <v/>
      </c>
      <c r="N128" s="513">
        <f>IFERROR(__xludf.DUMMYFUNCTION("""COMPUTED_VALUE"""),264.73)</f>
        <v/>
      </c>
      <c r="P128" s="512">
        <f>IFERROR(__xludf.DUMMYFUNCTION("""COMPUTED_VALUE"""),46049.6666666666)</f>
        <v/>
      </c>
      <c r="Q128" s="513">
        <f>IFERROR(__xludf.DUMMYFUNCTION("""COMPUTED_VALUE"""),88.91)</f>
        <v/>
      </c>
      <c r="S128" s="512">
        <f>IFERROR(__xludf.DUMMYFUNCTION("""COMPUTED_VALUE"""),45317.6666666666)</f>
        <v/>
      </c>
      <c r="T128" s="513">
        <f>IFERROR(__xludf.DUMMYFUNCTION("""COMPUTED_VALUE"""),192.42)</f>
        <v/>
      </c>
      <c r="V128" s="512">
        <f>IFERROR(__xludf.DUMMYFUNCTION("""COMPUTED_VALUE"""),46049.6666666666)</f>
        <v/>
      </c>
      <c r="W128" s="513">
        <f>IFERROR(__xludf.DUMMYFUNCTION("""COMPUTED_VALUE"""),24.62)</f>
        <v/>
      </c>
      <c r="Y128" s="512">
        <f>IFERROR(__xludf.DUMMYFUNCTION("""COMPUTED_VALUE"""),46049.6666666666)</f>
        <v/>
      </c>
      <c r="Z128" s="513">
        <f>IFERROR(__xludf.DUMMYFUNCTION("""COMPUTED_VALUE"""),74.28)</f>
        <v/>
      </c>
      <c r="AB128" s="512">
        <f>IFERROR(__xludf.DUMMYFUNCTION("""COMPUTED_VALUE"""),46049.6666666666)</f>
        <v/>
      </c>
      <c r="AC128" s="513">
        <f>IFERROR(__xludf.DUMMYFUNCTION("""COMPUTED_VALUE"""),57.64)</f>
        <v/>
      </c>
      <c r="AE128" s="512">
        <f>IFERROR(__xludf.DUMMYFUNCTION("""COMPUTED_VALUE"""),46049.6666666666)</f>
        <v/>
      </c>
      <c r="AF128" s="513">
        <f>IFERROR(__xludf.DUMMYFUNCTION("""COMPUTED_VALUE"""),96.78)</f>
        <v/>
      </c>
      <c r="AH128" s="512">
        <f>IFERROR(__xludf.DUMMYFUNCTION("""COMPUTED_VALUE"""),46049.6666666666)</f>
        <v/>
      </c>
      <c r="AI128" s="513">
        <f>IFERROR(__xludf.DUMMYFUNCTION("""COMPUTED_VALUE"""),23.04)</f>
        <v/>
      </c>
      <c r="AK128" s="512">
        <f>IFERROR(__xludf.DUMMYFUNCTION("""COMPUTED_VALUE"""),46049.6666666666)</f>
        <v/>
      </c>
      <c r="AL128" s="513">
        <f>IFERROR(__xludf.DUMMYFUNCTION("""COMPUTED_VALUE"""),81.17)</f>
        <v/>
      </c>
      <c r="AN128" s="512">
        <f>IFERROR(__xludf.DUMMYFUNCTION("""COMPUTED_VALUE"""),46049.6666666666)</f>
        <v/>
      </c>
      <c r="AO128" s="513">
        <f>IFERROR(__xludf.DUMMYFUNCTION("""COMPUTED_VALUE"""),110.39)</f>
        <v/>
      </c>
      <c r="AQ128" s="512">
        <f>IFERROR(__xludf.DUMMYFUNCTION("""COMPUTED_VALUE"""),46049.6666666666)</f>
        <v/>
      </c>
      <c r="AR128" s="513">
        <f>IFERROR(__xludf.DUMMYFUNCTION("""COMPUTED_VALUE"""),102.09)</f>
        <v/>
      </c>
      <c r="AT128" s="512">
        <f>IFERROR(__xludf.DUMMYFUNCTION("""COMPUTED_VALUE"""),46049.6666666666)</f>
        <v/>
      </c>
      <c r="AU128" s="513">
        <f>IFERROR(__xludf.DUMMYFUNCTION("""COMPUTED_VALUE"""),60.34)</f>
        <v/>
      </c>
      <c r="AW128" s="512">
        <f>IFERROR(__xludf.DUMMYFUNCTION("""COMPUTED_VALUE"""),46049.6666666666)</f>
        <v/>
      </c>
      <c r="AX128" s="513">
        <f>IFERROR(__xludf.DUMMYFUNCTION("""COMPUTED_VALUE"""),100.19)</f>
        <v/>
      </c>
      <c r="AZ128" s="512">
        <f>IFERROR(__xludf.DUMMYFUNCTION("""COMPUTED_VALUE"""),46049.6666666666)</f>
        <v/>
      </c>
      <c r="BA128" s="513">
        <f>IFERROR(__xludf.DUMMYFUNCTION("""COMPUTED_VALUE"""),110.81)</f>
        <v/>
      </c>
      <c r="BC128" s="512">
        <f>IFERROR(__xludf.DUMMYFUNCTION("""COMPUTED_VALUE"""),46049.6666666666)</f>
        <v/>
      </c>
      <c r="BD128" s="513">
        <f>IFERROR(__xludf.DUMMYFUNCTION("""COMPUTED_VALUE"""),95.98)</f>
        <v/>
      </c>
      <c r="BF128" s="512">
        <f>IFERROR(__xludf.DUMMYFUNCTION("""COMPUTED_VALUE"""),46049.6666666666)</f>
        <v/>
      </c>
      <c r="BG128" s="513">
        <f>IFERROR(__xludf.DUMMYFUNCTION("""COMPUTED_VALUE"""),82.89)</f>
        <v/>
      </c>
      <c r="BI128" s="512">
        <f>IFERROR(__xludf.DUMMYFUNCTION("""COMPUTED_VALUE"""),46049.6666666666)</f>
        <v/>
      </c>
      <c r="BJ128" s="513">
        <f>IFERROR(__xludf.DUMMYFUNCTION("""COMPUTED_VALUE"""),87.8)</f>
        <v/>
      </c>
      <c r="BL128" s="512">
        <f>IFERROR(__xludf.DUMMYFUNCTION("""COMPUTED_VALUE"""),46049.6666666666)</f>
        <v/>
      </c>
      <c r="BM128" s="513">
        <f>IFERROR(__xludf.DUMMYFUNCTION("""COMPUTED_VALUE"""),476.1)</f>
        <v/>
      </c>
      <c r="BO128" s="512">
        <f>IFERROR(__xludf.DUMMYFUNCTION("""COMPUTED_VALUE"""),46049.6666666666)</f>
        <v/>
      </c>
      <c r="BP128" s="513">
        <f>IFERROR(__xludf.DUMMYFUNCTION("""COMPUTED_VALUE"""),91.6)</f>
        <v/>
      </c>
    </row>
    <row r="129">
      <c r="A129" s="512">
        <f>IFERROR(__xludf.DUMMYFUNCTION("""COMPUTED_VALUE"""),46050.6666666666)</f>
        <v/>
      </c>
      <c r="B129" s="513">
        <f>IFERROR(__xludf.DUMMYFUNCTION("""COMPUTED_VALUE"""),695.42)</f>
        <v/>
      </c>
      <c r="D129" s="512">
        <f>IFERROR(__xludf.DUMMYFUNCTION("""COMPUTED_VALUE"""),46050.6666666666)</f>
        <v/>
      </c>
      <c r="E129" s="513">
        <f>IFERROR(__xludf.DUMMYFUNCTION("""COMPUTED_VALUE"""),89.46)</f>
        <v/>
      </c>
      <c r="G129" s="512" t="n"/>
      <c r="H129" s="513" t="n"/>
      <c r="J129" s="512">
        <f>IFERROR(__xludf.DUMMYFUNCTION("""COMPUTED_VALUE"""),46050.6666666666)</f>
        <v/>
      </c>
      <c r="K129" s="513">
        <f>IFERROR(__xludf.DUMMYFUNCTION("""COMPUTED_VALUE"""),85.21)</f>
        <v/>
      </c>
      <c r="M129" s="512">
        <f>IFERROR(__xludf.DUMMYFUNCTION("""COMPUTED_VALUE"""),46050.6666666666)</f>
        <v/>
      </c>
      <c r="N129" s="513">
        <f>IFERROR(__xludf.DUMMYFUNCTION("""COMPUTED_VALUE"""),263.3)</f>
        <v/>
      </c>
      <c r="P129" s="512">
        <f>IFERROR(__xludf.DUMMYFUNCTION("""COMPUTED_VALUE"""),46050.6666666666)</f>
        <v/>
      </c>
      <c r="Q129" s="513">
        <f>IFERROR(__xludf.DUMMYFUNCTION("""COMPUTED_VALUE"""),87.85)</f>
        <v/>
      </c>
      <c r="S129" s="512">
        <f>IFERROR(__xludf.DUMMYFUNCTION("""COMPUTED_VALUE"""),45320.6666666666)</f>
        <v/>
      </c>
      <c r="T129" s="513">
        <f>IFERROR(__xludf.DUMMYFUNCTION("""COMPUTED_VALUE"""),191.73)</f>
        <v/>
      </c>
      <c r="V129" s="512">
        <f>IFERROR(__xludf.DUMMYFUNCTION("""COMPUTED_VALUE"""),46050.6666666666)</f>
        <v/>
      </c>
      <c r="W129" s="513">
        <f>IFERROR(__xludf.DUMMYFUNCTION("""COMPUTED_VALUE"""),24.94)</f>
        <v/>
      </c>
      <c r="Y129" s="512">
        <f>IFERROR(__xludf.DUMMYFUNCTION("""COMPUTED_VALUE"""),46050.6666666666)</f>
        <v/>
      </c>
      <c r="Z129" s="513">
        <f>IFERROR(__xludf.DUMMYFUNCTION("""COMPUTED_VALUE"""),74.25)</f>
        <v/>
      </c>
      <c r="AB129" s="512">
        <f>IFERROR(__xludf.DUMMYFUNCTION("""COMPUTED_VALUE"""),46050.6666666666)</f>
        <v/>
      </c>
      <c r="AC129" s="513">
        <f>IFERROR(__xludf.DUMMYFUNCTION("""COMPUTED_VALUE"""),57.86)</f>
        <v/>
      </c>
      <c r="AE129" s="512">
        <f>IFERROR(__xludf.DUMMYFUNCTION("""COMPUTED_VALUE"""),46050.6666666666)</f>
        <v/>
      </c>
      <c r="AF129" s="513">
        <f>IFERROR(__xludf.DUMMYFUNCTION("""COMPUTED_VALUE"""),96.66)</f>
        <v/>
      </c>
      <c r="AH129" s="512">
        <f>IFERROR(__xludf.DUMMYFUNCTION("""COMPUTED_VALUE"""),46050.6666666666)</f>
        <v/>
      </c>
      <c r="AI129" s="513">
        <f>IFERROR(__xludf.DUMMYFUNCTION("""COMPUTED_VALUE"""),22.99)</f>
        <v/>
      </c>
      <c r="AK129" s="512">
        <f>IFERROR(__xludf.DUMMYFUNCTION("""COMPUTED_VALUE"""),46050.6666666666)</f>
        <v/>
      </c>
      <c r="AL129" s="513">
        <f>IFERROR(__xludf.DUMMYFUNCTION("""COMPUTED_VALUE"""),81.04)</f>
        <v/>
      </c>
      <c r="AN129" s="512">
        <f>IFERROR(__xludf.DUMMYFUNCTION("""COMPUTED_VALUE"""),46050.6666666666)</f>
        <v/>
      </c>
      <c r="AO129" s="513">
        <f>IFERROR(__xludf.DUMMYFUNCTION("""COMPUTED_VALUE"""),110.44)</f>
        <v/>
      </c>
      <c r="AQ129" s="512">
        <f>IFERROR(__xludf.DUMMYFUNCTION("""COMPUTED_VALUE"""),46050.6666666666)</f>
        <v/>
      </c>
      <c r="AR129" s="513">
        <f>IFERROR(__xludf.DUMMYFUNCTION("""COMPUTED_VALUE"""),101.01)</f>
        <v/>
      </c>
      <c r="AT129" s="512">
        <f>IFERROR(__xludf.DUMMYFUNCTION("""COMPUTED_VALUE"""),46050.6666666666)</f>
        <v/>
      </c>
      <c r="AU129" s="513">
        <f>IFERROR(__xludf.DUMMYFUNCTION("""COMPUTED_VALUE"""),60.75)</f>
        <v/>
      </c>
      <c r="AW129" s="512">
        <f>IFERROR(__xludf.DUMMYFUNCTION("""COMPUTED_VALUE"""),46050.6666666666)</f>
        <v/>
      </c>
      <c r="AX129" s="513">
        <f>IFERROR(__xludf.DUMMYFUNCTION("""COMPUTED_VALUE"""),100.15)</f>
        <v/>
      </c>
      <c r="AZ129" s="512">
        <f>IFERROR(__xludf.DUMMYFUNCTION("""COMPUTED_VALUE"""),46050.6666666666)</f>
        <v/>
      </c>
      <c r="BA129" s="513">
        <f>IFERROR(__xludf.DUMMYFUNCTION("""COMPUTED_VALUE"""),110.65)</f>
        <v/>
      </c>
      <c r="BC129" s="512">
        <f>IFERROR(__xludf.DUMMYFUNCTION("""COMPUTED_VALUE"""),46050.6666666666)</f>
        <v/>
      </c>
      <c r="BD129" s="513">
        <f>IFERROR(__xludf.DUMMYFUNCTION("""COMPUTED_VALUE"""),95.9)</f>
        <v/>
      </c>
      <c r="BF129" s="512">
        <f>IFERROR(__xludf.DUMMYFUNCTION("""COMPUTED_VALUE"""),46050.6666666666)</f>
        <v/>
      </c>
      <c r="BG129" s="513">
        <f>IFERROR(__xludf.DUMMYFUNCTION("""COMPUTED_VALUE"""),82.89)</f>
        <v/>
      </c>
      <c r="BI129" s="512">
        <f>IFERROR(__xludf.DUMMYFUNCTION("""COMPUTED_VALUE"""),46050.6666666666)</f>
        <v/>
      </c>
      <c r="BJ129" s="513">
        <f>IFERROR(__xludf.DUMMYFUNCTION("""COMPUTED_VALUE"""),87.6)</f>
        <v/>
      </c>
      <c r="BL129" s="512">
        <f>IFERROR(__xludf.DUMMYFUNCTION("""COMPUTED_VALUE"""),46050.6666666666)</f>
        <v/>
      </c>
      <c r="BM129" s="513">
        <f>IFERROR(__xludf.DUMMYFUNCTION("""COMPUTED_VALUE"""),494.56)</f>
        <v/>
      </c>
      <c r="BO129" s="512">
        <f>IFERROR(__xludf.DUMMYFUNCTION("""COMPUTED_VALUE"""),46050.6666666666)</f>
        <v/>
      </c>
      <c r="BP129" s="513">
        <f>IFERROR(__xludf.DUMMYFUNCTION("""COMPUTED_VALUE"""),91.61)</f>
        <v/>
      </c>
    </row>
    <row r="130">
      <c r="A130" s="512">
        <f>IFERROR(__xludf.DUMMYFUNCTION("""COMPUTED_VALUE"""),46051.6666666666)</f>
        <v/>
      </c>
      <c r="B130" s="513">
        <f>IFERROR(__xludf.DUMMYFUNCTION("""COMPUTED_VALUE"""),694.04)</f>
        <v/>
      </c>
      <c r="D130" s="512">
        <f>IFERROR(__xludf.DUMMYFUNCTION("""COMPUTED_VALUE"""),46051.6666666666)</f>
        <v/>
      </c>
      <c r="E130" s="513">
        <f>IFERROR(__xludf.DUMMYFUNCTION("""COMPUTED_VALUE"""),90.71)</f>
        <v/>
      </c>
      <c r="G130" s="512" t="n"/>
      <c r="H130" s="513" t="n"/>
      <c r="J130" s="512">
        <f>IFERROR(__xludf.DUMMYFUNCTION("""COMPUTED_VALUE"""),46051.6666666666)</f>
        <v/>
      </c>
      <c r="K130" s="513">
        <f>IFERROR(__xludf.DUMMYFUNCTION("""COMPUTED_VALUE"""),86.09)</f>
        <v/>
      </c>
      <c r="M130" s="512">
        <f>IFERROR(__xludf.DUMMYFUNCTION("""COMPUTED_VALUE"""),46051.6666666666)</f>
        <v/>
      </c>
      <c r="N130" s="513">
        <f>IFERROR(__xludf.DUMMYFUNCTION("""COMPUTED_VALUE"""),263.37)</f>
        <v/>
      </c>
      <c r="P130" s="512">
        <f>IFERROR(__xludf.DUMMYFUNCTION("""COMPUTED_VALUE"""),46051.6666666666)</f>
        <v/>
      </c>
      <c r="Q130" s="513">
        <f>IFERROR(__xludf.DUMMYFUNCTION("""COMPUTED_VALUE"""),88.32)</f>
        <v/>
      </c>
      <c r="S130" s="512">
        <f>IFERROR(__xludf.DUMMYFUNCTION("""COMPUTED_VALUE"""),45321.6666666666)</f>
        <v/>
      </c>
      <c r="T130" s="513">
        <f>IFERROR(__xludf.DUMMYFUNCTION("""COMPUTED_VALUE"""),188.04)</f>
        <v/>
      </c>
      <c r="V130" s="512">
        <f>IFERROR(__xludf.DUMMYFUNCTION("""COMPUTED_VALUE"""),46051.6666666666)</f>
        <v/>
      </c>
      <c r="W130" s="513">
        <f>IFERROR(__xludf.DUMMYFUNCTION("""COMPUTED_VALUE"""),25.3)</f>
        <v/>
      </c>
      <c r="Y130" s="512">
        <f>IFERROR(__xludf.DUMMYFUNCTION("""COMPUTED_VALUE"""),46051.6666666666)</f>
        <v/>
      </c>
      <c r="Z130" s="513">
        <f>IFERROR(__xludf.DUMMYFUNCTION("""COMPUTED_VALUE"""),74.26)</f>
        <v/>
      </c>
      <c r="AB130" s="512">
        <f>IFERROR(__xludf.DUMMYFUNCTION("""COMPUTED_VALUE"""),46051.6666666666)</f>
        <v/>
      </c>
      <c r="AC130" s="513">
        <f>IFERROR(__xludf.DUMMYFUNCTION("""COMPUTED_VALUE"""),57.64)</f>
        <v/>
      </c>
      <c r="AE130" s="512">
        <f>IFERROR(__xludf.DUMMYFUNCTION("""COMPUTED_VALUE"""),46051.6666666666)</f>
        <v/>
      </c>
      <c r="AF130" s="513">
        <f>IFERROR(__xludf.DUMMYFUNCTION("""COMPUTED_VALUE"""),96.67)</f>
        <v/>
      </c>
      <c r="AH130" s="512">
        <f>IFERROR(__xludf.DUMMYFUNCTION("""COMPUTED_VALUE"""),46051.6666666666)</f>
        <v/>
      </c>
      <c r="AI130" s="513">
        <f>IFERROR(__xludf.DUMMYFUNCTION("""COMPUTED_VALUE"""),22.99)</f>
        <v/>
      </c>
      <c r="AK130" s="512">
        <f>IFERROR(__xludf.DUMMYFUNCTION("""COMPUTED_VALUE"""),46051.6666666666)</f>
        <v/>
      </c>
      <c r="AL130" s="513">
        <f>IFERROR(__xludf.DUMMYFUNCTION("""COMPUTED_VALUE"""),81.03)</f>
        <v/>
      </c>
      <c r="AN130" s="512">
        <f>IFERROR(__xludf.DUMMYFUNCTION("""COMPUTED_VALUE"""),46051.6666666666)</f>
        <v/>
      </c>
      <c r="AO130" s="513">
        <f>IFERROR(__xludf.DUMMYFUNCTION("""COMPUTED_VALUE"""),110.52)</f>
        <v/>
      </c>
      <c r="AQ130" s="512">
        <f>IFERROR(__xludf.DUMMYFUNCTION("""COMPUTED_VALUE"""),46051.6666666666)</f>
        <v/>
      </c>
      <c r="AR130" s="513">
        <f>IFERROR(__xludf.DUMMYFUNCTION("""COMPUTED_VALUE"""),101.69)</f>
        <v/>
      </c>
      <c r="AT130" s="512">
        <f>IFERROR(__xludf.DUMMYFUNCTION("""COMPUTED_VALUE"""),46051.6666666666)</f>
        <v/>
      </c>
      <c r="AU130" s="513">
        <f>IFERROR(__xludf.DUMMYFUNCTION("""COMPUTED_VALUE"""),60.44)</f>
        <v/>
      </c>
      <c r="AW130" s="512">
        <f>IFERROR(__xludf.DUMMYFUNCTION("""COMPUTED_VALUE"""),46051.6666666666)</f>
        <v/>
      </c>
      <c r="AX130" s="513">
        <f>IFERROR(__xludf.DUMMYFUNCTION("""COMPUTED_VALUE"""),100.15)</f>
        <v/>
      </c>
      <c r="AZ130" s="512">
        <f>IFERROR(__xludf.DUMMYFUNCTION("""COMPUTED_VALUE"""),46051.6666666666)</f>
        <v/>
      </c>
      <c r="BA130" s="513">
        <f>IFERROR(__xludf.DUMMYFUNCTION("""COMPUTED_VALUE"""),110.68)</f>
        <v/>
      </c>
      <c r="BC130" s="512">
        <f>IFERROR(__xludf.DUMMYFUNCTION("""COMPUTED_VALUE"""),46051.6666666666)</f>
        <v/>
      </c>
      <c r="BD130" s="513">
        <f>IFERROR(__xludf.DUMMYFUNCTION("""COMPUTED_VALUE"""),96)</f>
        <v/>
      </c>
      <c r="BF130" s="512">
        <f>IFERROR(__xludf.DUMMYFUNCTION("""COMPUTED_VALUE"""),46051.6666666666)</f>
        <v/>
      </c>
      <c r="BG130" s="513">
        <f>IFERROR(__xludf.DUMMYFUNCTION("""COMPUTED_VALUE"""),82.92)</f>
        <v/>
      </c>
      <c r="BI130" s="512">
        <f>IFERROR(__xludf.DUMMYFUNCTION("""COMPUTED_VALUE"""),46051.6666666666)</f>
        <v/>
      </c>
      <c r="BJ130" s="513">
        <f>IFERROR(__xludf.DUMMYFUNCTION("""COMPUTED_VALUE"""),87.62)</f>
        <v/>
      </c>
      <c r="BL130" s="512">
        <f>IFERROR(__xludf.DUMMYFUNCTION("""COMPUTED_VALUE"""),46051.6666666666)</f>
        <v/>
      </c>
      <c r="BM130" s="513">
        <f>IFERROR(__xludf.DUMMYFUNCTION("""COMPUTED_VALUE"""),495.9)</f>
        <v/>
      </c>
      <c r="BO130" s="512">
        <f>IFERROR(__xludf.DUMMYFUNCTION("""COMPUTED_VALUE"""),46051.6666666666)</f>
        <v/>
      </c>
      <c r="BP130" s="513">
        <f>IFERROR(__xludf.DUMMYFUNCTION("""COMPUTED_VALUE"""),91.63)</f>
        <v/>
      </c>
    </row>
    <row r="131">
      <c r="A131" s="512">
        <f>IFERROR(__xludf.DUMMYFUNCTION("""COMPUTED_VALUE"""),46052.6666666666)</f>
        <v/>
      </c>
      <c r="B131" s="513">
        <f>IFERROR(__xludf.DUMMYFUNCTION("""COMPUTED_VALUE"""),691.97)</f>
        <v/>
      </c>
      <c r="D131" s="512">
        <f>IFERROR(__xludf.DUMMYFUNCTION("""COMPUTED_VALUE"""),46052.6666666666)</f>
        <v/>
      </c>
      <c r="E131" s="513">
        <f>IFERROR(__xludf.DUMMYFUNCTION("""COMPUTED_VALUE"""),90.8)</f>
        <v/>
      </c>
      <c r="G131" s="512" t="n"/>
      <c r="H131" s="513" t="n"/>
      <c r="J131" s="512">
        <f>IFERROR(__xludf.DUMMYFUNCTION("""COMPUTED_VALUE"""),46052.6666666666)</f>
        <v/>
      </c>
      <c r="K131" s="513">
        <f>IFERROR(__xludf.DUMMYFUNCTION("""COMPUTED_VALUE"""),85.72)</f>
        <v/>
      </c>
      <c r="M131" s="512">
        <f>IFERROR(__xludf.DUMMYFUNCTION("""COMPUTED_VALUE"""),46052.6666666666)</f>
        <v/>
      </c>
      <c r="N131" s="513">
        <f>IFERROR(__xludf.DUMMYFUNCTION("""COMPUTED_VALUE"""),259.65)</f>
        <v/>
      </c>
      <c r="P131" s="512">
        <f>IFERROR(__xludf.DUMMYFUNCTION("""COMPUTED_VALUE"""),46052.6666666666)</f>
        <v/>
      </c>
      <c r="Q131" s="513">
        <f>IFERROR(__xludf.DUMMYFUNCTION("""COMPUTED_VALUE"""),87.5)</f>
        <v/>
      </c>
      <c r="S131" s="512">
        <f>IFERROR(__xludf.DUMMYFUNCTION("""COMPUTED_VALUE"""),45322.6666666666)</f>
        <v/>
      </c>
      <c r="T131" s="513">
        <f>IFERROR(__xludf.DUMMYFUNCTION("""COMPUTED_VALUE"""),184.4)</f>
        <v/>
      </c>
      <c r="V131" s="512">
        <f>IFERROR(__xludf.DUMMYFUNCTION("""COMPUTED_VALUE"""),46052.6666666666)</f>
        <v/>
      </c>
      <c r="W131" s="513">
        <f>IFERROR(__xludf.DUMMYFUNCTION("""COMPUTED_VALUE"""),24.43)</f>
        <v/>
      </c>
      <c r="Y131" s="512">
        <f>IFERROR(__xludf.DUMMYFUNCTION("""COMPUTED_VALUE"""),46052.6666666666)</f>
        <v/>
      </c>
      <c r="Z131" s="513">
        <f>IFERROR(__xludf.DUMMYFUNCTION("""COMPUTED_VALUE"""),74.23)</f>
        <v/>
      </c>
      <c r="AB131" s="512">
        <f>IFERROR(__xludf.DUMMYFUNCTION("""COMPUTED_VALUE"""),46052.6666666666)</f>
        <v/>
      </c>
      <c r="AC131" s="513">
        <f>IFERROR(__xludf.DUMMYFUNCTION("""COMPUTED_VALUE"""),56.47)</f>
        <v/>
      </c>
      <c r="AE131" s="512">
        <f>IFERROR(__xludf.DUMMYFUNCTION("""COMPUTED_VALUE"""),46052.6666666666)</f>
        <v/>
      </c>
      <c r="AF131" s="513">
        <f>IFERROR(__xludf.DUMMYFUNCTION("""COMPUTED_VALUE"""),96.58)</f>
        <v/>
      </c>
      <c r="AH131" s="512">
        <f>IFERROR(__xludf.DUMMYFUNCTION("""COMPUTED_VALUE"""),46052.6666666666)</f>
        <v/>
      </c>
      <c r="AI131" s="513">
        <f>IFERROR(__xludf.DUMMYFUNCTION("""COMPUTED_VALUE"""),22.84)</f>
        <v/>
      </c>
      <c r="AK131" s="512">
        <f>IFERROR(__xludf.DUMMYFUNCTION("""COMPUTED_VALUE"""),46052.6666666666)</f>
        <v/>
      </c>
      <c r="AL131" s="513">
        <f>IFERROR(__xludf.DUMMYFUNCTION("""COMPUTED_VALUE"""),81.12)</f>
        <v/>
      </c>
      <c r="AN131" s="512">
        <f>IFERROR(__xludf.DUMMYFUNCTION("""COMPUTED_VALUE"""),46052.6666666666)</f>
        <v/>
      </c>
      <c r="AO131" s="513">
        <f>IFERROR(__xludf.DUMMYFUNCTION("""COMPUTED_VALUE"""),110.48)</f>
        <v/>
      </c>
      <c r="AQ131" s="512">
        <f>IFERROR(__xludf.DUMMYFUNCTION("""COMPUTED_VALUE"""),46052.6666666666)</f>
        <v/>
      </c>
      <c r="AR131" s="513">
        <f>IFERROR(__xludf.DUMMYFUNCTION("""COMPUTED_VALUE"""),100.74)</f>
        <v/>
      </c>
      <c r="AT131" s="512">
        <f>IFERROR(__xludf.DUMMYFUNCTION("""COMPUTED_VALUE"""),46052.6666666666)</f>
        <v/>
      </c>
      <c r="AU131" s="513">
        <f>IFERROR(__xludf.DUMMYFUNCTION("""COMPUTED_VALUE"""),59.1)</f>
        <v/>
      </c>
      <c r="AW131" s="512">
        <f>IFERROR(__xludf.DUMMYFUNCTION("""COMPUTED_VALUE"""),46052.6666666666)</f>
        <v/>
      </c>
      <c r="AX131" s="513">
        <f>IFERROR(__xludf.DUMMYFUNCTION("""COMPUTED_VALUE"""),100.13)</f>
        <v/>
      </c>
      <c r="AZ131" s="512">
        <f>IFERROR(__xludf.DUMMYFUNCTION("""COMPUTED_VALUE"""),46052.6666666666)</f>
        <v/>
      </c>
      <c r="BA131" s="513">
        <f>IFERROR(__xludf.DUMMYFUNCTION("""COMPUTED_VALUE"""),110.57)</f>
        <v/>
      </c>
      <c r="BC131" s="512">
        <f>IFERROR(__xludf.DUMMYFUNCTION("""COMPUTED_VALUE"""),46052.6666666666)</f>
        <v/>
      </c>
      <c r="BD131" s="513">
        <f>IFERROR(__xludf.DUMMYFUNCTION("""COMPUTED_VALUE"""),95.94)</f>
        <v/>
      </c>
      <c r="BF131" s="512">
        <f>IFERROR(__xludf.DUMMYFUNCTION("""COMPUTED_VALUE"""),46052.6666666666)</f>
        <v/>
      </c>
      <c r="BG131" s="513">
        <f>IFERROR(__xludf.DUMMYFUNCTION("""COMPUTED_VALUE"""),82.99)</f>
        <v/>
      </c>
      <c r="BI131" s="512">
        <f>IFERROR(__xludf.DUMMYFUNCTION("""COMPUTED_VALUE"""),46052.6666666666)</f>
        <v/>
      </c>
      <c r="BJ131" s="513">
        <f>IFERROR(__xludf.DUMMYFUNCTION("""COMPUTED_VALUE"""),87.13)</f>
        <v/>
      </c>
      <c r="BL131" s="512">
        <f>IFERROR(__xludf.DUMMYFUNCTION("""COMPUTED_VALUE"""),46052.6666666666)</f>
        <v/>
      </c>
      <c r="BM131" s="513">
        <f>IFERROR(__xludf.DUMMYFUNCTION("""COMPUTED_VALUE"""),444.95)</f>
        <v/>
      </c>
      <c r="BO131" s="512">
        <f>IFERROR(__xludf.DUMMYFUNCTION("""COMPUTED_VALUE"""),46052.6666666666)</f>
        <v/>
      </c>
      <c r="BP131" s="513">
        <f>IFERROR(__xludf.DUMMYFUNCTION("""COMPUTED_VALUE"""),91.65)</f>
        <v/>
      </c>
    </row>
    <row r="132">
      <c r="A132" s="512">
        <f>IFERROR(__xludf.DUMMYFUNCTION("""COMPUTED_VALUE"""),46055.6666666666)</f>
        <v/>
      </c>
      <c r="B132" s="513">
        <f>IFERROR(__xludf.DUMMYFUNCTION("""COMPUTED_VALUE"""),695.41)</f>
        <v/>
      </c>
      <c r="D132" s="512">
        <f>IFERROR(__xludf.DUMMYFUNCTION("""COMPUTED_VALUE"""),46055.6666666666)</f>
        <v/>
      </c>
      <c r="E132" s="513">
        <f>IFERROR(__xludf.DUMMYFUNCTION("""COMPUTED_VALUE"""),89.86)</f>
        <v/>
      </c>
      <c r="G132" s="512" t="n"/>
      <c r="H132" s="513" t="n"/>
      <c r="J132" s="512">
        <f>IFERROR(__xludf.DUMMYFUNCTION("""COMPUTED_VALUE"""),46055.6666666666)</f>
        <v/>
      </c>
      <c r="K132" s="513">
        <f>IFERROR(__xludf.DUMMYFUNCTION("""COMPUTED_VALUE"""),85.89)</f>
        <v/>
      </c>
      <c r="M132" s="512">
        <f>IFERROR(__xludf.DUMMYFUNCTION("""COMPUTED_VALUE"""),46055.6666666666)</f>
        <v/>
      </c>
      <c r="N132" s="513">
        <f>IFERROR(__xludf.DUMMYFUNCTION("""COMPUTED_VALUE"""),262.18)</f>
        <v/>
      </c>
      <c r="P132" s="512">
        <f>IFERROR(__xludf.DUMMYFUNCTION("""COMPUTED_VALUE"""),46055.6666666666)</f>
        <v/>
      </c>
      <c r="Q132" s="513">
        <f>IFERROR(__xludf.DUMMYFUNCTION("""COMPUTED_VALUE"""),88.2)</f>
        <v/>
      </c>
      <c r="S132" s="512">
        <f>IFERROR(__xludf.DUMMYFUNCTION("""COMPUTED_VALUE"""),45323.6666666666)</f>
        <v/>
      </c>
      <c r="T132" s="513">
        <f>IFERROR(__xludf.DUMMYFUNCTION("""COMPUTED_VALUE"""),186.86)</f>
        <v/>
      </c>
      <c r="V132" s="512">
        <f>IFERROR(__xludf.DUMMYFUNCTION("""COMPUTED_VALUE"""),46055.6666666666)</f>
        <v/>
      </c>
      <c r="W132" s="513">
        <f>IFERROR(__xludf.DUMMYFUNCTION("""COMPUTED_VALUE"""),23.54)</f>
        <v/>
      </c>
      <c r="Y132" s="512">
        <f>IFERROR(__xludf.DUMMYFUNCTION("""COMPUTED_VALUE"""),46055.6666666666)</f>
        <v/>
      </c>
      <c r="Z132" s="513">
        <f>IFERROR(__xludf.DUMMYFUNCTION("""COMPUTED_VALUE"""),73.91)</f>
        <v/>
      </c>
      <c r="AB132" s="512">
        <f>IFERROR(__xludf.DUMMYFUNCTION("""COMPUTED_VALUE"""),46055.6666666666)</f>
        <v/>
      </c>
      <c r="AC132" s="513">
        <f>IFERROR(__xludf.DUMMYFUNCTION("""COMPUTED_VALUE"""),56.78)</f>
        <v/>
      </c>
      <c r="AE132" s="512">
        <f>IFERROR(__xludf.DUMMYFUNCTION("""COMPUTED_VALUE"""),46055.6666666666)</f>
        <v/>
      </c>
      <c r="AF132" s="513">
        <f>IFERROR(__xludf.DUMMYFUNCTION("""COMPUTED_VALUE"""),96.14)</f>
        <v/>
      </c>
      <c r="AH132" s="512">
        <f>IFERROR(__xludf.DUMMYFUNCTION("""COMPUTED_VALUE"""),46055.6666666666)</f>
        <v/>
      </c>
      <c r="AI132" s="513">
        <f>IFERROR(__xludf.DUMMYFUNCTION("""COMPUTED_VALUE"""),22.69)</f>
        <v/>
      </c>
      <c r="AK132" s="512">
        <f>IFERROR(__xludf.DUMMYFUNCTION("""COMPUTED_VALUE"""),46055.6666666666)</f>
        <v/>
      </c>
      <c r="AL132" s="513">
        <f>IFERROR(__xludf.DUMMYFUNCTION("""COMPUTED_VALUE"""),80.77)</f>
        <v/>
      </c>
      <c r="AN132" s="512">
        <f>IFERROR(__xludf.DUMMYFUNCTION("""COMPUTED_VALUE"""),46055.6666666666)</f>
        <v/>
      </c>
      <c r="AO132" s="513">
        <f>IFERROR(__xludf.DUMMYFUNCTION("""COMPUTED_VALUE"""),110.19)</f>
        <v/>
      </c>
      <c r="AQ132" s="512">
        <f>IFERROR(__xludf.DUMMYFUNCTION("""COMPUTED_VALUE"""),46055.6666666666)</f>
        <v/>
      </c>
      <c r="AR132" s="513">
        <f>IFERROR(__xludf.DUMMYFUNCTION("""COMPUTED_VALUE"""),101.4)</f>
        <v/>
      </c>
      <c r="AT132" s="512">
        <f>IFERROR(__xludf.DUMMYFUNCTION("""COMPUTED_VALUE"""),46055.6666666666)</f>
        <v/>
      </c>
      <c r="AU132" s="513">
        <f>IFERROR(__xludf.DUMMYFUNCTION("""COMPUTED_VALUE"""),59.28)</f>
        <v/>
      </c>
      <c r="AW132" s="512">
        <f>IFERROR(__xludf.DUMMYFUNCTION("""COMPUTED_VALUE"""),46055.6666666666)</f>
        <v/>
      </c>
      <c r="AX132" s="513">
        <f>IFERROR(__xludf.DUMMYFUNCTION("""COMPUTED_VALUE"""),99.69)</f>
        <v/>
      </c>
      <c r="AZ132" s="512">
        <f>IFERROR(__xludf.DUMMYFUNCTION("""COMPUTED_VALUE"""),46055.6666666666)</f>
        <v/>
      </c>
      <c r="BA132" s="513">
        <f>IFERROR(__xludf.DUMMYFUNCTION("""COMPUTED_VALUE"""),110.06)</f>
        <v/>
      </c>
      <c r="BC132" s="512">
        <f>IFERROR(__xludf.DUMMYFUNCTION("""COMPUTED_VALUE"""),46055.6666666666)</f>
        <v/>
      </c>
      <c r="BD132" s="513">
        <f>IFERROR(__xludf.DUMMYFUNCTION("""COMPUTED_VALUE"""),95.44)</f>
        <v/>
      </c>
      <c r="BF132" s="512">
        <f>IFERROR(__xludf.DUMMYFUNCTION("""COMPUTED_VALUE"""),46055.6666666666)</f>
        <v/>
      </c>
      <c r="BG132" s="513">
        <f>IFERROR(__xludf.DUMMYFUNCTION("""COMPUTED_VALUE"""),82.7)</f>
        <v/>
      </c>
      <c r="BI132" s="512">
        <f>IFERROR(__xludf.DUMMYFUNCTION("""COMPUTED_VALUE"""),46055.6666666666)</f>
        <v/>
      </c>
      <c r="BJ132" s="513">
        <f>IFERROR(__xludf.DUMMYFUNCTION("""COMPUTED_VALUE"""),86.55)</f>
        <v/>
      </c>
      <c r="BL132" s="512">
        <f>IFERROR(__xludf.DUMMYFUNCTION("""COMPUTED_VALUE"""),46055.6666666666)</f>
        <v/>
      </c>
      <c r="BM132" s="513">
        <f>IFERROR(__xludf.DUMMYFUNCTION("""COMPUTED_VALUE"""),427.13)</f>
        <v/>
      </c>
      <c r="BO132" s="512">
        <f>IFERROR(__xludf.DUMMYFUNCTION("""COMPUTED_VALUE"""),46055.6666666666)</f>
        <v/>
      </c>
      <c r="BP132" s="513">
        <f>IFERROR(__xludf.DUMMYFUNCTION("""COMPUTED_VALUE"""),91.39)</f>
        <v/>
      </c>
    </row>
    <row r="133">
      <c r="A133" s="512">
        <f>IFERROR(__xludf.DUMMYFUNCTION("""COMPUTED_VALUE"""),46056.6666666666)</f>
        <v/>
      </c>
      <c r="B133" s="513">
        <f>IFERROR(__xludf.DUMMYFUNCTION("""COMPUTED_VALUE"""),689.53)</f>
        <v/>
      </c>
      <c r="D133" s="512">
        <f>IFERROR(__xludf.DUMMYFUNCTION("""COMPUTED_VALUE"""),46056.6666666666)</f>
        <v/>
      </c>
      <c r="E133" s="513">
        <f>IFERROR(__xludf.DUMMYFUNCTION("""COMPUTED_VALUE"""),89.66)</f>
        <v/>
      </c>
      <c r="G133" s="512" t="n"/>
      <c r="H133" s="513" t="n"/>
      <c r="J133" s="512">
        <f>IFERROR(__xludf.DUMMYFUNCTION("""COMPUTED_VALUE"""),46056.6666666666)</f>
        <v/>
      </c>
      <c r="K133" s="513">
        <f>IFERROR(__xludf.DUMMYFUNCTION("""COMPUTED_VALUE"""),86.68)</f>
        <v/>
      </c>
      <c r="M133" s="512">
        <f>IFERROR(__xludf.DUMMYFUNCTION("""COMPUTED_VALUE"""),46056.6666666666)</f>
        <v/>
      </c>
      <c r="N133" s="513">
        <f>IFERROR(__xludf.DUMMYFUNCTION("""COMPUTED_VALUE"""),262.78)</f>
        <v/>
      </c>
      <c r="P133" s="512">
        <f>IFERROR(__xludf.DUMMYFUNCTION("""COMPUTED_VALUE"""),46056.6666666666)</f>
        <v/>
      </c>
      <c r="Q133" s="513">
        <f>IFERROR(__xludf.DUMMYFUNCTION("""COMPUTED_VALUE"""),87.87)</f>
        <v/>
      </c>
      <c r="S133" s="512">
        <f>IFERROR(__xludf.DUMMYFUNCTION("""COMPUTED_VALUE"""),45324.6666666666)</f>
        <v/>
      </c>
      <c r="T133" s="513">
        <f>IFERROR(__xludf.DUMMYFUNCTION("""COMPUTED_VALUE"""),185.85)</f>
        <v/>
      </c>
      <c r="V133" s="512">
        <f>IFERROR(__xludf.DUMMYFUNCTION("""COMPUTED_VALUE"""),46056.6666666666)</f>
        <v/>
      </c>
      <c r="W133" s="513">
        <f>IFERROR(__xludf.DUMMYFUNCTION("""COMPUTED_VALUE"""),24.15)</f>
        <v/>
      </c>
      <c r="Y133" s="512">
        <f>IFERROR(__xludf.DUMMYFUNCTION("""COMPUTED_VALUE"""),46056.6666666666)</f>
        <v/>
      </c>
      <c r="Z133" s="513">
        <f>IFERROR(__xludf.DUMMYFUNCTION("""COMPUTED_VALUE"""),73.93)</f>
        <v/>
      </c>
      <c r="AB133" s="512">
        <f>IFERROR(__xludf.DUMMYFUNCTION("""COMPUTED_VALUE"""),46056.6666666666)</f>
        <v/>
      </c>
      <c r="AC133" s="513">
        <f>IFERROR(__xludf.DUMMYFUNCTION("""COMPUTED_VALUE"""),56.75)</f>
        <v/>
      </c>
      <c r="AE133" s="512">
        <f>IFERROR(__xludf.DUMMYFUNCTION("""COMPUTED_VALUE"""),46056.6666666666)</f>
        <v/>
      </c>
      <c r="AF133" s="513">
        <f>IFERROR(__xludf.DUMMYFUNCTION("""COMPUTED_VALUE"""),96.16)</f>
        <v/>
      </c>
      <c r="AH133" s="512">
        <f>IFERROR(__xludf.DUMMYFUNCTION("""COMPUTED_VALUE"""),46056.6666666666)</f>
        <v/>
      </c>
      <c r="AI133" s="513">
        <f>IFERROR(__xludf.DUMMYFUNCTION("""COMPUTED_VALUE"""),22.7)</f>
        <v/>
      </c>
      <c r="AK133" s="512">
        <f>IFERROR(__xludf.DUMMYFUNCTION("""COMPUTED_VALUE"""),46056.6666666666)</f>
        <v/>
      </c>
      <c r="AL133" s="513">
        <f>IFERROR(__xludf.DUMMYFUNCTION("""COMPUTED_VALUE"""),80.72)</f>
        <v/>
      </c>
      <c r="AN133" s="512">
        <f>IFERROR(__xludf.DUMMYFUNCTION("""COMPUTED_VALUE"""),46056.6666666666)</f>
        <v/>
      </c>
      <c r="AO133" s="513">
        <f>IFERROR(__xludf.DUMMYFUNCTION("""COMPUTED_VALUE"""),110.37)</f>
        <v/>
      </c>
      <c r="AQ133" s="512">
        <f>IFERROR(__xludf.DUMMYFUNCTION("""COMPUTED_VALUE"""),46056.6666666666)</f>
        <v/>
      </c>
      <c r="AR133" s="513">
        <f>IFERROR(__xludf.DUMMYFUNCTION("""COMPUTED_VALUE"""),101.45)</f>
        <v/>
      </c>
      <c r="AT133" s="512">
        <f>IFERROR(__xludf.DUMMYFUNCTION("""COMPUTED_VALUE"""),46056.6666666666)</f>
        <v/>
      </c>
      <c r="AU133" s="513">
        <f>IFERROR(__xludf.DUMMYFUNCTION("""COMPUTED_VALUE"""),59.6)</f>
        <v/>
      </c>
      <c r="AW133" s="512">
        <f>IFERROR(__xludf.DUMMYFUNCTION("""COMPUTED_VALUE"""),46056.6666666666)</f>
        <v/>
      </c>
      <c r="AX133" s="513">
        <f>IFERROR(__xludf.DUMMYFUNCTION("""COMPUTED_VALUE"""),99.7)</f>
        <v/>
      </c>
      <c r="AZ133" s="512">
        <f>IFERROR(__xludf.DUMMYFUNCTION("""COMPUTED_VALUE"""),46056.6666666666)</f>
        <v/>
      </c>
      <c r="BA133" s="513">
        <f>IFERROR(__xludf.DUMMYFUNCTION("""COMPUTED_VALUE"""),110.11)</f>
        <v/>
      </c>
      <c r="BC133" s="512">
        <f>IFERROR(__xludf.DUMMYFUNCTION("""COMPUTED_VALUE"""),46056.6666666666)</f>
        <v/>
      </c>
      <c r="BD133" s="513">
        <f>IFERROR(__xludf.DUMMYFUNCTION("""COMPUTED_VALUE"""),95.53)</f>
        <v/>
      </c>
      <c r="BF133" s="512">
        <f>IFERROR(__xludf.DUMMYFUNCTION("""COMPUTED_VALUE"""),46056.6666666666)</f>
        <v/>
      </c>
      <c r="BG133" s="513">
        <f>IFERROR(__xludf.DUMMYFUNCTION("""COMPUTED_VALUE"""),82.69)</f>
        <v/>
      </c>
      <c r="BI133" s="512">
        <f>IFERROR(__xludf.DUMMYFUNCTION("""COMPUTED_VALUE"""),46056.6666666666)</f>
        <v/>
      </c>
      <c r="BJ133" s="513">
        <f>IFERROR(__xludf.DUMMYFUNCTION("""COMPUTED_VALUE"""),86.76)</f>
        <v/>
      </c>
      <c r="BL133" s="512">
        <f>IFERROR(__xludf.DUMMYFUNCTION("""COMPUTED_VALUE"""),46056.6666666666)</f>
        <v/>
      </c>
      <c r="BM133" s="513">
        <f>IFERROR(__xludf.DUMMYFUNCTION("""COMPUTED_VALUE"""),454.29)</f>
        <v/>
      </c>
      <c r="BO133" s="512">
        <f>IFERROR(__xludf.DUMMYFUNCTION("""COMPUTED_VALUE"""),46056.6666666666)</f>
        <v/>
      </c>
      <c r="BP133" s="513">
        <f>IFERROR(__xludf.DUMMYFUNCTION("""COMPUTED_VALUE"""),91.39)</f>
        <v/>
      </c>
    </row>
    <row r="134">
      <c r="A134" s="512">
        <f>IFERROR(__xludf.DUMMYFUNCTION("""COMPUTED_VALUE"""),46057.6666666666)</f>
        <v/>
      </c>
      <c r="B134" s="513">
        <f>IFERROR(__xludf.DUMMYFUNCTION("""COMPUTED_VALUE"""),686.19)</f>
        <v/>
      </c>
      <c r="D134" s="512">
        <f>IFERROR(__xludf.DUMMYFUNCTION("""COMPUTED_VALUE"""),46057.6666666666)</f>
        <v/>
      </c>
      <c r="E134" s="513">
        <f>IFERROR(__xludf.DUMMYFUNCTION("""COMPUTED_VALUE"""),90.95)</f>
        <v/>
      </c>
      <c r="G134" s="512" t="n"/>
      <c r="H134" s="513" t="n"/>
      <c r="J134" s="512">
        <f>IFERROR(__xludf.DUMMYFUNCTION("""COMPUTED_VALUE"""),46057.6666666666)</f>
        <v/>
      </c>
      <c r="K134" s="513">
        <f>IFERROR(__xludf.DUMMYFUNCTION("""COMPUTED_VALUE"""),87.49)</f>
        <v/>
      </c>
      <c r="M134" s="512">
        <f>IFERROR(__xludf.DUMMYFUNCTION("""COMPUTED_VALUE"""),46057.6666666666)</f>
        <v/>
      </c>
      <c r="N134" s="513">
        <f>IFERROR(__xludf.DUMMYFUNCTION("""COMPUTED_VALUE"""),260.52)</f>
        <v/>
      </c>
      <c r="P134" s="512">
        <f>IFERROR(__xludf.DUMMYFUNCTION("""COMPUTED_VALUE"""),46057.6666666666)</f>
        <v/>
      </c>
      <c r="Q134" s="513">
        <f>IFERROR(__xludf.DUMMYFUNCTION("""COMPUTED_VALUE"""),87.99)</f>
        <v/>
      </c>
      <c r="S134" s="512">
        <f>IFERROR(__xludf.DUMMYFUNCTION("""COMPUTED_VALUE"""),45327.6666666666)</f>
        <v/>
      </c>
      <c r="T134" s="513">
        <f>IFERROR(__xludf.DUMMYFUNCTION("""COMPUTED_VALUE"""),187.68)</f>
        <v/>
      </c>
      <c r="V134" s="512">
        <f>IFERROR(__xludf.DUMMYFUNCTION("""COMPUTED_VALUE"""),46057.6666666666)</f>
        <v/>
      </c>
      <c r="W134" s="513">
        <f>IFERROR(__xludf.DUMMYFUNCTION("""COMPUTED_VALUE"""),24.19)</f>
        <v/>
      </c>
      <c r="Y134" s="512">
        <f>IFERROR(__xludf.DUMMYFUNCTION("""COMPUTED_VALUE"""),46057.6666666666)</f>
        <v/>
      </c>
      <c r="Z134" s="513">
        <f>IFERROR(__xludf.DUMMYFUNCTION("""COMPUTED_VALUE"""),73.9)</f>
        <v/>
      </c>
      <c r="AB134" s="512">
        <f>IFERROR(__xludf.DUMMYFUNCTION("""COMPUTED_VALUE"""),46057.6666666666)</f>
        <v/>
      </c>
      <c r="AC134" s="513">
        <f>IFERROR(__xludf.DUMMYFUNCTION("""COMPUTED_VALUE"""),56.41)</f>
        <v/>
      </c>
      <c r="AE134" s="512">
        <f>IFERROR(__xludf.DUMMYFUNCTION("""COMPUTED_VALUE"""),46057.6666666666)</f>
        <v/>
      </c>
      <c r="AF134" s="513">
        <f>IFERROR(__xludf.DUMMYFUNCTION("""COMPUTED_VALUE"""),96.2)</f>
        <v/>
      </c>
      <c r="AH134" s="512">
        <f>IFERROR(__xludf.DUMMYFUNCTION("""COMPUTED_VALUE"""),46057.6666666666)</f>
        <v/>
      </c>
      <c r="AI134" s="513">
        <f>IFERROR(__xludf.DUMMYFUNCTION("""COMPUTED_VALUE"""),22.64)</f>
        <v/>
      </c>
      <c r="AK134" s="512">
        <f>IFERROR(__xludf.DUMMYFUNCTION("""COMPUTED_VALUE"""),46057.6666666666)</f>
        <v/>
      </c>
      <c r="AL134" s="513">
        <f>IFERROR(__xludf.DUMMYFUNCTION("""COMPUTED_VALUE"""),80.62)</f>
        <v/>
      </c>
      <c r="AN134" s="512">
        <f>IFERROR(__xludf.DUMMYFUNCTION("""COMPUTED_VALUE"""),46057.6666666666)</f>
        <v/>
      </c>
      <c r="AO134" s="513">
        <f>IFERROR(__xludf.DUMMYFUNCTION("""COMPUTED_VALUE"""),110.25)</f>
        <v/>
      </c>
      <c r="AQ134" s="512">
        <f>IFERROR(__xludf.DUMMYFUNCTION("""COMPUTED_VALUE"""),46057.6666666666)</f>
        <v/>
      </c>
      <c r="AR134" s="513">
        <f>IFERROR(__xludf.DUMMYFUNCTION("""COMPUTED_VALUE"""),101.78)</f>
        <v/>
      </c>
      <c r="AT134" s="512">
        <f>IFERROR(__xludf.DUMMYFUNCTION("""COMPUTED_VALUE"""),46057.6666666666)</f>
        <v/>
      </c>
      <c r="AU134" s="513">
        <f>IFERROR(__xludf.DUMMYFUNCTION("""COMPUTED_VALUE"""),58.8)</f>
        <v/>
      </c>
      <c r="AW134" s="512">
        <f>IFERROR(__xludf.DUMMYFUNCTION("""COMPUTED_VALUE"""),46057.6666666666)</f>
        <v/>
      </c>
      <c r="AX134" s="513">
        <f>IFERROR(__xludf.DUMMYFUNCTION("""COMPUTED_VALUE"""),99.64)</f>
        <v/>
      </c>
      <c r="AZ134" s="512">
        <f>IFERROR(__xludf.DUMMYFUNCTION("""COMPUTED_VALUE"""),46057.6666666666)</f>
        <v/>
      </c>
      <c r="BA134" s="513">
        <f>IFERROR(__xludf.DUMMYFUNCTION("""COMPUTED_VALUE"""),109.97)</f>
        <v/>
      </c>
      <c r="BC134" s="512">
        <f>IFERROR(__xludf.DUMMYFUNCTION("""COMPUTED_VALUE"""),46057.6666666666)</f>
        <v/>
      </c>
      <c r="BD134" s="513">
        <f>IFERROR(__xludf.DUMMYFUNCTION("""COMPUTED_VALUE"""),95.51)</f>
        <v/>
      </c>
      <c r="BF134" s="512">
        <f>IFERROR(__xludf.DUMMYFUNCTION("""COMPUTED_VALUE"""),46057.6666666666)</f>
        <v/>
      </c>
      <c r="BG134" s="513">
        <f>IFERROR(__xludf.DUMMYFUNCTION("""COMPUTED_VALUE"""),82.73)</f>
        <v/>
      </c>
      <c r="BI134" s="512">
        <f>IFERROR(__xludf.DUMMYFUNCTION("""COMPUTED_VALUE"""),46057.6666666666)</f>
        <v/>
      </c>
      <c r="BJ134" s="513">
        <f>IFERROR(__xludf.DUMMYFUNCTION("""COMPUTED_VALUE"""),86.54)</f>
        <v/>
      </c>
      <c r="BL134" s="512">
        <f>IFERROR(__xludf.DUMMYFUNCTION("""COMPUTED_VALUE"""),46057.6666666666)</f>
        <v/>
      </c>
      <c r="BM134" s="513">
        <f>IFERROR(__xludf.DUMMYFUNCTION("""COMPUTED_VALUE"""),453.97)</f>
        <v/>
      </c>
      <c r="BO134" s="512">
        <f>IFERROR(__xludf.DUMMYFUNCTION("""COMPUTED_VALUE"""),46057.6666666666)</f>
        <v/>
      </c>
      <c r="BP134" s="513">
        <f>IFERROR(__xludf.DUMMYFUNCTION("""COMPUTED_VALUE"""),91.41)</f>
        <v/>
      </c>
    </row>
    <row r="135">
      <c r="A135" s="512">
        <f>IFERROR(__xludf.DUMMYFUNCTION("""COMPUTED_VALUE"""),46058.6666666666)</f>
        <v/>
      </c>
      <c r="B135" s="513">
        <f>IFERROR(__xludf.DUMMYFUNCTION("""COMPUTED_VALUE"""),677.62)</f>
        <v/>
      </c>
      <c r="D135" s="512">
        <f>IFERROR(__xludf.DUMMYFUNCTION("""COMPUTED_VALUE"""),46058.6666666666)</f>
        <v/>
      </c>
      <c r="E135" s="513">
        <f>IFERROR(__xludf.DUMMYFUNCTION("""COMPUTED_VALUE"""),90.82)</f>
        <v/>
      </c>
      <c r="G135" s="512" t="n"/>
      <c r="H135" s="513" t="n"/>
      <c r="J135" s="512">
        <f>IFERROR(__xludf.DUMMYFUNCTION("""COMPUTED_VALUE"""),46058.6666666666)</f>
        <v/>
      </c>
      <c r="K135" s="513">
        <f>IFERROR(__xludf.DUMMYFUNCTION("""COMPUTED_VALUE"""),86.1)</f>
        <v/>
      </c>
      <c r="M135" s="512">
        <f>IFERROR(__xludf.DUMMYFUNCTION("""COMPUTED_VALUE"""),46058.6666666666)</f>
        <v/>
      </c>
      <c r="N135" s="513">
        <f>IFERROR(__xludf.DUMMYFUNCTION("""COMPUTED_VALUE"""),255.83)</f>
        <v/>
      </c>
      <c r="P135" s="512">
        <f>IFERROR(__xludf.DUMMYFUNCTION("""COMPUTED_VALUE"""),46058.6666666666)</f>
        <v/>
      </c>
      <c r="Q135" s="513">
        <f>IFERROR(__xludf.DUMMYFUNCTION("""COMPUTED_VALUE"""),86.77)</f>
        <v/>
      </c>
      <c r="S135" s="512">
        <f>IFERROR(__xludf.DUMMYFUNCTION("""COMPUTED_VALUE"""),45328.6666666666)</f>
        <v/>
      </c>
      <c r="T135" s="513">
        <f>IFERROR(__xludf.DUMMYFUNCTION("""COMPUTED_VALUE"""),189.3)</f>
        <v/>
      </c>
      <c r="V135" s="512">
        <f>IFERROR(__xludf.DUMMYFUNCTION("""COMPUTED_VALUE"""),46058.6666666666)</f>
        <v/>
      </c>
      <c r="W135" s="513">
        <f>IFERROR(__xludf.DUMMYFUNCTION("""COMPUTED_VALUE"""),23.76)</f>
        <v/>
      </c>
      <c r="Y135" s="512">
        <f>IFERROR(__xludf.DUMMYFUNCTION("""COMPUTED_VALUE"""),46058.6666666666)</f>
        <v/>
      </c>
      <c r="Z135" s="513">
        <f>IFERROR(__xludf.DUMMYFUNCTION("""COMPUTED_VALUE"""),74.22)</f>
        <v/>
      </c>
      <c r="AB135" s="512">
        <f>IFERROR(__xludf.DUMMYFUNCTION("""COMPUTED_VALUE"""),46058.6666666666)</f>
        <v/>
      </c>
      <c r="AC135" s="513">
        <f>IFERROR(__xludf.DUMMYFUNCTION("""COMPUTED_VALUE"""),56.04)</f>
        <v/>
      </c>
      <c r="AE135" s="512">
        <f>IFERROR(__xludf.DUMMYFUNCTION("""COMPUTED_VALUE"""),46058.6666666666)</f>
        <v/>
      </c>
      <c r="AF135" s="513">
        <f>IFERROR(__xludf.DUMMYFUNCTION("""COMPUTED_VALUE"""),96.44)</f>
        <v/>
      </c>
      <c r="AH135" s="512">
        <f>IFERROR(__xludf.DUMMYFUNCTION("""COMPUTED_VALUE"""),46058.6666666666)</f>
        <v/>
      </c>
      <c r="AI135" s="513">
        <f>IFERROR(__xludf.DUMMYFUNCTION("""COMPUTED_VALUE"""),22.64)</f>
        <v/>
      </c>
      <c r="AK135" s="512">
        <f>IFERROR(__xludf.DUMMYFUNCTION("""COMPUTED_VALUE"""),46058.6666666666)</f>
        <v/>
      </c>
      <c r="AL135" s="513">
        <f>IFERROR(__xludf.DUMMYFUNCTION("""COMPUTED_VALUE"""),80.53)</f>
        <v/>
      </c>
      <c r="AN135" s="512">
        <f>IFERROR(__xludf.DUMMYFUNCTION("""COMPUTED_VALUE"""),46058.6666666666)</f>
        <v/>
      </c>
      <c r="AO135" s="513">
        <f>IFERROR(__xludf.DUMMYFUNCTION("""COMPUTED_VALUE"""),110.56)</f>
        <v/>
      </c>
      <c r="AQ135" s="512">
        <f>IFERROR(__xludf.DUMMYFUNCTION("""COMPUTED_VALUE"""),46058.6666666666)</f>
        <v/>
      </c>
      <c r="AR135" s="513">
        <f>IFERROR(__xludf.DUMMYFUNCTION("""COMPUTED_VALUE"""),100.33)</f>
        <v/>
      </c>
      <c r="AT135" s="512">
        <f>IFERROR(__xludf.DUMMYFUNCTION("""COMPUTED_VALUE"""),46058.6666666666)</f>
        <v/>
      </c>
      <c r="AU135" s="513">
        <f>IFERROR(__xludf.DUMMYFUNCTION("""COMPUTED_VALUE"""),58.53)</f>
        <v/>
      </c>
      <c r="AW135" s="512">
        <f>IFERROR(__xludf.DUMMYFUNCTION("""COMPUTED_VALUE"""),46058.6666666666)</f>
        <v/>
      </c>
      <c r="AX135" s="513">
        <f>IFERROR(__xludf.DUMMYFUNCTION("""COMPUTED_VALUE"""),100.07)</f>
        <v/>
      </c>
      <c r="AZ135" s="512">
        <f>IFERROR(__xludf.DUMMYFUNCTION("""COMPUTED_VALUE"""),46058.6666666666)</f>
        <v/>
      </c>
      <c r="BA135" s="513">
        <f>IFERROR(__xludf.DUMMYFUNCTION("""COMPUTED_VALUE"""),110.5)</f>
        <v/>
      </c>
      <c r="BC135" s="512">
        <f>IFERROR(__xludf.DUMMYFUNCTION("""COMPUTED_VALUE"""),46058.6666666666)</f>
        <v/>
      </c>
      <c r="BD135" s="513">
        <f>IFERROR(__xludf.DUMMYFUNCTION("""COMPUTED_VALUE"""),96.07)</f>
        <v/>
      </c>
      <c r="BF135" s="512">
        <f>IFERROR(__xludf.DUMMYFUNCTION("""COMPUTED_VALUE"""),46058.6666666666)</f>
        <v/>
      </c>
      <c r="BG135" s="513">
        <f>IFERROR(__xludf.DUMMYFUNCTION("""COMPUTED_VALUE"""),82.86)</f>
        <v/>
      </c>
      <c r="BI135" s="512">
        <f>IFERROR(__xludf.DUMMYFUNCTION("""COMPUTED_VALUE"""),46058.6666666666)</f>
        <v/>
      </c>
      <c r="BJ135" s="513">
        <f>IFERROR(__xludf.DUMMYFUNCTION("""COMPUTED_VALUE"""),87.48)</f>
        <v/>
      </c>
      <c r="BL135" s="512">
        <f>IFERROR(__xludf.DUMMYFUNCTION("""COMPUTED_VALUE"""),46058.6666666666)</f>
        <v/>
      </c>
      <c r="BM135" s="513">
        <f>IFERROR(__xludf.DUMMYFUNCTION("""COMPUTED_VALUE"""),441.88)</f>
        <v/>
      </c>
      <c r="BO135" s="512">
        <f>IFERROR(__xludf.DUMMYFUNCTION("""COMPUTED_VALUE"""),46058.6666666666)</f>
        <v/>
      </c>
      <c r="BP135" s="513">
        <f>IFERROR(__xludf.DUMMYFUNCTION("""COMPUTED_VALUE"""),91.41)</f>
        <v/>
      </c>
    </row>
    <row r="136">
      <c r="A136" s="512">
        <f>IFERROR(__xludf.DUMMYFUNCTION("""COMPUTED_VALUE"""),46059.6666666666)</f>
        <v/>
      </c>
      <c r="B136" s="513">
        <f>IFERROR(__xludf.DUMMYFUNCTION("""COMPUTED_VALUE"""),690.62)</f>
        <v/>
      </c>
      <c r="D136" s="512">
        <f>IFERROR(__xludf.DUMMYFUNCTION("""COMPUTED_VALUE"""),46059.6666666666)</f>
        <v/>
      </c>
      <c r="E136" s="513">
        <f>IFERROR(__xludf.DUMMYFUNCTION("""COMPUTED_VALUE"""),92.25)</f>
        <v/>
      </c>
      <c r="G136" s="512" t="n"/>
      <c r="H136" s="513" t="n"/>
      <c r="J136" s="512">
        <f>IFERROR(__xludf.DUMMYFUNCTION("""COMPUTED_VALUE"""),46059.6666666666)</f>
        <v/>
      </c>
      <c r="K136" s="513">
        <f>IFERROR(__xludf.DUMMYFUNCTION("""COMPUTED_VALUE"""),89.4)</f>
        <v/>
      </c>
      <c r="M136" s="512">
        <f>IFERROR(__xludf.DUMMYFUNCTION("""COMPUTED_VALUE"""),46059.6666666666)</f>
        <v/>
      </c>
      <c r="N136" s="513">
        <f>IFERROR(__xludf.DUMMYFUNCTION("""COMPUTED_VALUE"""),265.02)</f>
        <v/>
      </c>
      <c r="P136" s="512">
        <f>IFERROR(__xludf.DUMMYFUNCTION("""COMPUTED_VALUE"""),46059.6666666666)</f>
        <v/>
      </c>
      <c r="Q136" s="513">
        <f>IFERROR(__xludf.DUMMYFUNCTION("""COMPUTED_VALUE"""),88.49)</f>
        <v/>
      </c>
      <c r="S136" s="512">
        <f>IFERROR(__xludf.DUMMYFUNCTION("""COMPUTED_VALUE"""),45329.6666666666)</f>
        <v/>
      </c>
      <c r="T136" s="513">
        <f>IFERROR(__xludf.DUMMYFUNCTION("""COMPUTED_VALUE"""),189.41)</f>
        <v/>
      </c>
      <c r="V136" s="512">
        <f>IFERROR(__xludf.DUMMYFUNCTION("""COMPUTED_VALUE"""),46059.6666666666)</f>
        <v/>
      </c>
      <c r="W136" s="513">
        <f>IFERROR(__xludf.DUMMYFUNCTION("""COMPUTED_VALUE"""),24.01)</f>
        <v/>
      </c>
      <c r="Y136" s="512">
        <f>IFERROR(__xludf.DUMMYFUNCTION("""COMPUTED_VALUE"""),46059.6666666666)</f>
        <v/>
      </c>
      <c r="Z136" s="513">
        <f>IFERROR(__xludf.DUMMYFUNCTION("""COMPUTED_VALUE"""),74.23)</f>
        <v/>
      </c>
      <c r="AB136" s="512">
        <f>IFERROR(__xludf.DUMMYFUNCTION("""COMPUTED_VALUE"""),46059.6666666666)</f>
        <v/>
      </c>
      <c r="AC136" s="513">
        <f>IFERROR(__xludf.DUMMYFUNCTION("""COMPUTED_VALUE"""),57.26)</f>
        <v/>
      </c>
      <c r="AE136" s="512">
        <f>IFERROR(__xludf.DUMMYFUNCTION("""COMPUTED_VALUE"""),46059.6666666666)</f>
        <v/>
      </c>
      <c r="AF136" s="513">
        <f>IFERROR(__xludf.DUMMYFUNCTION("""COMPUTED_VALUE"""),96.69)</f>
        <v/>
      </c>
      <c r="AH136" s="512">
        <f>IFERROR(__xludf.DUMMYFUNCTION("""COMPUTED_VALUE"""),46059.6666666666)</f>
        <v/>
      </c>
      <c r="AI136" s="513">
        <f>IFERROR(__xludf.DUMMYFUNCTION("""COMPUTED_VALUE"""),22.68)</f>
        <v/>
      </c>
      <c r="AK136" s="512">
        <f>IFERROR(__xludf.DUMMYFUNCTION("""COMPUTED_VALUE"""),46059.6666666666)</f>
        <v/>
      </c>
      <c r="AL136" s="513">
        <f>IFERROR(__xludf.DUMMYFUNCTION("""COMPUTED_VALUE"""),80.81)</f>
        <v/>
      </c>
      <c r="AN136" s="512">
        <f>IFERROR(__xludf.DUMMYFUNCTION("""COMPUTED_VALUE"""),46059.6666666666)</f>
        <v/>
      </c>
      <c r="AO136" s="513">
        <f>IFERROR(__xludf.DUMMYFUNCTION("""COMPUTED_VALUE"""),110.67)</f>
        <v/>
      </c>
      <c r="AQ136" s="512">
        <f>IFERROR(__xludf.DUMMYFUNCTION("""COMPUTED_VALUE"""),46059.6666666666)</f>
        <v/>
      </c>
      <c r="AR136" s="513">
        <f>IFERROR(__xludf.DUMMYFUNCTION("""COMPUTED_VALUE"""),102.61)</f>
        <v/>
      </c>
      <c r="AT136" s="512">
        <f>IFERROR(__xludf.DUMMYFUNCTION("""COMPUTED_VALUE"""),46059.6666666666)</f>
        <v/>
      </c>
      <c r="AU136" s="513">
        <f>IFERROR(__xludf.DUMMYFUNCTION("""COMPUTED_VALUE"""),60.07)</f>
        <v/>
      </c>
      <c r="AW136" s="512">
        <f>IFERROR(__xludf.DUMMYFUNCTION("""COMPUTED_VALUE"""),46059.6666666666)</f>
        <v/>
      </c>
      <c r="AX136" s="513">
        <f>IFERROR(__xludf.DUMMYFUNCTION("""COMPUTED_VALUE"""),100.13)</f>
        <v/>
      </c>
      <c r="AZ136" s="512">
        <f>IFERROR(__xludf.DUMMYFUNCTION("""COMPUTED_VALUE"""),46059.6666666666)</f>
        <v/>
      </c>
      <c r="BA136" s="513">
        <f>IFERROR(__xludf.DUMMYFUNCTION("""COMPUTED_VALUE"""),110.56)</f>
        <v/>
      </c>
      <c r="BC136" s="512">
        <f>IFERROR(__xludf.DUMMYFUNCTION("""COMPUTED_VALUE"""),46059.6666666666)</f>
        <v/>
      </c>
      <c r="BD136" s="513">
        <f>IFERROR(__xludf.DUMMYFUNCTION("""COMPUTED_VALUE"""),96.07)</f>
        <v/>
      </c>
      <c r="BF136" s="512">
        <f>IFERROR(__xludf.DUMMYFUNCTION("""COMPUTED_VALUE"""),46059.6666666666)</f>
        <v/>
      </c>
      <c r="BG136" s="513">
        <f>IFERROR(__xludf.DUMMYFUNCTION("""COMPUTED_VALUE"""),82.86)</f>
        <v/>
      </c>
      <c r="BI136" s="512">
        <f>IFERROR(__xludf.DUMMYFUNCTION("""COMPUTED_VALUE"""),46059.6666666666)</f>
        <v/>
      </c>
      <c r="BJ136" s="513">
        <f>IFERROR(__xludf.DUMMYFUNCTION("""COMPUTED_VALUE"""),87.54)</f>
        <v/>
      </c>
      <c r="BL136" s="512">
        <f>IFERROR(__xludf.DUMMYFUNCTION("""COMPUTED_VALUE"""),46059.6666666666)</f>
        <v/>
      </c>
      <c r="BM136" s="513">
        <f>IFERROR(__xludf.DUMMYFUNCTION("""COMPUTED_VALUE"""),455.46)</f>
        <v/>
      </c>
      <c r="BO136" s="512">
        <f>IFERROR(__xludf.DUMMYFUNCTION("""COMPUTED_VALUE"""),46059.6666666666)</f>
        <v/>
      </c>
      <c r="BP136" s="513">
        <f>IFERROR(__xludf.DUMMYFUNCTION("""COMPUTED_VALUE"""),91.44)</f>
        <v/>
      </c>
    </row>
    <row r="137">
      <c r="A137" s="512">
        <f>IFERROR(__xludf.DUMMYFUNCTION("""COMPUTED_VALUE"""),46062.6666666666)</f>
        <v/>
      </c>
      <c r="B137" s="513">
        <f>IFERROR(__xludf.DUMMYFUNCTION("""COMPUTED_VALUE"""),693.95)</f>
        <v/>
      </c>
      <c r="D137" s="512">
        <f>IFERROR(__xludf.DUMMYFUNCTION("""COMPUTED_VALUE"""),46062.6666666666)</f>
        <v/>
      </c>
      <c r="E137" s="513">
        <f>IFERROR(__xludf.DUMMYFUNCTION("""COMPUTED_VALUE"""),92.64)</f>
        <v/>
      </c>
      <c r="G137" s="512" t="n"/>
      <c r="H137" s="513" t="n"/>
      <c r="J137" s="512">
        <f>IFERROR(__xludf.DUMMYFUNCTION("""COMPUTED_VALUE"""),46062.6666666666)</f>
        <v/>
      </c>
      <c r="K137" s="513">
        <f>IFERROR(__xludf.DUMMYFUNCTION("""COMPUTED_VALUE"""),91.29)</f>
        <v/>
      </c>
      <c r="M137" s="512">
        <f>IFERROR(__xludf.DUMMYFUNCTION("""COMPUTED_VALUE"""),46062.6666666666)</f>
        <v/>
      </c>
      <c r="N137" s="513">
        <f>IFERROR(__xludf.DUMMYFUNCTION("""COMPUTED_VALUE"""),266.88)</f>
        <v/>
      </c>
      <c r="P137" s="512">
        <f>IFERROR(__xludf.DUMMYFUNCTION("""COMPUTED_VALUE"""),46062.6666666666)</f>
        <v/>
      </c>
      <c r="Q137" s="513">
        <f>IFERROR(__xludf.DUMMYFUNCTION("""COMPUTED_VALUE"""),89.47)</f>
        <v/>
      </c>
      <c r="S137" s="512">
        <f>IFERROR(__xludf.DUMMYFUNCTION("""COMPUTED_VALUE"""),45330.6666666666)</f>
        <v/>
      </c>
      <c r="T137" s="513">
        <f>IFERROR(__xludf.DUMMYFUNCTION("""COMPUTED_VALUE"""),188.32)</f>
        <v/>
      </c>
      <c r="V137" s="512">
        <f>IFERROR(__xludf.DUMMYFUNCTION("""COMPUTED_VALUE"""),46062.6666666666)</f>
        <v/>
      </c>
      <c r="W137" s="513">
        <f>IFERROR(__xludf.DUMMYFUNCTION("""COMPUTED_VALUE"""),24.25)</f>
        <v/>
      </c>
      <c r="Y137" s="512">
        <f>IFERROR(__xludf.DUMMYFUNCTION("""COMPUTED_VALUE"""),46062.6666666666)</f>
        <v/>
      </c>
      <c r="Z137" s="513">
        <f>IFERROR(__xludf.DUMMYFUNCTION("""COMPUTED_VALUE"""),74.25)</f>
        <v/>
      </c>
      <c r="AB137" s="512">
        <f>IFERROR(__xludf.DUMMYFUNCTION("""COMPUTED_VALUE"""),46062.6666666666)</f>
        <v/>
      </c>
      <c r="AC137" s="513">
        <f>IFERROR(__xludf.DUMMYFUNCTION("""COMPUTED_VALUE"""),57.75)</f>
        <v/>
      </c>
      <c r="AE137" s="512">
        <f>IFERROR(__xludf.DUMMYFUNCTION("""COMPUTED_VALUE"""),46062.6666666666)</f>
        <v/>
      </c>
      <c r="AF137" s="513">
        <f>IFERROR(__xludf.DUMMYFUNCTION("""COMPUTED_VALUE"""),96.72)</f>
        <v/>
      </c>
      <c r="AH137" s="512">
        <f>IFERROR(__xludf.DUMMYFUNCTION("""COMPUTED_VALUE"""),46062.6666666666)</f>
        <v/>
      </c>
      <c r="AI137" s="513">
        <f>IFERROR(__xludf.DUMMYFUNCTION("""COMPUTED_VALUE"""),22.83)</f>
        <v/>
      </c>
      <c r="AK137" s="512">
        <f>IFERROR(__xludf.DUMMYFUNCTION("""COMPUTED_VALUE"""),46062.6666666666)</f>
        <v/>
      </c>
      <c r="AL137" s="513">
        <f>IFERROR(__xludf.DUMMYFUNCTION("""COMPUTED_VALUE"""),80.92)</f>
        <v/>
      </c>
      <c r="AN137" s="512">
        <f>IFERROR(__xludf.DUMMYFUNCTION("""COMPUTED_VALUE"""),46062.6666666666)</f>
        <v/>
      </c>
      <c r="AO137" s="513">
        <f>IFERROR(__xludf.DUMMYFUNCTION("""COMPUTED_VALUE"""),110.76)</f>
        <v/>
      </c>
      <c r="AQ137" s="512">
        <f>IFERROR(__xludf.DUMMYFUNCTION("""COMPUTED_VALUE"""),46062.6666666666)</f>
        <v/>
      </c>
      <c r="AR137" s="513">
        <f>IFERROR(__xludf.DUMMYFUNCTION("""COMPUTED_VALUE"""),103.99)</f>
        <v/>
      </c>
      <c r="AT137" s="512">
        <f>IFERROR(__xludf.DUMMYFUNCTION("""COMPUTED_VALUE"""),46062.6666666666)</f>
        <v/>
      </c>
      <c r="AU137" s="513">
        <f>IFERROR(__xludf.DUMMYFUNCTION("""COMPUTED_VALUE"""),60.51)</f>
        <v/>
      </c>
      <c r="AW137" s="512">
        <f>IFERROR(__xludf.DUMMYFUNCTION("""COMPUTED_VALUE"""),46062.6666666666)</f>
        <v/>
      </c>
      <c r="AX137" s="513">
        <f>IFERROR(__xludf.DUMMYFUNCTION("""COMPUTED_VALUE"""),100.16)</f>
        <v/>
      </c>
      <c r="AZ137" s="512">
        <f>IFERROR(__xludf.DUMMYFUNCTION("""COMPUTED_VALUE"""),46062.6666666666)</f>
        <v/>
      </c>
      <c r="BA137" s="513">
        <f>IFERROR(__xludf.DUMMYFUNCTION("""COMPUTED_VALUE"""),110.56)</f>
        <v/>
      </c>
      <c r="BC137" s="512">
        <f>IFERROR(__xludf.DUMMYFUNCTION("""COMPUTED_VALUE"""),46062.6666666666)</f>
        <v/>
      </c>
      <c r="BD137" s="513">
        <f>IFERROR(__xludf.DUMMYFUNCTION("""COMPUTED_VALUE"""),96.09)</f>
        <v/>
      </c>
      <c r="BF137" s="512">
        <f>IFERROR(__xludf.DUMMYFUNCTION("""COMPUTED_VALUE"""),46062.6666666666)</f>
        <v/>
      </c>
      <c r="BG137" s="513">
        <f>IFERROR(__xludf.DUMMYFUNCTION("""COMPUTED_VALUE"""),82.88)</f>
        <v/>
      </c>
      <c r="BI137" s="512">
        <f>IFERROR(__xludf.DUMMYFUNCTION("""COMPUTED_VALUE"""),46062.6666666666)</f>
        <v/>
      </c>
      <c r="BJ137" s="513">
        <f>IFERROR(__xludf.DUMMYFUNCTION("""COMPUTED_VALUE"""),87.52)</f>
        <v/>
      </c>
      <c r="BL137" s="512">
        <f>IFERROR(__xludf.DUMMYFUNCTION("""COMPUTED_VALUE"""),46062.6666666666)</f>
        <v/>
      </c>
      <c r="BM137" s="513">
        <f>IFERROR(__xludf.DUMMYFUNCTION("""COMPUTED_VALUE"""),467.03)</f>
        <v/>
      </c>
      <c r="BO137" s="512">
        <f>IFERROR(__xludf.DUMMYFUNCTION("""COMPUTED_VALUE"""),46062.6666666666)</f>
        <v/>
      </c>
      <c r="BP137" s="513">
        <f>IFERROR(__xludf.DUMMYFUNCTION("""COMPUTED_VALUE"""),91.44)</f>
        <v/>
      </c>
    </row>
    <row r="138">
      <c r="A138" s="512">
        <f>IFERROR(__xludf.DUMMYFUNCTION("""COMPUTED_VALUE"""),46063.6666666666)</f>
        <v/>
      </c>
      <c r="B138" s="513">
        <f>IFERROR(__xludf.DUMMYFUNCTION("""COMPUTED_VALUE"""),692.12)</f>
        <v/>
      </c>
      <c r="D138" s="512">
        <f>IFERROR(__xludf.DUMMYFUNCTION("""COMPUTED_VALUE"""),46063.6666666666)</f>
        <v/>
      </c>
      <c r="E138" s="513">
        <f>IFERROR(__xludf.DUMMYFUNCTION("""COMPUTED_VALUE"""),93.88)</f>
        <v/>
      </c>
      <c r="G138" s="512" t="n"/>
      <c r="H138" s="513" t="n"/>
      <c r="J138" s="512">
        <f>IFERROR(__xludf.DUMMYFUNCTION("""COMPUTED_VALUE"""),46063.6666666666)</f>
        <v/>
      </c>
      <c r="K138" s="513">
        <f>IFERROR(__xludf.DUMMYFUNCTION("""COMPUTED_VALUE"""),93.1)</f>
        <v/>
      </c>
      <c r="M138" s="512">
        <f>IFERROR(__xludf.DUMMYFUNCTION("""COMPUTED_VALUE"""),46063.6666666666)</f>
        <v/>
      </c>
      <c r="N138" s="513">
        <f>IFERROR(__xludf.DUMMYFUNCTION("""COMPUTED_VALUE"""),266.16)</f>
        <v/>
      </c>
      <c r="P138" s="512">
        <f>IFERROR(__xludf.DUMMYFUNCTION("""COMPUTED_VALUE"""),46063.6666666666)</f>
        <v/>
      </c>
      <c r="Q138" s="513">
        <f>IFERROR(__xludf.DUMMYFUNCTION("""COMPUTED_VALUE"""),89.22)</f>
        <v/>
      </c>
      <c r="S138" s="512">
        <f>IFERROR(__xludf.DUMMYFUNCTION("""COMPUTED_VALUE"""),45331.6666666666)</f>
        <v/>
      </c>
      <c r="T138" s="513">
        <f>IFERROR(__xludf.DUMMYFUNCTION("""COMPUTED_VALUE"""),188.85)</f>
        <v/>
      </c>
      <c r="V138" s="512">
        <f>IFERROR(__xludf.DUMMYFUNCTION("""COMPUTED_VALUE"""),46063.6666666666)</f>
        <v/>
      </c>
      <c r="W138" s="513">
        <f>IFERROR(__xludf.DUMMYFUNCTION("""COMPUTED_VALUE"""),24.14)</f>
        <v/>
      </c>
      <c r="Y138" s="512">
        <f>IFERROR(__xludf.DUMMYFUNCTION("""COMPUTED_VALUE"""),46063.6666666666)</f>
        <v/>
      </c>
      <c r="Z138" s="513">
        <f>IFERROR(__xludf.DUMMYFUNCTION("""COMPUTED_VALUE"""),74.47)</f>
        <v/>
      </c>
      <c r="AB138" s="512">
        <f>IFERROR(__xludf.DUMMYFUNCTION("""COMPUTED_VALUE"""),46063.6666666666)</f>
        <v/>
      </c>
      <c r="AC138" s="513">
        <f>IFERROR(__xludf.DUMMYFUNCTION("""COMPUTED_VALUE"""),58.01)</f>
        <v/>
      </c>
      <c r="AE138" s="512">
        <f>IFERROR(__xludf.DUMMYFUNCTION("""COMPUTED_VALUE"""),46063.6666666666)</f>
        <v/>
      </c>
      <c r="AF138" s="513">
        <f>IFERROR(__xludf.DUMMYFUNCTION("""COMPUTED_VALUE"""),96.97)</f>
        <v/>
      </c>
      <c r="AH138" s="512">
        <f>IFERROR(__xludf.DUMMYFUNCTION("""COMPUTED_VALUE"""),46063.6666666666)</f>
        <v/>
      </c>
      <c r="AI138" s="513">
        <f>IFERROR(__xludf.DUMMYFUNCTION("""COMPUTED_VALUE"""),22.93)</f>
        <v/>
      </c>
      <c r="AK138" s="512">
        <f>IFERROR(__xludf.DUMMYFUNCTION("""COMPUTED_VALUE"""),46063.6666666666)</f>
        <v/>
      </c>
      <c r="AL138" s="513">
        <f>IFERROR(__xludf.DUMMYFUNCTION("""COMPUTED_VALUE"""),80.84)</f>
        <v/>
      </c>
      <c r="AN138" s="512">
        <f>IFERROR(__xludf.DUMMYFUNCTION("""COMPUTED_VALUE"""),46063.6666666666)</f>
        <v/>
      </c>
      <c r="AO138" s="513">
        <f>IFERROR(__xludf.DUMMYFUNCTION("""COMPUTED_VALUE"""),110.99)</f>
        <v/>
      </c>
      <c r="AQ138" s="512">
        <f>IFERROR(__xludf.DUMMYFUNCTION("""COMPUTED_VALUE"""),46063.6666666666)</f>
        <v/>
      </c>
      <c r="AR138" s="513">
        <f>IFERROR(__xludf.DUMMYFUNCTION("""COMPUTED_VALUE"""),104.24)</f>
        <v/>
      </c>
      <c r="AT138" s="512">
        <f>IFERROR(__xludf.DUMMYFUNCTION("""COMPUTED_VALUE"""),46063.6666666666)</f>
        <v/>
      </c>
      <c r="AU138" s="513">
        <f>IFERROR(__xludf.DUMMYFUNCTION("""COMPUTED_VALUE"""),60.6)</f>
        <v/>
      </c>
      <c r="AW138" s="512">
        <f>IFERROR(__xludf.DUMMYFUNCTION("""COMPUTED_VALUE"""),46063.6666666666)</f>
        <v/>
      </c>
      <c r="AX138" s="513">
        <f>IFERROR(__xludf.DUMMYFUNCTION("""COMPUTED_VALUE"""),100.45)</f>
        <v/>
      </c>
      <c r="AZ138" s="512">
        <f>IFERROR(__xludf.DUMMYFUNCTION("""COMPUTED_VALUE"""),46063.6666666666)</f>
        <v/>
      </c>
      <c r="BA138" s="513">
        <f>IFERROR(__xludf.DUMMYFUNCTION("""COMPUTED_VALUE"""),110.82)</f>
        <v/>
      </c>
      <c r="BC138" s="512">
        <f>IFERROR(__xludf.DUMMYFUNCTION("""COMPUTED_VALUE"""),46063.6666666666)</f>
        <v/>
      </c>
      <c r="BD138" s="513">
        <f>IFERROR(__xludf.DUMMYFUNCTION("""COMPUTED_VALUE"""),96.51)</f>
        <v/>
      </c>
      <c r="BF138" s="512">
        <f>IFERROR(__xludf.DUMMYFUNCTION("""COMPUTED_VALUE"""),46063.6666666666)</f>
        <v/>
      </c>
      <c r="BG138" s="513">
        <f>IFERROR(__xludf.DUMMYFUNCTION("""COMPUTED_VALUE"""),82.93)</f>
        <v/>
      </c>
      <c r="BI138" s="512">
        <f>IFERROR(__xludf.DUMMYFUNCTION("""COMPUTED_VALUE"""),46063.6666666666)</f>
        <v/>
      </c>
      <c r="BJ138" s="513">
        <f>IFERROR(__xludf.DUMMYFUNCTION("""COMPUTED_VALUE"""),88.53)</f>
        <v/>
      </c>
      <c r="BL138" s="512">
        <f>IFERROR(__xludf.DUMMYFUNCTION("""COMPUTED_VALUE"""),46063.6666666666)</f>
        <v/>
      </c>
      <c r="BM138" s="513">
        <f>IFERROR(__xludf.DUMMYFUNCTION("""COMPUTED_VALUE"""),462.4)</f>
        <v/>
      </c>
      <c r="BO138" s="512">
        <f>IFERROR(__xludf.DUMMYFUNCTION("""COMPUTED_VALUE"""),46063.6666666666)</f>
        <v/>
      </c>
      <c r="BP138" s="513">
        <f>IFERROR(__xludf.DUMMYFUNCTION("""COMPUTED_VALUE"""),91.45)</f>
        <v/>
      </c>
    </row>
    <row r="139">
      <c r="A139" s="512">
        <f>IFERROR(__xludf.DUMMYFUNCTION("""COMPUTED_VALUE"""),46064.6666666666)</f>
        <v/>
      </c>
      <c r="B139" s="513">
        <f>IFERROR(__xludf.DUMMYFUNCTION("""COMPUTED_VALUE"""),691.96)</f>
        <v/>
      </c>
      <c r="D139" s="512">
        <f>IFERROR(__xludf.DUMMYFUNCTION("""COMPUTED_VALUE"""),46064.6666666666)</f>
        <v/>
      </c>
      <c r="E139" s="513">
        <f>IFERROR(__xludf.DUMMYFUNCTION("""COMPUTED_VALUE"""),93.36)</f>
        <v/>
      </c>
      <c r="G139" s="512" t="n"/>
      <c r="H139" s="513" t="n"/>
      <c r="J139" s="512">
        <f>IFERROR(__xludf.DUMMYFUNCTION("""COMPUTED_VALUE"""),46064.6666666666)</f>
        <v/>
      </c>
      <c r="K139" s="513">
        <f>IFERROR(__xludf.DUMMYFUNCTION("""COMPUTED_VALUE"""),93.97)</f>
        <v/>
      </c>
      <c r="M139" s="512">
        <f>IFERROR(__xludf.DUMMYFUNCTION("""COMPUTED_VALUE"""),46064.6666666666)</f>
        <v/>
      </c>
      <c r="N139" s="513">
        <f>IFERROR(__xludf.DUMMYFUNCTION("""COMPUTED_VALUE"""),264.95)</f>
        <v/>
      </c>
      <c r="P139" s="512">
        <f>IFERROR(__xludf.DUMMYFUNCTION("""COMPUTED_VALUE"""),46064.6666666666)</f>
        <v/>
      </c>
      <c r="Q139" s="513">
        <f>IFERROR(__xludf.DUMMYFUNCTION("""COMPUTED_VALUE"""),89.45)</f>
        <v/>
      </c>
      <c r="S139" s="512">
        <f>IFERROR(__xludf.DUMMYFUNCTION("""COMPUTED_VALUE"""),45334.6666666666)</f>
        <v/>
      </c>
      <c r="T139" s="513">
        <f>IFERROR(__xludf.DUMMYFUNCTION("""COMPUTED_VALUE"""),187.15)</f>
        <v/>
      </c>
      <c r="V139" s="512">
        <f>IFERROR(__xludf.DUMMYFUNCTION("""COMPUTED_VALUE"""),46064.6666666666)</f>
        <v/>
      </c>
      <c r="W139" s="513">
        <f>IFERROR(__xludf.DUMMYFUNCTION("""COMPUTED_VALUE"""),24.37)</f>
        <v/>
      </c>
      <c r="Y139" s="512">
        <f>IFERROR(__xludf.DUMMYFUNCTION("""COMPUTED_VALUE"""),46064.6666666666)</f>
        <v/>
      </c>
      <c r="Z139" s="513">
        <f>IFERROR(__xludf.DUMMYFUNCTION("""COMPUTED_VALUE"""),74.32)</f>
        <v/>
      </c>
      <c r="AB139" s="512">
        <f>IFERROR(__xludf.DUMMYFUNCTION("""COMPUTED_VALUE"""),46064.6666666666)</f>
        <v/>
      </c>
      <c r="AC139" s="513">
        <f>IFERROR(__xludf.DUMMYFUNCTION("""COMPUTED_VALUE"""),58.51)</f>
        <v/>
      </c>
      <c r="AE139" s="512">
        <f>IFERROR(__xludf.DUMMYFUNCTION("""COMPUTED_VALUE"""),46064.6666666666)</f>
        <v/>
      </c>
      <c r="AF139" s="513">
        <f>IFERROR(__xludf.DUMMYFUNCTION("""COMPUTED_VALUE"""),96.98)</f>
        <v/>
      </c>
      <c r="AH139" s="512">
        <f>IFERROR(__xludf.DUMMYFUNCTION("""COMPUTED_VALUE"""),46064.6666666666)</f>
        <v/>
      </c>
      <c r="AI139" s="513">
        <f>IFERROR(__xludf.DUMMYFUNCTION("""COMPUTED_VALUE"""),22.97)</f>
        <v/>
      </c>
      <c r="AK139" s="512">
        <f>IFERROR(__xludf.DUMMYFUNCTION("""COMPUTED_VALUE"""),46064.6666666666)</f>
        <v/>
      </c>
      <c r="AL139" s="513">
        <f>IFERROR(__xludf.DUMMYFUNCTION("""COMPUTED_VALUE"""),80.83)</f>
        <v/>
      </c>
      <c r="AN139" s="512">
        <f>IFERROR(__xludf.DUMMYFUNCTION("""COMPUTED_VALUE"""),46064.6666666666)</f>
        <v/>
      </c>
      <c r="AO139" s="513">
        <f>IFERROR(__xludf.DUMMYFUNCTION("""COMPUTED_VALUE"""),110.81)</f>
        <v/>
      </c>
      <c r="AQ139" s="512">
        <f>IFERROR(__xludf.DUMMYFUNCTION("""COMPUTED_VALUE"""),46064.6666666666)</f>
        <v/>
      </c>
      <c r="AR139" s="513">
        <f>IFERROR(__xludf.DUMMYFUNCTION("""COMPUTED_VALUE"""),104.94)</f>
        <v/>
      </c>
      <c r="AT139" s="512">
        <f>IFERROR(__xludf.DUMMYFUNCTION("""COMPUTED_VALUE"""),46064.6666666666)</f>
        <v/>
      </c>
      <c r="AU139" s="513">
        <f>IFERROR(__xludf.DUMMYFUNCTION("""COMPUTED_VALUE"""),61.56)</f>
        <v/>
      </c>
      <c r="AW139" s="512">
        <f>IFERROR(__xludf.DUMMYFUNCTION("""COMPUTED_VALUE"""),46064.6666666666)</f>
        <v/>
      </c>
      <c r="AX139" s="513">
        <f>IFERROR(__xludf.DUMMYFUNCTION("""COMPUTED_VALUE"""),100.22)</f>
        <v/>
      </c>
      <c r="AZ139" s="512">
        <f>IFERROR(__xludf.DUMMYFUNCTION("""COMPUTED_VALUE"""),46064.6666666666)</f>
        <v/>
      </c>
      <c r="BA139" s="513">
        <f>IFERROR(__xludf.DUMMYFUNCTION("""COMPUTED_VALUE"""),110.7)</f>
        <v/>
      </c>
      <c r="BC139" s="512">
        <f>IFERROR(__xludf.DUMMYFUNCTION("""COMPUTED_VALUE"""),46064.6666666666)</f>
        <v/>
      </c>
      <c r="BD139" s="513">
        <f>IFERROR(__xludf.DUMMYFUNCTION("""COMPUTED_VALUE"""),96.24)</f>
        <v/>
      </c>
      <c r="BF139" s="512">
        <f>IFERROR(__xludf.DUMMYFUNCTION("""COMPUTED_VALUE"""),46064.6666666666)</f>
        <v/>
      </c>
      <c r="BG139" s="513">
        <f>IFERROR(__xludf.DUMMYFUNCTION("""COMPUTED_VALUE"""),82.85)</f>
        <v/>
      </c>
      <c r="BI139" s="512">
        <f>IFERROR(__xludf.DUMMYFUNCTION("""COMPUTED_VALUE"""),46064.6666666666)</f>
        <v/>
      </c>
      <c r="BJ139" s="513">
        <f>IFERROR(__xludf.DUMMYFUNCTION("""COMPUTED_VALUE"""),88.06)</f>
        <v/>
      </c>
      <c r="BL139" s="512">
        <f>IFERROR(__xludf.DUMMYFUNCTION("""COMPUTED_VALUE"""),46064.6666666666)</f>
        <v/>
      </c>
      <c r="BM139" s="513">
        <f>IFERROR(__xludf.DUMMYFUNCTION("""COMPUTED_VALUE"""),467.63)</f>
        <v/>
      </c>
      <c r="BO139" s="512">
        <f>IFERROR(__xludf.DUMMYFUNCTION("""COMPUTED_VALUE"""),46064.6666666666)</f>
        <v/>
      </c>
      <c r="BP139" s="513">
        <f>IFERROR(__xludf.DUMMYFUNCTION("""COMPUTED_VALUE"""),91.47)</f>
        <v/>
      </c>
    </row>
    <row r="140">
      <c r="A140" s="512">
        <f>IFERROR(__xludf.DUMMYFUNCTION("""COMPUTED_VALUE"""),46065.6666666666)</f>
        <v/>
      </c>
      <c r="B140" s="513">
        <f>IFERROR(__xludf.DUMMYFUNCTION("""COMPUTED_VALUE"""),681.27)</f>
        <v/>
      </c>
      <c r="D140" s="512">
        <f>IFERROR(__xludf.DUMMYFUNCTION("""COMPUTED_VALUE"""),46065.6666666666)</f>
        <v/>
      </c>
      <c r="E140" s="513">
        <f>IFERROR(__xludf.DUMMYFUNCTION("""COMPUTED_VALUE"""),93.25)</f>
        <v/>
      </c>
      <c r="G140" s="512" t="n"/>
      <c r="H140" s="513" t="n"/>
      <c r="J140" s="512">
        <f>IFERROR(__xludf.DUMMYFUNCTION("""COMPUTED_VALUE"""),46065.6666666666)</f>
        <v/>
      </c>
      <c r="K140" s="513">
        <f>IFERROR(__xludf.DUMMYFUNCTION("""COMPUTED_VALUE"""),93.37)</f>
        <v/>
      </c>
      <c r="M140" s="512">
        <f>IFERROR(__xludf.DUMMYFUNCTION("""COMPUTED_VALUE"""),46065.6666666666)</f>
        <v/>
      </c>
      <c r="N140" s="513">
        <f>IFERROR(__xludf.DUMMYFUNCTION("""COMPUTED_VALUE"""),259.54)</f>
        <v/>
      </c>
      <c r="P140" s="512">
        <f>IFERROR(__xludf.DUMMYFUNCTION("""COMPUTED_VALUE"""),46065.6666666666)</f>
        <v/>
      </c>
      <c r="Q140" s="513">
        <f>IFERROR(__xludf.DUMMYFUNCTION("""COMPUTED_VALUE"""),88.75)</f>
        <v/>
      </c>
      <c r="S140" s="512">
        <f>IFERROR(__xludf.DUMMYFUNCTION("""COMPUTED_VALUE"""),45335.6666666666)</f>
        <v/>
      </c>
      <c r="T140" s="513">
        <f>IFERROR(__xludf.DUMMYFUNCTION("""COMPUTED_VALUE"""),185.04)</f>
        <v/>
      </c>
      <c r="V140" s="512">
        <f>IFERROR(__xludf.DUMMYFUNCTION("""COMPUTED_VALUE"""),46065.6666666666)</f>
        <v/>
      </c>
      <c r="W140" s="513">
        <f>IFERROR(__xludf.DUMMYFUNCTION("""COMPUTED_VALUE"""),23.8)</f>
        <v/>
      </c>
      <c r="Y140" s="512">
        <f>IFERROR(__xludf.DUMMYFUNCTION("""COMPUTED_VALUE"""),46065.6666666666)</f>
        <v/>
      </c>
      <c r="Z140" s="513">
        <f>IFERROR(__xludf.DUMMYFUNCTION("""COMPUTED_VALUE"""),74.66)</f>
        <v/>
      </c>
      <c r="AB140" s="512">
        <f>IFERROR(__xludf.DUMMYFUNCTION("""COMPUTED_VALUE"""),46065.6666666666)</f>
        <v/>
      </c>
      <c r="AC140" s="513">
        <f>IFERROR(__xludf.DUMMYFUNCTION("""COMPUTED_VALUE"""),57.76)</f>
        <v/>
      </c>
      <c r="AE140" s="512">
        <f>IFERROR(__xludf.DUMMYFUNCTION("""COMPUTED_VALUE"""),46065.6666666666)</f>
        <v/>
      </c>
      <c r="AF140" s="513">
        <f>IFERROR(__xludf.DUMMYFUNCTION("""COMPUTED_VALUE"""),97.25)</f>
        <v/>
      </c>
      <c r="AH140" s="512">
        <f>IFERROR(__xludf.DUMMYFUNCTION("""COMPUTED_VALUE"""),46065.6666666666)</f>
        <v/>
      </c>
      <c r="AI140" s="513">
        <f>IFERROR(__xludf.DUMMYFUNCTION("""COMPUTED_VALUE"""),23.04)</f>
        <v/>
      </c>
      <c r="AK140" s="512">
        <f>IFERROR(__xludf.DUMMYFUNCTION("""COMPUTED_VALUE"""),46065.6666666666)</f>
        <v/>
      </c>
      <c r="AL140" s="513">
        <f>IFERROR(__xludf.DUMMYFUNCTION("""COMPUTED_VALUE"""),80.79)</f>
        <v/>
      </c>
      <c r="AN140" s="512">
        <f>IFERROR(__xludf.DUMMYFUNCTION("""COMPUTED_VALUE"""),46065.6666666666)</f>
        <v/>
      </c>
      <c r="AO140" s="513">
        <f>IFERROR(__xludf.DUMMYFUNCTION("""COMPUTED_VALUE"""),111.25)</f>
        <v/>
      </c>
      <c r="AQ140" s="512">
        <f>IFERROR(__xludf.DUMMYFUNCTION("""COMPUTED_VALUE"""),46065.6666666666)</f>
        <v/>
      </c>
      <c r="AR140" s="513">
        <f>IFERROR(__xludf.DUMMYFUNCTION("""COMPUTED_VALUE"""),104.15)</f>
        <v/>
      </c>
      <c r="AT140" s="512">
        <f>IFERROR(__xludf.DUMMYFUNCTION("""COMPUTED_VALUE"""),46065.6666666666)</f>
        <v/>
      </c>
      <c r="AU140" s="513">
        <f>IFERROR(__xludf.DUMMYFUNCTION("""COMPUTED_VALUE"""),60.86)</f>
        <v/>
      </c>
      <c r="AW140" s="512">
        <f>IFERROR(__xludf.DUMMYFUNCTION("""COMPUTED_VALUE"""),46065.6666666666)</f>
        <v/>
      </c>
      <c r="AX140" s="513">
        <f>IFERROR(__xludf.DUMMYFUNCTION("""COMPUTED_VALUE"""),100.67)</f>
        <v/>
      </c>
      <c r="AZ140" s="512">
        <f>IFERROR(__xludf.DUMMYFUNCTION("""COMPUTED_VALUE"""),46065.6666666666)</f>
        <v/>
      </c>
      <c r="BA140" s="513">
        <f>IFERROR(__xludf.DUMMYFUNCTION("""COMPUTED_VALUE"""),111.22)</f>
        <v/>
      </c>
      <c r="BC140" s="512">
        <f>IFERROR(__xludf.DUMMYFUNCTION("""COMPUTED_VALUE"""),46065.6666666666)</f>
        <v/>
      </c>
      <c r="BD140" s="513">
        <f>IFERROR(__xludf.DUMMYFUNCTION("""COMPUTED_VALUE"""),96.83)</f>
        <v/>
      </c>
      <c r="BF140" s="512">
        <f>IFERROR(__xludf.DUMMYFUNCTION("""COMPUTED_VALUE"""),46065.6666666666)</f>
        <v/>
      </c>
      <c r="BG140" s="513">
        <f>IFERROR(__xludf.DUMMYFUNCTION("""COMPUTED_VALUE"""),82.93)</f>
        <v/>
      </c>
      <c r="BI140" s="512">
        <f>IFERROR(__xludf.DUMMYFUNCTION("""COMPUTED_VALUE"""),46065.6666666666)</f>
        <v/>
      </c>
      <c r="BJ140" s="513">
        <f>IFERROR(__xludf.DUMMYFUNCTION("""COMPUTED_VALUE"""),89.23)</f>
        <v/>
      </c>
      <c r="BL140" s="512">
        <f>IFERROR(__xludf.DUMMYFUNCTION("""COMPUTED_VALUE"""),46065.6666666666)</f>
        <v/>
      </c>
      <c r="BM140" s="513">
        <f>IFERROR(__xludf.DUMMYFUNCTION("""COMPUTED_VALUE"""),451.39)</f>
        <v/>
      </c>
      <c r="BO140" s="512">
        <f>IFERROR(__xludf.DUMMYFUNCTION("""COMPUTED_VALUE"""),46065.6666666666)</f>
        <v/>
      </c>
      <c r="BP140" s="513">
        <f>IFERROR(__xludf.DUMMYFUNCTION("""COMPUTED_VALUE"""),91.47)</f>
        <v/>
      </c>
    </row>
    <row r="141">
      <c r="A141" s="512">
        <f>IFERROR(__xludf.DUMMYFUNCTION("""COMPUTED_VALUE"""),46066.6666666666)</f>
        <v/>
      </c>
      <c r="B141" s="513">
        <f>IFERROR(__xludf.DUMMYFUNCTION("""COMPUTED_VALUE"""),681.75)</f>
        <v/>
      </c>
      <c r="D141" s="512">
        <f>IFERROR(__xludf.DUMMYFUNCTION("""COMPUTED_VALUE"""),46066.6666666666)</f>
        <v/>
      </c>
      <c r="E141" s="513">
        <f>IFERROR(__xludf.DUMMYFUNCTION("""COMPUTED_VALUE"""),94.59)</f>
        <v/>
      </c>
      <c r="G141" s="512" t="n"/>
      <c r="H141" s="513" t="n"/>
      <c r="J141" s="512">
        <f>IFERROR(__xludf.DUMMYFUNCTION("""COMPUTED_VALUE"""),46066.6666666666)</f>
        <v/>
      </c>
      <c r="K141" s="513">
        <f>IFERROR(__xludf.DUMMYFUNCTION("""COMPUTED_VALUE"""),93.85)</f>
        <v/>
      </c>
      <c r="M141" s="512">
        <f>IFERROR(__xludf.DUMMYFUNCTION("""COMPUTED_VALUE"""),46066.6666666666)</f>
        <v/>
      </c>
      <c r="N141" s="513">
        <f>IFERROR(__xludf.DUMMYFUNCTION("""COMPUTED_VALUE"""),262.96)</f>
        <v/>
      </c>
      <c r="P141" s="512">
        <f>IFERROR(__xludf.DUMMYFUNCTION("""COMPUTED_VALUE"""),46066.6666666666)</f>
        <v/>
      </c>
      <c r="Q141" s="513">
        <f>IFERROR(__xludf.DUMMYFUNCTION("""COMPUTED_VALUE"""),88.7)</f>
        <v/>
      </c>
      <c r="S141" s="512">
        <f>IFERROR(__xludf.DUMMYFUNCTION("""COMPUTED_VALUE"""),45336.6666666666)</f>
        <v/>
      </c>
      <c r="T141" s="513">
        <f>IFERROR(__xludf.DUMMYFUNCTION("""COMPUTED_VALUE"""),184.15)</f>
        <v/>
      </c>
      <c r="V141" s="512">
        <f>IFERROR(__xludf.DUMMYFUNCTION("""COMPUTED_VALUE"""),46066.6666666666)</f>
        <v/>
      </c>
      <c r="W141" s="513">
        <f>IFERROR(__xludf.DUMMYFUNCTION("""COMPUTED_VALUE"""),23.88)</f>
        <v/>
      </c>
      <c r="Y141" s="512">
        <f>IFERROR(__xludf.DUMMYFUNCTION("""COMPUTED_VALUE"""),46066.6666666666)</f>
        <v/>
      </c>
      <c r="Z141" s="513">
        <f>IFERROR(__xludf.DUMMYFUNCTION("""COMPUTED_VALUE"""),74.88)</f>
        <v/>
      </c>
      <c r="AB141" s="512">
        <f>IFERROR(__xludf.DUMMYFUNCTION("""COMPUTED_VALUE"""),46066.6666666666)</f>
        <v/>
      </c>
      <c r="AC141" s="513">
        <f>IFERROR(__xludf.DUMMYFUNCTION("""COMPUTED_VALUE"""),57.75)</f>
        <v/>
      </c>
      <c r="AE141" s="512">
        <f>IFERROR(__xludf.DUMMYFUNCTION("""COMPUTED_VALUE"""),46066.6666666666)</f>
        <v/>
      </c>
      <c r="AF141" s="513">
        <f>IFERROR(__xludf.DUMMYFUNCTION("""COMPUTED_VALUE"""),97.42)</f>
        <v/>
      </c>
      <c r="AH141" s="512">
        <f>IFERROR(__xludf.DUMMYFUNCTION("""COMPUTED_VALUE"""),46066.6666666666)</f>
        <v/>
      </c>
      <c r="AI141" s="513">
        <f>IFERROR(__xludf.DUMMYFUNCTION("""COMPUTED_VALUE"""),23.08)</f>
        <v/>
      </c>
      <c r="AK141" s="512">
        <f>IFERROR(__xludf.DUMMYFUNCTION("""COMPUTED_VALUE"""),46066.6666666666)</f>
        <v/>
      </c>
      <c r="AL141" s="513">
        <f>IFERROR(__xludf.DUMMYFUNCTION("""COMPUTED_VALUE"""),80.85)</f>
        <v/>
      </c>
      <c r="AN141" s="512">
        <f>IFERROR(__xludf.DUMMYFUNCTION("""COMPUTED_VALUE"""),46066.6666666666)</f>
        <v/>
      </c>
      <c r="AO141" s="513">
        <f>IFERROR(__xludf.DUMMYFUNCTION("""COMPUTED_VALUE"""),111.39)</f>
        <v/>
      </c>
      <c r="AQ141" s="512">
        <f>IFERROR(__xludf.DUMMYFUNCTION("""COMPUTED_VALUE"""),46066.6666666666)</f>
        <v/>
      </c>
      <c r="AR141" s="513">
        <f>IFERROR(__xludf.DUMMYFUNCTION("""COMPUTED_VALUE"""),104.24)</f>
        <v/>
      </c>
      <c r="AT141" s="512">
        <f>IFERROR(__xludf.DUMMYFUNCTION("""COMPUTED_VALUE"""),46066.6666666666)</f>
        <v/>
      </c>
      <c r="AU141" s="513">
        <f>IFERROR(__xludf.DUMMYFUNCTION("""COMPUTED_VALUE"""),61.12)</f>
        <v/>
      </c>
      <c r="AW141" s="512">
        <f>IFERROR(__xludf.DUMMYFUNCTION("""COMPUTED_VALUE"""),46066.6666666666)</f>
        <v/>
      </c>
      <c r="AX141" s="513">
        <f>IFERROR(__xludf.DUMMYFUNCTION("""COMPUTED_VALUE"""),100.99)</f>
        <v/>
      </c>
      <c r="AZ141" s="512">
        <f>IFERROR(__xludf.DUMMYFUNCTION("""COMPUTED_VALUE"""),46066.6666666666)</f>
        <v/>
      </c>
      <c r="BA141" s="513">
        <f>IFERROR(__xludf.DUMMYFUNCTION("""COMPUTED_VALUE"""),111.59)</f>
        <v/>
      </c>
      <c r="BC141" s="512">
        <f>IFERROR(__xludf.DUMMYFUNCTION("""COMPUTED_VALUE"""),46066.6666666666)</f>
        <v/>
      </c>
      <c r="BD141" s="513">
        <f>IFERROR(__xludf.DUMMYFUNCTION("""COMPUTED_VALUE"""),97.21)</f>
        <v/>
      </c>
      <c r="BF141" s="512">
        <f>IFERROR(__xludf.DUMMYFUNCTION("""COMPUTED_VALUE"""),46066.6666666666)</f>
        <v/>
      </c>
      <c r="BG141" s="513">
        <f>IFERROR(__xludf.DUMMYFUNCTION("""COMPUTED_VALUE"""),83.06)</f>
        <v/>
      </c>
      <c r="BI141" s="512">
        <f>IFERROR(__xludf.DUMMYFUNCTION("""COMPUTED_VALUE"""),46066.6666666666)</f>
        <v/>
      </c>
      <c r="BJ141" s="513">
        <f>IFERROR(__xludf.DUMMYFUNCTION("""COMPUTED_VALUE"""),89.72)</f>
        <v/>
      </c>
      <c r="BL141" s="512">
        <f>IFERROR(__xludf.DUMMYFUNCTION("""COMPUTED_VALUE"""),46066.6666666666)</f>
        <v/>
      </c>
      <c r="BM141" s="513">
        <f>IFERROR(__xludf.DUMMYFUNCTION("""COMPUTED_VALUE"""),462.62)</f>
        <v/>
      </c>
      <c r="BO141" s="512">
        <f>IFERROR(__xludf.DUMMYFUNCTION("""COMPUTED_VALUE"""),46066.6666666666)</f>
        <v/>
      </c>
      <c r="BP141" s="513">
        <f>IFERROR(__xludf.DUMMYFUNCTION("""COMPUTED_VALUE"""),91.51)</f>
        <v/>
      </c>
    </row>
    <row r="142">
      <c r="A142" s="512">
        <f>IFERROR(__xludf.DUMMYFUNCTION("""COMPUTED_VALUE"""),46070.6666666666)</f>
        <v/>
      </c>
      <c r="B142" s="513">
        <f>IFERROR(__xludf.DUMMYFUNCTION("""COMPUTED_VALUE"""),682.85)</f>
        <v/>
      </c>
      <c r="D142" s="512">
        <f>IFERROR(__xludf.DUMMYFUNCTION("""COMPUTED_VALUE"""),46070.6666666666)</f>
        <v/>
      </c>
      <c r="E142" s="513">
        <f>IFERROR(__xludf.DUMMYFUNCTION("""COMPUTED_VALUE"""),95.49)</f>
        <v/>
      </c>
      <c r="G142" s="512" t="n"/>
      <c r="H142" s="513" t="n"/>
      <c r="J142" s="512">
        <f>IFERROR(__xludf.DUMMYFUNCTION("""COMPUTED_VALUE"""),46070.6666666666)</f>
        <v/>
      </c>
      <c r="K142" s="513">
        <f>IFERROR(__xludf.DUMMYFUNCTION("""COMPUTED_VALUE"""),91.87)</f>
        <v/>
      </c>
      <c r="M142" s="512">
        <f>IFERROR(__xludf.DUMMYFUNCTION("""COMPUTED_VALUE"""),46070.6666666666)</f>
        <v/>
      </c>
      <c r="N142" s="513">
        <f>IFERROR(__xludf.DUMMYFUNCTION("""COMPUTED_VALUE"""),263.04)</f>
        <v/>
      </c>
      <c r="P142" s="512">
        <f>IFERROR(__xludf.DUMMYFUNCTION("""COMPUTED_VALUE"""),46070.6666666666)</f>
        <v/>
      </c>
      <c r="Q142" s="513">
        <f>IFERROR(__xludf.DUMMYFUNCTION("""COMPUTED_VALUE"""),89.23)</f>
        <v/>
      </c>
      <c r="S142" s="512">
        <f>IFERROR(__xludf.DUMMYFUNCTION("""COMPUTED_VALUE"""),45337.6666666666)</f>
        <v/>
      </c>
      <c r="T142" s="513">
        <f>IFERROR(__xludf.DUMMYFUNCTION("""COMPUTED_VALUE"""),183.86)</f>
        <v/>
      </c>
      <c r="V142" s="512">
        <f>IFERROR(__xludf.DUMMYFUNCTION("""COMPUTED_VALUE"""),46070.6666666666)</f>
        <v/>
      </c>
      <c r="W142" s="513">
        <f>IFERROR(__xludf.DUMMYFUNCTION("""COMPUTED_VALUE"""),23.59)</f>
        <v/>
      </c>
      <c r="Y142" s="512">
        <f>IFERROR(__xludf.DUMMYFUNCTION("""COMPUTED_VALUE"""),46070.6666666666)</f>
        <v/>
      </c>
      <c r="Z142" s="513">
        <f>IFERROR(__xludf.DUMMYFUNCTION("""COMPUTED_VALUE"""),74.87)</f>
        <v/>
      </c>
      <c r="AB142" s="512">
        <f>IFERROR(__xludf.DUMMYFUNCTION("""COMPUTED_VALUE"""),46070.6666666666)</f>
        <v/>
      </c>
      <c r="AC142" s="513">
        <f>IFERROR(__xludf.DUMMYFUNCTION("""COMPUTED_VALUE"""),57.79)</f>
        <v/>
      </c>
      <c r="AE142" s="512">
        <f>IFERROR(__xludf.DUMMYFUNCTION("""COMPUTED_VALUE"""),46070.6666666666)</f>
        <v/>
      </c>
      <c r="AF142" s="513">
        <f>IFERROR(__xludf.DUMMYFUNCTION("""COMPUTED_VALUE"""),97.62)</f>
        <v/>
      </c>
      <c r="AH142" s="512">
        <f>IFERROR(__xludf.DUMMYFUNCTION("""COMPUTED_VALUE"""),46070.6666666666)</f>
        <v/>
      </c>
      <c r="AI142" s="513">
        <f>IFERROR(__xludf.DUMMYFUNCTION("""COMPUTED_VALUE"""),23.07)</f>
        <v/>
      </c>
      <c r="AK142" s="512">
        <f>IFERROR(__xludf.DUMMYFUNCTION("""COMPUTED_VALUE"""),46070.6666666666)</f>
        <v/>
      </c>
      <c r="AL142" s="513">
        <f>IFERROR(__xludf.DUMMYFUNCTION("""COMPUTED_VALUE"""),80.81)</f>
        <v/>
      </c>
      <c r="AN142" s="512">
        <f>IFERROR(__xludf.DUMMYFUNCTION("""COMPUTED_VALUE"""),46070.6666666666)</f>
        <v/>
      </c>
      <c r="AO142" s="513">
        <f>IFERROR(__xludf.DUMMYFUNCTION("""COMPUTED_VALUE"""),111.23)</f>
        <v/>
      </c>
      <c r="AQ142" s="512">
        <f>IFERROR(__xludf.DUMMYFUNCTION("""COMPUTED_VALUE"""),46070.6666666666)</f>
        <v/>
      </c>
      <c r="AR142" s="513">
        <f>IFERROR(__xludf.DUMMYFUNCTION("""COMPUTED_VALUE"""),104.22)</f>
        <v/>
      </c>
      <c r="AT142" s="512">
        <f>IFERROR(__xludf.DUMMYFUNCTION("""COMPUTED_VALUE"""),46070.6666666666)</f>
        <v/>
      </c>
      <c r="AU142" s="513">
        <f>IFERROR(__xludf.DUMMYFUNCTION("""COMPUTED_VALUE"""),60.87)</f>
        <v/>
      </c>
      <c r="AW142" s="512">
        <f>IFERROR(__xludf.DUMMYFUNCTION("""COMPUTED_VALUE"""),46070.6666666666)</f>
        <v/>
      </c>
      <c r="AX142" s="513">
        <f>IFERROR(__xludf.DUMMYFUNCTION("""COMPUTED_VALUE"""),101)</f>
        <v/>
      </c>
      <c r="AZ142" s="512">
        <f>IFERROR(__xludf.DUMMYFUNCTION("""COMPUTED_VALUE"""),46070.6666666666)</f>
        <v/>
      </c>
      <c r="BA142" s="513">
        <f>IFERROR(__xludf.DUMMYFUNCTION("""COMPUTED_VALUE"""),111.7)</f>
        <v/>
      </c>
      <c r="BC142" s="512">
        <f>IFERROR(__xludf.DUMMYFUNCTION("""COMPUTED_VALUE"""),46070.6666666666)</f>
        <v/>
      </c>
      <c r="BD142" s="513">
        <f>IFERROR(__xludf.DUMMYFUNCTION("""COMPUTED_VALUE"""),97.2)</f>
        <v/>
      </c>
      <c r="BF142" s="512">
        <f>IFERROR(__xludf.DUMMYFUNCTION("""COMPUTED_VALUE"""),46070.6666666666)</f>
        <v/>
      </c>
      <c r="BG142" s="513">
        <f>IFERROR(__xludf.DUMMYFUNCTION("""COMPUTED_VALUE"""),83.03)</f>
        <v/>
      </c>
      <c r="BI142" s="512">
        <f>IFERROR(__xludf.DUMMYFUNCTION("""COMPUTED_VALUE"""),46070.6666666666)</f>
        <v/>
      </c>
      <c r="BJ142" s="513">
        <f>IFERROR(__xludf.DUMMYFUNCTION("""COMPUTED_VALUE"""),89.87)</f>
        <v/>
      </c>
      <c r="BL142" s="512">
        <f>IFERROR(__xludf.DUMMYFUNCTION("""COMPUTED_VALUE"""),46070.6666666666)</f>
        <v/>
      </c>
      <c r="BM142" s="513">
        <f>IFERROR(__xludf.DUMMYFUNCTION("""COMPUTED_VALUE"""),448.2)</f>
        <v/>
      </c>
      <c r="BO142" s="512">
        <f>IFERROR(__xludf.DUMMYFUNCTION("""COMPUTED_VALUE"""),46070.6666666666)</f>
        <v/>
      </c>
      <c r="BP142" s="513">
        <f>IFERROR(__xludf.DUMMYFUNCTION("""COMPUTED_VALUE"""),91.52)</f>
        <v/>
      </c>
    </row>
    <row r="143">
      <c r="A143" s="512">
        <f>IFERROR(__xludf.DUMMYFUNCTION("""COMPUTED_VALUE"""),46071.6666666666)</f>
        <v/>
      </c>
      <c r="B143" s="513">
        <f>IFERROR(__xludf.DUMMYFUNCTION("""COMPUTED_VALUE"""),686.29)</f>
        <v/>
      </c>
      <c r="D143" s="512">
        <f>IFERROR(__xludf.DUMMYFUNCTION("""COMPUTED_VALUE"""),46071.6666666666)</f>
        <v/>
      </c>
      <c r="E143" s="513">
        <f>IFERROR(__xludf.DUMMYFUNCTION("""COMPUTED_VALUE"""),94.37)</f>
        <v/>
      </c>
      <c r="G143" s="512" t="n"/>
      <c r="H143" s="513" t="n"/>
      <c r="J143" s="512">
        <f>IFERROR(__xludf.DUMMYFUNCTION("""COMPUTED_VALUE"""),46071.6666666666)</f>
        <v/>
      </c>
      <c r="K143" s="513">
        <f>IFERROR(__xludf.DUMMYFUNCTION("""COMPUTED_VALUE"""),91.38)</f>
        <v/>
      </c>
      <c r="M143" s="512">
        <f>IFERROR(__xludf.DUMMYFUNCTION("""COMPUTED_VALUE"""),46071.6666666666)</f>
        <v/>
      </c>
      <c r="N143" s="513">
        <f>IFERROR(__xludf.DUMMYFUNCTION("""COMPUTED_VALUE"""),263.99)</f>
        <v/>
      </c>
      <c r="P143" s="512">
        <f>IFERROR(__xludf.DUMMYFUNCTION("""COMPUTED_VALUE"""),46071.6666666666)</f>
        <v/>
      </c>
      <c r="Q143" s="513">
        <f>IFERROR(__xludf.DUMMYFUNCTION("""COMPUTED_VALUE"""),89.53)</f>
        <v/>
      </c>
      <c r="S143" s="512">
        <f>IFERROR(__xludf.DUMMYFUNCTION("""COMPUTED_VALUE"""),45338.6666666666)</f>
        <v/>
      </c>
      <c r="T143" s="513">
        <f>IFERROR(__xludf.DUMMYFUNCTION("""COMPUTED_VALUE"""),182.31)</f>
        <v/>
      </c>
      <c r="V143" s="512">
        <f>IFERROR(__xludf.DUMMYFUNCTION("""COMPUTED_VALUE"""),46071.6666666666)</f>
        <v/>
      </c>
      <c r="W143" s="513">
        <f>IFERROR(__xludf.DUMMYFUNCTION("""COMPUTED_VALUE"""),24.21)</f>
        <v/>
      </c>
      <c r="Y143" s="512">
        <f>IFERROR(__xludf.DUMMYFUNCTION("""COMPUTED_VALUE"""),46071.6666666666)</f>
        <v/>
      </c>
      <c r="Z143" s="513">
        <f>IFERROR(__xludf.DUMMYFUNCTION("""COMPUTED_VALUE"""),74.79)</f>
        <v/>
      </c>
      <c r="AB143" s="512">
        <f>IFERROR(__xludf.DUMMYFUNCTION("""COMPUTED_VALUE"""),46071.6666666666)</f>
        <v/>
      </c>
      <c r="AC143" s="513">
        <f>IFERROR(__xludf.DUMMYFUNCTION("""COMPUTED_VALUE"""),57.95)</f>
        <v/>
      </c>
      <c r="AE143" s="512">
        <f>IFERROR(__xludf.DUMMYFUNCTION("""COMPUTED_VALUE"""),46071.6666666666)</f>
        <v/>
      </c>
      <c r="AF143" s="513">
        <f>IFERROR(__xludf.DUMMYFUNCTION("""COMPUTED_VALUE"""),97.66)</f>
        <v/>
      </c>
      <c r="AH143" s="512">
        <f>IFERROR(__xludf.DUMMYFUNCTION("""COMPUTED_VALUE"""),46071.6666666666)</f>
        <v/>
      </c>
      <c r="AI143" s="513">
        <f>IFERROR(__xludf.DUMMYFUNCTION("""COMPUTED_VALUE"""),22.93)</f>
        <v/>
      </c>
      <c r="AK143" s="512">
        <f>IFERROR(__xludf.DUMMYFUNCTION("""COMPUTED_VALUE"""),46071.6666666666)</f>
        <v/>
      </c>
      <c r="AL143" s="513">
        <f>IFERROR(__xludf.DUMMYFUNCTION("""COMPUTED_VALUE"""),80.91)</f>
        <v/>
      </c>
      <c r="AN143" s="512">
        <f>IFERROR(__xludf.DUMMYFUNCTION("""COMPUTED_VALUE"""),46071.6666666666)</f>
        <v/>
      </c>
      <c r="AO143" s="513">
        <f>IFERROR(__xludf.DUMMYFUNCTION("""COMPUTED_VALUE"""),111.16)</f>
        <v/>
      </c>
      <c r="AQ143" s="512">
        <f>IFERROR(__xludf.DUMMYFUNCTION("""COMPUTED_VALUE"""),46071.6666666666)</f>
        <v/>
      </c>
      <c r="AR143" s="513">
        <f>IFERROR(__xludf.DUMMYFUNCTION("""COMPUTED_VALUE"""),104.34)</f>
        <v/>
      </c>
      <c r="AT143" s="512">
        <f>IFERROR(__xludf.DUMMYFUNCTION("""COMPUTED_VALUE"""),46071.6666666666)</f>
        <v/>
      </c>
      <c r="AU143" s="513">
        <f>IFERROR(__xludf.DUMMYFUNCTION("""COMPUTED_VALUE"""),61.19)</f>
        <v/>
      </c>
      <c r="AW143" s="512">
        <f>IFERROR(__xludf.DUMMYFUNCTION("""COMPUTED_VALUE"""),46071.6666666666)</f>
        <v/>
      </c>
      <c r="AX143" s="513">
        <f>IFERROR(__xludf.DUMMYFUNCTION("""COMPUTED_VALUE"""),100.86)</f>
        <v/>
      </c>
      <c r="AZ143" s="512">
        <f>IFERROR(__xludf.DUMMYFUNCTION("""COMPUTED_VALUE"""),46071.6666666666)</f>
        <v/>
      </c>
      <c r="BA143" s="513">
        <f>IFERROR(__xludf.DUMMYFUNCTION("""COMPUTED_VALUE"""),111.59)</f>
        <v/>
      </c>
      <c r="BC143" s="512">
        <f>IFERROR(__xludf.DUMMYFUNCTION("""COMPUTED_VALUE"""),46071.6666666666)</f>
        <v/>
      </c>
      <c r="BD143" s="513">
        <f>IFERROR(__xludf.DUMMYFUNCTION("""COMPUTED_VALUE"""),97)</f>
        <v/>
      </c>
      <c r="BF143" s="512">
        <f>IFERROR(__xludf.DUMMYFUNCTION("""COMPUTED_VALUE"""),46071.6666666666)</f>
        <v/>
      </c>
      <c r="BG143" s="513">
        <f>IFERROR(__xludf.DUMMYFUNCTION("""COMPUTED_VALUE"""),82.98)</f>
        <v/>
      </c>
      <c r="BI143" s="512">
        <f>IFERROR(__xludf.DUMMYFUNCTION("""COMPUTED_VALUE"""),46071.6666666666)</f>
        <v/>
      </c>
      <c r="BJ143" s="513">
        <f>IFERROR(__xludf.DUMMYFUNCTION("""COMPUTED_VALUE"""),89.53)</f>
        <v/>
      </c>
      <c r="BL143" s="512">
        <f>IFERROR(__xludf.DUMMYFUNCTION("""COMPUTED_VALUE"""),46071.6666666666)</f>
        <v/>
      </c>
      <c r="BM143" s="513">
        <f>IFERROR(__xludf.DUMMYFUNCTION("""COMPUTED_VALUE"""),458.28)</f>
        <v/>
      </c>
      <c r="BO143" s="512">
        <f>IFERROR(__xludf.DUMMYFUNCTION("""COMPUTED_VALUE"""),46071.6666666666)</f>
        <v/>
      </c>
      <c r="BP143" s="513">
        <f>IFERROR(__xludf.DUMMYFUNCTION("""COMPUTED_VALUE"""),91.53)</f>
        <v/>
      </c>
    </row>
    <row r="144">
      <c r="A144" s="512">
        <f>IFERROR(__xludf.DUMMYFUNCTION("""COMPUTED_VALUE"""),46072.6666666666)</f>
        <v/>
      </c>
      <c r="B144" s="513">
        <f>IFERROR(__xludf.DUMMYFUNCTION("""COMPUTED_VALUE"""),684.48)</f>
        <v/>
      </c>
      <c r="D144" s="512">
        <f>IFERROR(__xludf.DUMMYFUNCTION("""COMPUTED_VALUE"""),46072.6666666666)</f>
        <v/>
      </c>
      <c r="E144" s="513">
        <f>IFERROR(__xludf.DUMMYFUNCTION("""COMPUTED_VALUE"""),94.17)</f>
        <v/>
      </c>
      <c r="G144" s="512" t="n"/>
      <c r="H144" s="513" t="n"/>
      <c r="J144" s="512">
        <f>IFERROR(__xludf.DUMMYFUNCTION("""COMPUTED_VALUE"""),46072.6666666666)</f>
        <v/>
      </c>
      <c r="K144" s="513">
        <f>IFERROR(__xludf.DUMMYFUNCTION("""COMPUTED_VALUE"""),91.2)</f>
        <v/>
      </c>
      <c r="M144" s="512">
        <f>IFERROR(__xludf.DUMMYFUNCTION("""COMPUTED_VALUE"""),46072.6666666666)</f>
        <v/>
      </c>
      <c r="N144" s="513">
        <f>IFERROR(__xludf.DUMMYFUNCTION("""COMPUTED_VALUE"""),264.6)</f>
        <v/>
      </c>
      <c r="P144" s="512">
        <f>IFERROR(__xludf.DUMMYFUNCTION("""COMPUTED_VALUE"""),46072.6666666666)</f>
        <v/>
      </c>
      <c r="Q144" s="513">
        <f>IFERROR(__xludf.DUMMYFUNCTION("""COMPUTED_VALUE"""),89.14)</f>
        <v/>
      </c>
      <c r="S144" s="512">
        <f>IFERROR(__xludf.DUMMYFUNCTION("""COMPUTED_VALUE"""),45342.6666666666)</f>
        <v/>
      </c>
      <c r="T144" s="513">
        <f>IFERROR(__xludf.DUMMYFUNCTION("""COMPUTED_VALUE"""),181.56)</f>
        <v/>
      </c>
      <c r="V144" s="512">
        <f>IFERROR(__xludf.DUMMYFUNCTION("""COMPUTED_VALUE"""),46072.6666666666)</f>
        <v/>
      </c>
      <c r="W144" s="513">
        <f>IFERROR(__xludf.DUMMYFUNCTION("""COMPUTED_VALUE"""),24.43)</f>
        <v/>
      </c>
      <c r="Y144" s="512">
        <f>IFERROR(__xludf.DUMMYFUNCTION("""COMPUTED_VALUE"""),46072.6666666666)</f>
        <v/>
      </c>
      <c r="Z144" s="513">
        <f>IFERROR(__xludf.DUMMYFUNCTION("""COMPUTED_VALUE"""),74.82)</f>
        <v/>
      </c>
      <c r="AB144" s="512">
        <f>IFERROR(__xludf.DUMMYFUNCTION("""COMPUTED_VALUE"""),46072.6666666666)</f>
        <v/>
      </c>
      <c r="AC144" s="513">
        <f>IFERROR(__xludf.DUMMYFUNCTION("""COMPUTED_VALUE"""),57.59)</f>
        <v/>
      </c>
      <c r="AE144" s="512">
        <f>IFERROR(__xludf.DUMMYFUNCTION("""COMPUTED_VALUE"""),46072.6666666666)</f>
        <v/>
      </c>
      <c r="AF144" s="513">
        <f>IFERROR(__xludf.DUMMYFUNCTION("""COMPUTED_VALUE"""),97.55)</f>
        <v/>
      </c>
      <c r="AH144" s="512">
        <f>IFERROR(__xludf.DUMMYFUNCTION("""COMPUTED_VALUE"""),46072.6666666666)</f>
        <v/>
      </c>
      <c r="AI144" s="513">
        <f>IFERROR(__xludf.DUMMYFUNCTION("""COMPUTED_VALUE"""),22.92)</f>
        <v/>
      </c>
      <c r="AK144" s="512">
        <f>IFERROR(__xludf.DUMMYFUNCTION("""COMPUTED_VALUE"""),46072.6666666666)</f>
        <v/>
      </c>
      <c r="AL144" s="513">
        <f>IFERROR(__xludf.DUMMYFUNCTION("""COMPUTED_VALUE"""),80.94)</f>
        <v/>
      </c>
      <c r="AN144" s="512">
        <f>IFERROR(__xludf.DUMMYFUNCTION("""COMPUTED_VALUE"""),46072.6666666666)</f>
        <v/>
      </c>
      <c r="AO144" s="513">
        <f>IFERROR(__xludf.DUMMYFUNCTION("""COMPUTED_VALUE"""),111.25)</f>
        <v/>
      </c>
      <c r="AQ144" s="512">
        <f>IFERROR(__xludf.DUMMYFUNCTION("""COMPUTED_VALUE"""),46072.6666666666)</f>
        <v/>
      </c>
      <c r="AR144" s="513">
        <f>IFERROR(__xludf.DUMMYFUNCTION("""COMPUTED_VALUE"""),104.05)</f>
        <v/>
      </c>
      <c r="AT144" s="512">
        <f>IFERROR(__xludf.DUMMYFUNCTION("""COMPUTED_VALUE"""),46072.6666666666)</f>
        <v/>
      </c>
      <c r="AU144" s="513">
        <f>IFERROR(__xludf.DUMMYFUNCTION("""COMPUTED_VALUE"""),61.04)</f>
        <v/>
      </c>
      <c r="AW144" s="512">
        <f>IFERROR(__xludf.DUMMYFUNCTION("""COMPUTED_VALUE"""),46072.6666666666)</f>
        <v/>
      </c>
      <c r="AX144" s="513">
        <f>IFERROR(__xludf.DUMMYFUNCTION("""COMPUTED_VALUE"""),100.88)</f>
        <v/>
      </c>
      <c r="AZ144" s="512">
        <f>IFERROR(__xludf.DUMMYFUNCTION("""COMPUTED_VALUE"""),46072.6666666666)</f>
        <v/>
      </c>
      <c r="BA144" s="513">
        <f>IFERROR(__xludf.DUMMYFUNCTION("""COMPUTED_VALUE"""),111.68)</f>
        <v/>
      </c>
      <c r="BC144" s="512">
        <f>IFERROR(__xludf.DUMMYFUNCTION("""COMPUTED_VALUE"""),46072.6666666666)</f>
        <v/>
      </c>
      <c r="BD144" s="513">
        <f>IFERROR(__xludf.DUMMYFUNCTION("""COMPUTED_VALUE"""),97.09)</f>
        <v/>
      </c>
      <c r="BF144" s="512">
        <f>IFERROR(__xludf.DUMMYFUNCTION("""COMPUTED_VALUE"""),46072.6666666666)</f>
        <v/>
      </c>
      <c r="BG144" s="513">
        <f>IFERROR(__xludf.DUMMYFUNCTION("""COMPUTED_VALUE"""),82.98)</f>
        <v/>
      </c>
      <c r="BI144" s="512">
        <f>IFERROR(__xludf.DUMMYFUNCTION("""COMPUTED_VALUE"""),46072.6666666666)</f>
        <v/>
      </c>
      <c r="BJ144" s="513">
        <f>IFERROR(__xludf.DUMMYFUNCTION("""COMPUTED_VALUE"""),89.62)</f>
        <v/>
      </c>
      <c r="BL144" s="512">
        <f>IFERROR(__xludf.DUMMYFUNCTION("""COMPUTED_VALUE"""),46072.6666666666)</f>
        <v/>
      </c>
      <c r="BM144" s="513">
        <f>IFERROR(__xludf.DUMMYFUNCTION("""COMPUTED_VALUE"""),459.56)</f>
        <v/>
      </c>
      <c r="BO144" s="512">
        <f>IFERROR(__xludf.DUMMYFUNCTION("""COMPUTED_VALUE"""),46072.6666666666)</f>
        <v/>
      </c>
      <c r="BP144" s="513">
        <f>IFERROR(__xludf.DUMMYFUNCTION("""COMPUTED_VALUE"""),91.53)</f>
        <v/>
      </c>
    </row>
    <row r="145">
      <c r="A145" s="512">
        <f>IFERROR(__xludf.DUMMYFUNCTION("""COMPUTED_VALUE"""),46073.6666666666)</f>
        <v/>
      </c>
      <c r="B145" s="513">
        <f>IFERROR(__xludf.DUMMYFUNCTION("""COMPUTED_VALUE"""),689.43)</f>
        <v/>
      </c>
      <c r="D145" s="512">
        <f>IFERROR(__xludf.DUMMYFUNCTION("""COMPUTED_VALUE"""),46073.6666666666)</f>
        <v/>
      </c>
      <c r="E145" s="513">
        <f>IFERROR(__xludf.DUMMYFUNCTION("""COMPUTED_VALUE"""),94.88)</f>
        <v/>
      </c>
      <c r="G145" s="512" t="n"/>
      <c r="H145" s="513" t="n"/>
      <c r="J145" s="512">
        <f>IFERROR(__xludf.DUMMYFUNCTION("""COMPUTED_VALUE"""),46073.6666666666)</f>
        <v/>
      </c>
      <c r="K145" s="513">
        <f>IFERROR(__xludf.DUMMYFUNCTION("""COMPUTED_VALUE"""),91.47)</f>
        <v/>
      </c>
      <c r="M145" s="512">
        <f>IFERROR(__xludf.DUMMYFUNCTION("""COMPUTED_VALUE"""),46073.6666666666)</f>
        <v/>
      </c>
      <c r="N145" s="513">
        <f>IFERROR(__xludf.DUMMYFUNCTION("""COMPUTED_VALUE"""),264.61)</f>
        <v/>
      </c>
      <c r="P145" s="512">
        <f>IFERROR(__xludf.DUMMYFUNCTION("""COMPUTED_VALUE"""),46073.6666666666)</f>
        <v/>
      </c>
      <c r="Q145" s="513">
        <f>IFERROR(__xludf.DUMMYFUNCTION("""COMPUTED_VALUE"""),90.01)</f>
        <v/>
      </c>
      <c r="S145" s="512">
        <f>IFERROR(__xludf.DUMMYFUNCTION("""COMPUTED_VALUE"""),45343.6666666666)</f>
        <v/>
      </c>
      <c r="T145" s="513">
        <f>IFERROR(__xludf.DUMMYFUNCTION("""COMPUTED_VALUE"""),182.32)</f>
        <v/>
      </c>
      <c r="V145" s="512">
        <f>IFERROR(__xludf.DUMMYFUNCTION("""COMPUTED_VALUE"""),46073.6666666666)</f>
        <v/>
      </c>
      <c r="W145" s="513">
        <f>IFERROR(__xludf.DUMMYFUNCTION("""COMPUTED_VALUE"""),24.6)</f>
        <v/>
      </c>
      <c r="Y145" s="512">
        <f>IFERROR(__xludf.DUMMYFUNCTION("""COMPUTED_VALUE"""),46073.6666666666)</f>
        <v/>
      </c>
      <c r="Z145" s="513">
        <f>IFERROR(__xludf.DUMMYFUNCTION("""COMPUTED_VALUE"""),74.81)</f>
        <v/>
      </c>
      <c r="AB145" s="512">
        <f>IFERROR(__xludf.DUMMYFUNCTION("""COMPUTED_VALUE"""),46073.6666666666)</f>
        <v/>
      </c>
      <c r="AC145" s="513">
        <f>IFERROR(__xludf.DUMMYFUNCTION("""COMPUTED_VALUE"""),58.53)</f>
        <v/>
      </c>
      <c r="AE145" s="512">
        <f>IFERROR(__xludf.DUMMYFUNCTION("""COMPUTED_VALUE"""),46073.6666666666)</f>
        <v/>
      </c>
      <c r="AF145" s="513">
        <f>IFERROR(__xludf.DUMMYFUNCTION("""COMPUTED_VALUE"""),97.65)</f>
        <v/>
      </c>
      <c r="AH145" s="512">
        <f>IFERROR(__xludf.DUMMYFUNCTION("""COMPUTED_VALUE"""),46073.6666666666)</f>
        <v/>
      </c>
      <c r="AI145" s="513">
        <f>IFERROR(__xludf.DUMMYFUNCTION("""COMPUTED_VALUE"""),22.93)</f>
        <v/>
      </c>
      <c r="AK145" s="512">
        <f>IFERROR(__xludf.DUMMYFUNCTION("""COMPUTED_VALUE"""),46073.6666666666)</f>
        <v/>
      </c>
      <c r="AL145" s="513">
        <f>IFERROR(__xludf.DUMMYFUNCTION("""COMPUTED_VALUE"""),81)</f>
        <v/>
      </c>
      <c r="AN145" s="512">
        <f>IFERROR(__xludf.DUMMYFUNCTION("""COMPUTED_VALUE"""),46073.6666666666)</f>
        <v/>
      </c>
      <c r="AO145" s="513">
        <f>IFERROR(__xludf.DUMMYFUNCTION("""COMPUTED_VALUE"""),111.19)</f>
        <v/>
      </c>
      <c r="AQ145" s="512">
        <f>IFERROR(__xludf.DUMMYFUNCTION("""COMPUTED_VALUE"""),46073.6666666666)</f>
        <v/>
      </c>
      <c r="AR145" s="513">
        <f>IFERROR(__xludf.DUMMYFUNCTION("""COMPUTED_VALUE"""),104.9)</f>
        <v/>
      </c>
      <c r="AT145" s="512">
        <f>IFERROR(__xludf.DUMMYFUNCTION("""COMPUTED_VALUE"""),46073.6666666666)</f>
        <v/>
      </c>
      <c r="AU145" s="513">
        <f>IFERROR(__xludf.DUMMYFUNCTION("""COMPUTED_VALUE"""),62.34)</f>
        <v/>
      </c>
      <c r="AW145" s="512">
        <f>IFERROR(__xludf.DUMMYFUNCTION("""COMPUTED_VALUE"""),46073.6666666666)</f>
        <v/>
      </c>
      <c r="AX145" s="513">
        <f>IFERROR(__xludf.DUMMYFUNCTION("""COMPUTED_VALUE"""),100.9)</f>
        <v/>
      </c>
      <c r="AZ145" s="512">
        <f>IFERROR(__xludf.DUMMYFUNCTION("""COMPUTED_VALUE"""),46073.6666666666)</f>
        <v/>
      </c>
      <c r="BA145" s="513">
        <f>IFERROR(__xludf.DUMMYFUNCTION("""COMPUTED_VALUE"""),111.59)</f>
        <v/>
      </c>
      <c r="BC145" s="512">
        <f>IFERROR(__xludf.DUMMYFUNCTION("""COMPUTED_VALUE"""),46073.6666666666)</f>
        <v/>
      </c>
      <c r="BD145" s="513">
        <f>IFERROR(__xludf.DUMMYFUNCTION("""COMPUTED_VALUE"""),97.09)</f>
        <v/>
      </c>
      <c r="BF145" s="512">
        <f>IFERROR(__xludf.DUMMYFUNCTION("""COMPUTED_VALUE"""),46073.6666666666)</f>
        <v/>
      </c>
      <c r="BG145" s="513">
        <f>IFERROR(__xludf.DUMMYFUNCTION("""COMPUTED_VALUE"""),82.99)</f>
        <v/>
      </c>
      <c r="BI145" s="512">
        <f>IFERROR(__xludf.DUMMYFUNCTION("""COMPUTED_VALUE"""),46073.6666666666)</f>
        <v/>
      </c>
      <c r="BJ145" s="513">
        <f>IFERROR(__xludf.DUMMYFUNCTION("""COMPUTED_VALUE"""),89.41)</f>
        <v/>
      </c>
      <c r="BL145" s="512">
        <f>IFERROR(__xludf.DUMMYFUNCTION("""COMPUTED_VALUE"""),46073.6666666666)</f>
        <v/>
      </c>
      <c r="BM145" s="513">
        <f>IFERROR(__xludf.DUMMYFUNCTION("""COMPUTED_VALUE"""),468.62)</f>
        <v/>
      </c>
      <c r="BO145" s="512">
        <f>IFERROR(__xludf.DUMMYFUNCTION("""COMPUTED_VALUE"""),46073.6666666666)</f>
        <v/>
      </c>
      <c r="BP145" s="513">
        <f>IFERROR(__xludf.DUMMYFUNCTION("""COMPUTED_VALUE"""),91.56)</f>
        <v/>
      </c>
    </row>
    <row r="146">
      <c r="A146" s="512">
        <f>IFERROR(__xludf.DUMMYFUNCTION("""COMPUTED_VALUE"""),46076.6666666666)</f>
        <v/>
      </c>
      <c r="B146" s="513">
        <f>IFERROR(__xludf.DUMMYFUNCTION("""COMPUTED_VALUE"""),682.39)</f>
        <v/>
      </c>
      <c r="D146" s="512">
        <f>IFERROR(__xludf.DUMMYFUNCTION("""COMPUTED_VALUE"""),46076.6666666666)</f>
        <v/>
      </c>
      <c r="E146" s="513">
        <f>IFERROR(__xludf.DUMMYFUNCTION("""COMPUTED_VALUE"""),94.89)</f>
        <v/>
      </c>
      <c r="G146" s="512" t="n"/>
      <c r="H146" s="513" t="n"/>
      <c r="J146" s="512">
        <f>IFERROR(__xludf.DUMMYFUNCTION("""COMPUTED_VALUE"""),46076.6666666666)</f>
        <v/>
      </c>
      <c r="K146" s="513">
        <f>IFERROR(__xludf.DUMMYFUNCTION("""COMPUTED_VALUE"""),91.39)</f>
        <v/>
      </c>
      <c r="M146" s="512">
        <f>IFERROR(__xludf.DUMMYFUNCTION("""COMPUTED_VALUE"""),46076.6666666666)</f>
        <v/>
      </c>
      <c r="N146" s="513">
        <f>IFERROR(__xludf.DUMMYFUNCTION("""COMPUTED_VALUE"""),260.49)</f>
        <v/>
      </c>
      <c r="P146" s="512">
        <f>IFERROR(__xludf.DUMMYFUNCTION("""COMPUTED_VALUE"""),46076.6666666666)</f>
        <v/>
      </c>
      <c r="Q146" s="513">
        <f>IFERROR(__xludf.DUMMYFUNCTION("""COMPUTED_VALUE"""),89.49)</f>
        <v/>
      </c>
      <c r="S146" s="512">
        <f>IFERROR(__xludf.DUMMYFUNCTION("""COMPUTED_VALUE"""),45344.6666666666)</f>
        <v/>
      </c>
      <c r="T146" s="513">
        <f>IFERROR(__xludf.DUMMYFUNCTION("""COMPUTED_VALUE"""),184.37)</f>
        <v/>
      </c>
      <c r="V146" s="512">
        <f>IFERROR(__xludf.DUMMYFUNCTION("""COMPUTED_VALUE"""),46076.6666666666)</f>
        <v/>
      </c>
      <c r="W146" s="513">
        <f>IFERROR(__xludf.DUMMYFUNCTION("""COMPUTED_VALUE"""),24.75)</f>
        <v/>
      </c>
      <c r="Y146" s="512">
        <f>IFERROR(__xludf.DUMMYFUNCTION("""COMPUTED_VALUE"""),46076.6666666666)</f>
        <v/>
      </c>
      <c r="Z146" s="513">
        <f>IFERROR(__xludf.DUMMYFUNCTION("""COMPUTED_VALUE"""),74.97)</f>
        <v/>
      </c>
      <c r="AB146" s="512">
        <f>IFERROR(__xludf.DUMMYFUNCTION("""COMPUTED_VALUE"""),46076.6666666666)</f>
        <v/>
      </c>
      <c r="AC146" s="513">
        <f>IFERROR(__xludf.DUMMYFUNCTION("""COMPUTED_VALUE"""),58.06)</f>
        <v/>
      </c>
      <c r="AE146" s="512">
        <f>IFERROR(__xludf.DUMMYFUNCTION("""COMPUTED_VALUE"""),46076.6666666666)</f>
        <v/>
      </c>
      <c r="AF146" s="513">
        <f>IFERROR(__xludf.DUMMYFUNCTION("""COMPUTED_VALUE"""),97.71)</f>
        <v/>
      </c>
      <c r="AH146" s="512">
        <f>IFERROR(__xludf.DUMMYFUNCTION("""COMPUTED_VALUE"""),46076.6666666666)</f>
        <v/>
      </c>
      <c r="AI146" s="513">
        <f>IFERROR(__xludf.DUMMYFUNCTION("""COMPUTED_VALUE"""),23.05)</f>
        <v/>
      </c>
      <c r="AK146" s="512">
        <f>IFERROR(__xludf.DUMMYFUNCTION("""COMPUTED_VALUE"""),46076.6666666666)</f>
        <v/>
      </c>
      <c r="AL146" s="513">
        <f>IFERROR(__xludf.DUMMYFUNCTION("""COMPUTED_VALUE"""),80.87)</f>
        <v/>
      </c>
      <c r="AN146" s="512">
        <f>IFERROR(__xludf.DUMMYFUNCTION("""COMPUTED_VALUE"""),46076.6666666666)</f>
        <v/>
      </c>
      <c r="AO146" s="513">
        <f>IFERROR(__xludf.DUMMYFUNCTION("""COMPUTED_VALUE"""),111.29)</f>
        <v/>
      </c>
      <c r="AQ146" s="512">
        <f>IFERROR(__xludf.DUMMYFUNCTION("""COMPUTED_VALUE"""),46076.6666666666)</f>
        <v/>
      </c>
      <c r="AR146" s="513">
        <f>IFERROR(__xludf.DUMMYFUNCTION("""COMPUTED_VALUE"""),104.47)</f>
        <v/>
      </c>
      <c r="AT146" s="512">
        <f>IFERROR(__xludf.DUMMYFUNCTION("""COMPUTED_VALUE"""),46076.6666666666)</f>
        <v/>
      </c>
      <c r="AU146" s="513">
        <f>IFERROR(__xludf.DUMMYFUNCTION("""COMPUTED_VALUE"""),61.65)</f>
        <v/>
      </c>
      <c r="AW146" s="512">
        <f>IFERROR(__xludf.DUMMYFUNCTION("""COMPUTED_VALUE"""),46076.6666666666)</f>
        <v/>
      </c>
      <c r="AX146" s="513">
        <f>IFERROR(__xludf.DUMMYFUNCTION("""COMPUTED_VALUE"""),101.1)</f>
        <v/>
      </c>
      <c r="AZ146" s="512">
        <f>IFERROR(__xludf.DUMMYFUNCTION("""COMPUTED_VALUE"""),46076.6666666666)</f>
        <v/>
      </c>
      <c r="BA146" s="513">
        <f>IFERROR(__xludf.DUMMYFUNCTION("""COMPUTED_VALUE"""),111.71)</f>
        <v/>
      </c>
      <c r="BC146" s="512">
        <f>IFERROR(__xludf.DUMMYFUNCTION("""COMPUTED_VALUE"""),46076.6666666666)</f>
        <v/>
      </c>
      <c r="BD146" s="513">
        <f>IFERROR(__xludf.DUMMYFUNCTION("""COMPUTED_VALUE"""),97.44)</f>
        <v/>
      </c>
      <c r="BF146" s="512">
        <f>IFERROR(__xludf.DUMMYFUNCTION("""COMPUTED_VALUE"""),46076.6666666666)</f>
        <v/>
      </c>
      <c r="BG146" s="513">
        <f>IFERROR(__xludf.DUMMYFUNCTION("""COMPUTED_VALUE"""),83.06)</f>
        <v/>
      </c>
      <c r="BI146" s="512">
        <f>IFERROR(__xludf.DUMMYFUNCTION("""COMPUTED_VALUE"""),46076.6666666666)</f>
        <v/>
      </c>
      <c r="BJ146" s="513">
        <f>IFERROR(__xludf.DUMMYFUNCTION("""COMPUTED_VALUE"""),89.74)</f>
        <v/>
      </c>
      <c r="BL146" s="512">
        <f>IFERROR(__xludf.DUMMYFUNCTION("""COMPUTED_VALUE"""),46076.6666666666)</f>
        <v/>
      </c>
      <c r="BM146" s="513">
        <f>IFERROR(__xludf.DUMMYFUNCTION("""COMPUTED_VALUE"""),481.28)</f>
        <v/>
      </c>
      <c r="BO146" s="512">
        <f>IFERROR(__xludf.DUMMYFUNCTION("""COMPUTED_VALUE"""),46076.6666666666)</f>
        <v/>
      </c>
      <c r="BP146" s="513">
        <f>IFERROR(__xludf.DUMMYFUNCTION("""COMPUTED_VALUE"""),91.56)</f>
        <v/>
      </c>
    </row>
    <row r="147">
      <c r="A147" s="512">
        <f>IFERROR(__xludf.DUMMYFUNCTION("""COMPUTED_VALUE"""),46077.6666666666)</f>
        <v/>
      </c>
      <c r="B147" s="513">
        <f>IFERROR(__xludf.DUMMYFUNCTION("""COMPUTED_VALUE"""),687.35)</f>
        <v/>
      </c>
      <c r="D147" s="512">
        <f>IFERROR(__xludf.DUMMYFUNCTION("""COMPUTED_VALUE"""),46077.6666666666)</f>
        <v/>
      </c>
      <c r="E147" s="513">
        <f>IFERROR(__xludf.DUMMYFUNCTION("""COMPUTED_VALUE"""),95.13)</f>
        <v/>
      </c>
      <c r="G147" s="512" t="n"/>
      <c r="H147" s="513" t="n"/>
      <c r="J147" s="512">
        <f>IFERROR(__xludf.DUMMYFUNCTION("""COMPUTED_VALUE"""),46077.6666666666)</f>
        <v/>
      </c>
      <c r="K147" s="513">
        <f>IFERROR(__xludf.DUMMYFUNCTION("""COMPUTED_VALUE"""),91.23)</f>
        <v/>
      </c>
      <c r="M147" s="512">
        <f>IFERROR(__xludf.DUMMYFUNCTION("""COMPUTED_VALUE"""),46077.6666666666)</f>
        <v/>
      </c>
      <c r="N147" s="513">
        <f>IFERROR(__xludf.DUMMYFUNCTION("""COMPUTED_VALUE"""),263.33)</f>
        <v/>
      </c>
      <c r="P147" s="512">
        <f>IFERROR(__xludf.DUMMYFUNCTION("""COMPUTED_VALUE"""),46077.6666666666)</f>
        <v/>
      </c>
      <c r="Q147" s="513">
        <f>IFERROR(__xludf.DUMMYFUNCTION("""COMPUTED_VALUE"""),89.73)</f>
        <v/>
      </c>
      <c r="S147" s="512">
        <f>IFERROR(__xludf.DUMMYFUNCTION("""COMPUTED_VALUE"""),45345.6666666666)</f>
        <v/>
      </c>
      <c r="T147" s="513">
        <f>IFERROR(__xludf.DUMMYFUNCTION("""COMPUTED_VALUE"""),182.52)</f>
        <v/>
      </c>
      <c r="V147" s="512">
        <f>IFERROR(__xludf.DUMMYFUNCTION("""COMPUTED_VALUE"""),46077.6666666666)</f>
        <v/>
      </c>
      <c r="W147" s="513">
        <f>IFERROR(__xludf.DUMMYFUNCTION("""COMPUTED_VALUE"""),24.72)</f>
        <v/>
      </c>
      <c r="Y147" s="512">
        <f>IFERROR(__xludf.DUMMYFUNCTION("""COMPUTED_VALUE"""),46077.6666666666)</f>
        <v/>
      </c>
      <c r="Z147" s="513">
        <f>IFERROR(__xludf.DUMMYFUNCTION("""COMPUTED_VALUE"""),74.93)</f>
        <v/>
      </c>
      <c r="AB147" s="512">
        <f>IFERROR(__xludf.DUMMYFUNCTION("""COMPUTED_VALUE"""),46077.6666666666)</f>
        <v/>
      </c>
      <c r="AC147" s="513">
        <f>IFERROR(__xludf.DUMMYFUNCTION("""COMPUTED_VALUE"""),58.68)</f>
        <v/>
      </c>
      <c r="AE147" s="512">
        <f>IFERROR(__xludf.DUMMYFUNCTION("""COMPUTED_VALUE"""),46077.6666666666)</f>
        <v/>
      </c>
      <c r="AF147" s="513">
        <f>IFERROR(__xludf.DUMMYFUNCTION("""COMPUTED_VALUE"""),97.65)</f>
        <v/>
      </c>
      <c r="AH147" s="512">
        <f>IFERROR(__xludf.DUMMYFUNCTION("""COMPUTED_VALUE"""),46077.6666666666)</f>
        <v/>
      </c>
      <c r="AI147" s="513">
        <f>IFERROR(__xludf.DUMMYFUNCTION("""COMPUTED_VALUE"""),22.99)</f>
        <v/>
      </c>
      <c r="AK147" s="512">
        <f>IFERROR(__xludf.DUMMYFUNCTION("""COMPUTED_VALUE"""),46077.6666666666)</f>
        <v/>
      </c>
      <c r="AL147" s="513">
        <f>IFERROR(__xludf.DUMMYFUNCTION("""COMPUTED_VALUE"""),80.81)</f>
        <v/>
      </c>
      <c r="AN147" s="512">
        <f>IFERROR(__xludf.DUMMYFUNCTION("""COMPUTED_VALUE"""),46077.6666666666)</f>
        <v/>
      </c>
      <c r="AO147" s="513">
        <f>IFERROR(__xludf.DUMMYFUNCTION("""COMPUTED_VALUE"""),111.31)</f>
        <v/>
      </c>
      <c r="AQ147" s="512">
        <f>IFERROR(__xludf.DUMMYFUNCTION("""COMPUTED_VALUE"""),46077.6666666666)</f>
        <v/>
      </c>
      <c r="AR147" s="513">
        <f>IFERROR(__xludf.DUMMYFUNCTION("""COMPUTED_VALUE"""),104.66)</f>
        <v/>
      </c>
      <c r="AT147" s="512">
        <f>IFERROR(__xludf.DUMMYFUNCTION("""COMPUTED_VALUE"""),46077.6666666666)</f>
        <v/>
      </c>
      <c r="AU147" s="513">
        <f>IFERROR(__xludf.DUMMYFUNCTION("""COMPUTED_VALUE"""),62.62)</f>
        <v/>
      </c>
      <c r="AW147" s="512">
        <f>IFERROR(__xludf.DUMMYFUNCTION("""COMPUTED_VALUE"""),46077.6666666666)</f>
        <v/>
      </c>
      <c r="AX147" s="513">
        <f>IFERROR(__xludf.DUMMYFUNCTION("""COMPUTED_VALUE"""),101.09)</f>
        <v/>
      </c>
      <c r="AZ147" s="512">
        <f>IFERROR(__xludf.DUMMYFUNCTION("""COMPUTED_VALUE"""),46077.6666666666)</f>
        <v/>
      </c>
      <c r="BA147" s="513">
        <f>IFERROR(__xludf.DUMMYFUNCTION("""COMPUTED_VALUE"""),111.68)</f>
        <v/>
      </c>
      <c r="BC147" s="512">
        <f>IFERROR(__xludf.DUMMYFUNCTION("""COMPUTED_VALUE"""),46077.6666666666)</f>
        <v/>
      </c>
      <c r="BD147" s="513">
        <f>IFERROR(__xludf.DUMMYFUNCTION("""COMPUTED_VALUE"""),97.42)</f>
        <v/>
      </c>
      <c r="BF147" s="512">
        <f>IFERROR(__xludf.DUMMYFUNCTION("""COMPUTED_VALUE"""),46077.6666666666)</f>
        <v/>
      </c>
      <c r="BG147" s="513">
        <f>IFERROR(__xludf.DUMMYFUNCTION("""COMPUTED_VALUE"""),83.06)</f>
        <v/>
      </c>
      <c r="BI147" s="512">
        <f>IFERROR(__xludf.DUMMYFUNCTION("""COMPUTED_VALUE"""),46077.6666666666)</f>
        <v/>
      </c>
      <c r="BJ147" s="513">
        <f>IFERROR(__xludf.DUMMYFUNCTION("""COMPUTED_VALUE"""),89.9)</f>
        <v/>
      </c>
      <c r="BL147" s="512">
        <f>IFERROR(__xludf.DUMMYFUNCTION("""COMPUTED_VALUE"""),46077.6666666666)</f>
        <v/>
      </c>
      <c r="BM147" s="513">
        <f>IFERROR(__xludf.DUMMYFUNCTION("""COMPUTED_VALUE"""),474.61)</f>
        <v/>
      </c>
      <c r="BO147" s="512">
        <f>IFERROR(__xludf.DUMMYFUNCTION("""COMPUTED_VALUE"""),46077.6666666666)</f>
        <v/>
      </c>
      <c r="BP147" s="513">
        <f>IFERROR(__xludf.DUMMYFUNCTION("""COMPUTED_VALUE"""),91.58)</f>
        <v/>
      </c>
    </row>
    <row r="148">
      <c r="A148" s="512">
        <f>IFERROR(__xludf.DUMMYFUNCTION("""COMPUTED_VALUE"""),46078.6666666666)</f>
        <v/>
      </c>
      <c r="B148" s="513">
        <f>IFERROR(__xludf.DUMMYFUNCTION("""COMPUTED_VALUE"""),693.15)</f>
        <v/>
      </c>
      <c r="D148" s="512">
        <f>IFERROR(__xludf.DUMMYFUNCTION("""COMPUTED_VALUE"""),46078.6666666666)</f>
        <v/>
      </c>
      <c r="E148" s="513">
        <f>IFERROR(__xludf.DUMMYFUNCTION("""COMPUTED_VALUE"""),94.87)</f>
        <v/>
      </c>
      <c r="G148" s="512" t="n"/>
      <c r="H148" s="513" t="n"/>
      <c r="J148" s="512">
        <f>IFERROR(__xludf.DUMMYFUNCTION("""COMPUTED_VALUE"""),46078.6666666666)</f>
        <v/>
      </c>
      <c r="K148" s="513">
        <f>IFERROR(__xludf.DUMMYFUNCTION("""COMPUTED_VALUE"""),92.44)</f>
        <v/>
      </c>
      <c r="M148" s="512">
        <f>IFERROR(__xludf.DUMMYFUNCTION("""COMPUTED_VALUE"""),46078.6666666666)</f>
        <v/>
      </c>
      <c r="N148" s="513">
        <f>IFERROR(__xludf.DUMMYFUNCTION("""COMPUTED_VALUE"""),264.58)</f>
        <v/>
      </c>
      <c r="P148" s="512">
        <f>IFERROR(__xludf.DUMMYFUNCTION("""COMPUTED_VALUE"""),46078.6666666666)</f>
        <v/>
      </c>
      <c r="Q148" s="513">
        <f>IFERROR(__xludf.DUMMYFUNCTION("""COMPUTED_VALUE"""),90.49)</f>
        <v/>
      </c>
      <c r="S148" s="512">
        <f>IFERROR(__xludf.DUMMYFUNCTION("""COMPUTED_VALUE"""),45348.6666666666)</f>
        <v/>
      </c>
      <c r="T148" s="513">
        <f>IFERROR(__xludf.DUMMYFUNCTION("""COMPUTED_VALUE"""),181.16)</f>
        <v/>
      </c>
      <c r="V148" s="512">
        <f>IFERROR(__xludf.DUMMYFUNCTION("""COMPUTED_VALUE"""),46078.6666666666)</f>
        <v/>
      </c>
      <c r="W148" s="513">
        <f>IFERROR(__xludf.DUMMYFUNCTION("""COMPUTED_VALUE"""),24.75)</f>
        <v/>
      </c>
      <c r="Y148" s="512">
        <f>IFERROR(__xludf.DUMMYFUNCTION("""COMPUTED_VALUE"""),46078.6666666666)</f>
        <v/>
      </c>
      <c r="Z148" s="513">
        <f>IFERROR(__xludf.DUMMYFUNCTION("""COMPUTED_VALUE"""),74.91)</f>
        <v/>
      </c>
      <c r="AB148" s="512">
        <f>IFERROR(__xludf.DUMMYFUNCTION("""COMPUTED_VALUE"""),46078.6666666666)</f>
        <v/>
      </c>
      <c r="AC148" s="513">
        <f>IFERROR(__xludf.DUMMYFUNCTION("""COMPUTED_VALUE"""),59.01)</f>
        <v/>
      </c>
      <c r="AE148" s="512">
        <f>IFERROR(__xludf.DUMMYFUNCTION("""COMPUTED_VALUE"""),46078.6666666666)</f>
        <v/>
      </c>
      <c r="AF148" s="513">
        <f>IFERROR(__xludf.DUMMYFUNCTION("""COMPUTED_VALUE"""),97.74)</f>
        <v/>
      </c>
      <c r="AH148" s="512">
        <f>IFERROR(__xludf.DUMMYFUNCTION("""COMPUTED_VALUE"""),46078.6666666666)</f>
        <v/>
      </c>
      <c r="AI148" s="513">
        <f>IFERROR(__xludf.DUMMYFUNCTION("""COMPUTED_VALUE"""),22.98)</f>
        <v/>
      </c>
      <c r="AK148" s="512">
        <f>IFERROR(__xludf.DUMMYFUNCTION("""COMPUTED_VALUE"""),46078.6666666666)</f>
        <v/>
      </c>
      <c r="AL148" s="513">
        <f>IFERROR(__xludf.DUMMYFUNCTION("""COMPUTED_VALUE"""),80.92)</f>
        <v/>
      </c>
      <c r="AN148" s="512">
        <f>IFERROR(__xludf.DUMMYFUNCTION("""COMPUTED_VALUE"""),46078.6666666666)</f>
        <v/>
      </c>
      <c r="AO148" s="513">
        <f>IFERROR(__xludf.DUMMYFUNCTION("""COMPUTED_VALUE"""),111.41)</f>
        <v/>
      </c>
      <c r="AQ148" s="512">
        <f>IFERROR(__xludf.DUMMYFUNCTION("""COMPUTED_VALUE"""),46078.6666666666)</f>
        <v/>
      </c>
      <c r="AR148" s="513">
        <f>IFERROR(__xludf.DUMMYFUNCTION("""COMPUTED_VALUE"""),105.66)</f>
        <v/>
      </c>
      <c r="AT148" s="512">
        <f>IFERROR(__xludf.DUMMYFUNCTION("""COMPUTED_VALUE"""),46078.6666666666)</f>
        <v/>
      </c>
      <c r="AU148" s="513">
        <f>IFERROR(__xludf.DUMMYFUNCTION("""COMPUTED_VALUE"""),63.31)</f>
        <v/>
      </c>
      <c r="AW148" s="512">
        <f>IFERROR(__xludf.DUMMYFUNCTION("""COMPUTED_VALUE"""),46078.6666666666)</f>
        <v/>
      </c>
      <c r="AX148" s="513">
        <f>IFERROR(__xludf.DUMMYFUNCTION("""COMPUTED_VALUE"""),101.04)</f>
        <v/>
      </c>
      <c r="AZ148" s="512">
        <f>IFERROR(__xludf.DUMMYFUNCTION("""COMPUTED_VALUE"""),46078.6666666666)</f>
        <v/>
      </c>
      <c r="BA148" s="513">
        <f>IFERROR(__xludf.DUMMYFUNCTION("""COMPUTED_VALUE"""),111.65)</f>
        <v/>
      </c>
      <c r="BC148" s="512">
        <f>IFERROR(__xludf.DUMMYFUNCTION("""COMPUTED_VALUE"""),46078.6666666666)</f>
        <v/>
      </c>
      <c r="BD148" s="513">
        <f>IFERROR(__xludf.DUMMYFUNCTION("""COMPUTED_VALUE"""),97.34)</f>
        <v/>
      </c>
      <c r="BF148" s="512">
        <f>IFERROR(__xludf.DUMMYFUNCTION("""COMPUTED_VALUE"""),46078.6666666666)</f>
        <v/>
      </c>
      <c r="BG148" s="513">
        <f>IFERROR(__xludf.DUMMYFUNCTION("""COMPUTED_VALUE"""),83.04)</f>
        <v/>
      </c>
      <c r="BI148" s="512">
        <f>IFERROR(__xludf.DUMMYFUNCTION("""COMPUTED_VALUE"""),46078.6666666666)</f>
        <v/>
      </c>
      <c r="BJ148" s="513">
        <f>IFERROR(__xludf.DUMMYFUNCTION("""COMPUTED_VALUE"""),89.91)</f>
        <v/>
      </c>
      <c r="BL148" s="512">
        <f>IFERROR(__xludf.DUMMYFUNCTION("""COMPUTED_VALUE"""),46078.6666666666)</f>
        <v/>
      </c>
      <c r="BM148" s="513">
        <f>IFERROR(__xludf.DUMMYFUNCTION("""COMPUTED_VALUE"""),473.42)</f>
        <v/>
      </c>
      <c r="BO148" s="512">
        <f>IFERROR(__xludf.DUMMYFUNCTION("""COMPUTED_VALUE"""),46078.6666666666)</f>
        <v/>
      </c>
      <c r="BP148" s="513">
        <f>IFERROR(__xludf.DUMMYFUNCTION("""COMPUTED_VALUE"""),91.59)</f>
        <v/>
      </c>
    </row>
    <row r="149">
      <c r="A149" s="512">
        <f>IFERROR(__xludf.DUMMYFUNCTION("""COMPUTED_VALUE"""),46079.6666666666)</f>
        <v/>
      </c>
      <c r="B149" s="513">
        <f>IFERROR(__xludf.DUMMYFUNCTION("""COMPUTED_VALUE"""),689.3)</f>
        <v/>
      </c>
      <c r="D149" s="512">
        <f>IFERROR(__xludf.DUMMYFUNCTION("""COMPUTED_VALUE"""),46079.6666666666)</f>
        <v/>
      </c>
      <c r="E149" s="513">
        <f>IFERROR(__xludf.DUMMYFUNCTION("""COMPUTED_VALUE"""),95.52)</f>
        <v/>
      </c>
      <c r="G149" s="512" t="n"/>
      <c r="H149" s="513" t="n"/>
      <c r="J149" s="512">
        <f>IFERROR(__xludf.DUMMYFUNCTION("""COMPUTED_VALUE"""),46079.6666666666)</f>
        <v/>
      </c>
      <c r="K149" s="513">
        <f>IFERROR(__xludf.DUMMYFUNCTION("""COMPUTED_VALUE"""),92.48)</f>
        <v/>
      </c>
      <c r="M149" s="512">
        <f>IFERROR(__xludf.DUMMYFUNCTION("""COMPUTED_VALUE"""),46079.6666666666)</f>
        <v/>
      </c>
      <c r="N149" s="513">
        <f>IFERROR(__xludf.DUMMYFUNCTION("""COMPUTED_VALUE"""),265.99)</f>
        <v/>
      </c>
      <c r="P149" s="512">
        <f>IFERROR(__xludf.DUMMYFUNCTION("""COMPUTED_VALUE"""),46079.6666666666)</f>
        <v/>
      </c>
      <c r="Q149" s="513">
        <f>IFERROR(__xludf.DUMMYFUNCTION("""COMPUTED_VALUE"""),90.43)</f>
        <v/>
      </c>
      <c r="S149" s="512">
        <f>IFERROR(__xludf.DUMMYFUNCTION("""COMPUTED_VALUE"""),45349.6666666666)</f>
        <v/>
      </c>
      <c r="T149" s="513">
        <f>IFERROR(__xludf.DUMMYFUNCTION("""COMPUTED_VALUE"""),182.63)</f>
        <v/>
      </c>
      <c r="V149" s="512">
        <f>IFERROR(__xludf.DUMMYFUNCTION("""COMPUTED_VALUE"""),46079.6666666666)</f>
        <v/>
      </c>
      <c r="W149" s="513">
        <f>IFERROR(__xludf.DUMMYFUNCTION("""COMPUTED_VALUE"""),24.76)</f>
        <v/>
      </c>
      <c r="Y149" s="512">
        <f>IFERROR(__xludf.DUMMYFUNCTION("""COMPUTED_VALUE"""),46079.6666666666)</f>
        <v/>
      </c>
      <c r="Z149" s="513">
        <f>IFERROR(__xludf.DUMMYFUNCTION("""COMPUTED_VALUE"""),75.02)</f>
        <v/>
      </c>
      <c r="AB149" s="512">
        <f>IFERROR(__xludf.DUMMYFUNCTION("""COMPUTED_VALUE"""),46079.6666666666)</f>
        <v/>
      </c>
      <c r="AC149" s="513">
        <f>IFERROR(__xludf.DUMMYFUNCTION("""COMPUTED_VALUE"""),58.27)</f>
        <v/>
      </c>
      <c r="AE149" s="512">
        <f>IFERROR(__xludf.DUMMYFUNCTION("""COMPUTED_VALUE"""),46079.6666666666)</f>
        <v/>
      </c>
      <c r="AF149" s="513">
        <f>IFERROR(__xludf.DUMMYFUNCTION("""COMPUTED_VALUE"""),97.68)</f>
        <v/>
      </c>
      <c r="AH149" s="512">
        <f>IFERROR(__xludf.DUMMYFUNCTION("""COMPUTED_VALUE"""),46079.6666666666)</f>
        <v/>
      </c>
      <c r="AI149" s="513">
        <f>IFERROR(__xludf.DUMMYFUNCTION("""COMPUTED_VALUE"""),23.03)</f>
        <v/>
      </c>
      <c r="AK149" s="512">
        <f>IFERROR(__xludf.DUMMYFUNCTION("""COMPUTED_VALUE"""),46079.6666666666)</f>
        <v/>
      </c>
      <c r="AL149" s="513">
        <f>IFERROR(__xludf.DUMMYFUNCTION("""COMPUTED_VALUE"""),80.85)</f>
        <v/>
      </c>
      <c r="AN149" s="512">
        <f>IFERROR(__xludf.DUMMYFUNCTION("""COMPUTED_VALUE"""),46079.6666666666)</f>
        <v/>
      </c>
      <c r="AO149" s="513">
        <f>IFERROR(__xludf.DUMMYFUNCTION("""COMPUTED_VALUE"""),111.71)</f>
        <v/>
      </c>
      <c r="AQ149" s="512">
        <f>IFERROR(__xludf.DUMMYFUNCTION("""COMPUTED_VALUE"""),46079.6666666666)</f>
        <v/>
      </c>
      <c r="AR149" s="513">
        <f>IFERROR(__xludf.DUMMYFUNCTION("""COMPUTED_VALUE"""),105.57)</f>
        <v/>
      </c>
      <c r="AT149" s="512">
        <f>IFERROR(__xludf.DUMMYFUNCTION("""COMPUTED_VALUE"""),46079.6666666666)</f>
        <v/>
      </c>
      <c r="AU149" s="513">
        <f>IFERROR(__xludf.DUMMYFUNCTION("""COMPUTED_VALUE"""),62.71)</f>
        <v/>
      </c>
      <c r="AW149" s="512">
        <f>IFERROR(__xludf.DUMMYFUNCTION("""COMPUTED_VALUE"""),46079.6666666666)</f>
        <v/>
      </c>
      <c r="AX149" s="513">
        <f>IFERROR(__xludf.DUMMYFUNCTION("""COMPUTED_VALUE"""),101.2)</f>
        <v/>
      </c>
      <c r="AZ149" s="512">
        <f>IFERROR(__xludf.DUMMYFUNCTION("""COMPUTED_VALUE"""),46079.6666666666)</f>
        <v/>
      </c>
      <c r="BA149" s="513">
        <f>IFERROR(__xludf.DUMMYFUNCTION("""COMPUTED_VALUE"""),111.72)</f>
        <v/>
      </c>
      <c r="BC149" s="512">
        <f>IFERROR(__xludf.DUMMYFUNCTION("""COMPUTED_VALUE"""),46079.6666666666)</f>
        <v/>
      </c>
      <c r="BD149" s="513">
        <f>IFERROR(__xludf.DUMMYFUNCTION("""COMPUTED_VALUE"""),97.6)</f>
        <v/>
      </c>
      <c r="BF149" s="512">
        <f>IFERROR(__xludf.DUMMYFUNCTION("""COMPUTED_VALUE"""),46079.6666666666)</f>
        <v/>
      </c>
      <c r="BG149" s="513">
        <f>IFERROR(__xludf.DUMMYFUNCTION("""COMPUTED_VALUE"""),83.07)</f>
        <v/>
      </c>
      <c r="BI149" s="512">
        <f>IFERROR(__xludf.DUMMYFUNCTION("""COMPUTED_VALUE"""),46079.6666666666)</f>
        <v/>
      </c>
      <c r="BJ149" s="513">
        <f>IFERROR(__xludf.DUMMYFUNCTION("""COMPUTED_VALUE"""),90.27)</f>
        <v/>
      </c>
      <c r="BL149" s="512">
        <f>IFERROR(__xludf.DUMMYFUNCTION("""COMPUTED_VALUE"""),46079.6666666666)</f>
        <v/>
      </c>
      <c r="BM149" s="513">
        <f>IFERROR(__xludf.DUMMYFUNCTION("""COMPUTED_VALUE"""),477.48)</f>
        <v/>
      </c>
      <c r="BO149" s="512">
        <f>IFERROR(__xludf.DUMMYFUNCTION("""COMPUTED_VALUE"""),46079.6666666666)</f>
        <v/>
      </c>
      <c r="BP149" s="513">
        <f>IFERROR(__xludf.DUMMYFUNCTION("""COMPUTED_VALUE"""),91.6)</f>
        <v/>
      </c>
    </row>
    <row r="150">
      <c r="A150" s="512">
        <f>IFERROR(__xludf.DUMMYFUNCTION("""COMPUTED_VALUE"""),46080.6666666666)</f>
        <v/>
      </c>
      <c r="B150" s="513">
        <f>IFERROR(__xludf.DUMMYFUNCTION("""COMPUTED_VALUE"""),685.99)</f>
        <v/>
      </c>
      <c r="D150" s="512">
        <f>IFERROR(__xludf.DUMMYFUNCTION("""COMPUTED_VALUE"""),46080.6666666666)</f>
        <v/>
      </c>
      <c r="E150" s="513">
        <f>IFERROR(__xludf.DUMMYFUNCTION("""COMPUTED_VALUE"""),95.69)</f>
        <v/>
      </c>
      <c r="G150" s="512" t="n"/>
      <c r="H150" s="513" t="n"/>
      <c r="J150" s="512">
        <f>IFERROR(__xludf.DUMMYFUNCTION("""COMPUTED_VALUE"""),46080.6666666666)</f>
        <v/>
      </c>
      <c r="K150" s="513">
        <f>IFERROR(__xludf.DUMMYFUNCTION("""COMPUTED_VALUE"""),92.37)</f>
        <v/>
      </c>
      <c r="M150" s="512">
        <f>IFERROR(__xludf.DUMMYFUNCTION("""COMPUTED_VALUE"""),46080.6666666666)</f>
        <v/>
      </c>
      <c r="N150" s="513">
        <f>IFERROR(__xludf.DUMMYFUNCTION("""COMPUTED_VALUE"""),261.41)</f>
        <v/>
      </c>
      <c r="P150" s="512">
        <f>IFERROR(__xludf.DUMMYFUNCTION("""COMPUTED_VALUE"""),46080.6666666666)</f>
        <v/>
      </c>
      <c r="Q150" s="513">
        <f>IFERROR(__xludf.DUMMYFUNCTION("""COMPUTED_VALUE"""),90.17)</f>
        <v/>
      </c>
      <c r="S150" s="512">
        <f>IFERROR(__xludf.DUMMYFUNCTION("""COMPUTED_VALUE"""),45350.6666666666)</f>
        <v/>
      </c>
      <c r="T150" s="513">
        <f>IFERROR(__xludf.DUMMYFUNCTION("""COMPUTED_VALUE"""),181.42)</f>
        <v/>
      </c>
      <c r="V150" s="512">
        <f>IFERROR(__xludf.DUMMYFUNCTION("""COMPUTED_VALUE"""),46080.6666666666)</f>
        <v/>
      </c>
      <c r="W150" s="513">
        <f>IFERROR(__xludf.DUMMYFUNCTION("""COMPUTED_VALUE"""),25.1)</f>
        <v/>
      </c>
      <c r="Y150" s="512">
        <f>IFERROR(__xludf.DUMMYFUNCTION("""COMPUTED_VALUE"""),46080.6666666666)</f>
        <v/>
      </c>
      <c r="Z150" s="513">
        <f>IFERROR(__xludf.DUMMYFUNCTION("""COMPUTED_VALUE"""),75.17)</f>
        <v/>
      </c>
      <c r="AB150" s="512">
        <f>IFERROR(__xludf.DUMMYFUNCTION("""COMPUTED_VALUE"""),46080.6666666666)</f>
        <v/>
      </c>
      <c r="AC150" s="513">
        <f>IFERROR(__xludf.DUMMYFUNCTION("""COMPUTED_VALUE"""),58.1)</f>
        <v/>
      </c>
      <c r="AE150" s="512">
        <f>IFERROR(__xludf.DUMMYFUNCTION("""COMPUTED_VALUE"""),46080.6666666666)</f>
        <v/>
      </c>
      <c r="AF150" s="513">
        <f>IFERROR(__xludf.DUMMYFUNCTION("""COMPUTED_VALUE"""),97.73)</f>
        <v/>
      </c>
      <c r="AH150" s="512">
        <f>IFERROR(__xludf.DUMMYFUNCTION("""COMPUTED_VALUE"""),46080.6666666666)</f>
        <v/>
      </c>
      <c r="AI150" s="513">
        <f>IFERROR(__xludf.DUMMYFUNCTION("""COMPUTED_VALUE"""),23.03)</f>
        <v/>
      </c>
      <c r="AK150" s="512">
        <f>IFERROR(__xludf.DUMMYFUNCTION("""COMPUTED_VALUE"""),46080.6666666666)</f>
        <v/>
      </c>
      <c r="AL150" s="513">
        <f>IFERROR(__xludf.DUMMYFUNCTION("""COMPUTED_VALUE"""),80.72)</f>
        <v/>
      </c>
      <c r="AN150" s="512">
        <f>IFERROR(__xludf.DUMMYFUNCTION("""COMPUTED_VALUE"""),46080.6666666666)</f>
        <v/>
      </c>
      <c r="AO150" s="513">
        <f>IFERROR(__xludf.DUMMYFUNCTION("""COMPUTED_VALUE"""),111.88)</f>
        <v/>
      </c>
      <c r="AQ150" s="512">
        <f>IFERROR(__xludf.DUMMYFUNCTION("""COMPUTED_VALUE"""),46080.6666666666)</f>
        <v/>
      </c>
      <c r="AR150" s="513">
        <f>IFERROR(__xludf.DUMMYFUNCTION("""COMPUTED_VALUE"""),105.38)</f>
        <v/>
      </c>
      <c r="AT150" s="512">
        <f>IFERROR(__xludf.DUMMYFUNCTION("""COMPUTED_VALUE"""),46080.6666666666)</f>
        <v/>
      </c>
      <c r="AU150" s="513">
        <f>IFERROR(__xludf.DUMMYFUNCTION("""COMPUTED_VALUE"""),62.58)</f>
        <v/>
      </c>
      <c r="AW150" s="512">
        <f>IFERROR(__xludf.DUMMYFUNCTION("""COMPUTED_VALUE"""),46080.6666666666)</f>
        <v/>
      </c>
      <c r="AX150" s="513">
        <f>IFERROR(__xludf.DUMMYFUNCTION("""COMPUTED_VALUE"""),101.4)</f>
        <v/>
      </c>
      <c r="AZ150" s="512">
        <f>IFERROR(__xludf.DUMMYFUNCTION("""COMPUTED_VALUE"""),46080.6666666666)</f>
        <v/>
      </c>
      <c r="BA150" s="513">
        <f>IFERROR(__xludf.DUMMYFUNCTION("""COMPUTED_VALUE"""),111.68)</f>
        <v/>
      </c>
      <c r="BC150" s="512">
        <f>IFERROR(__xludf.DUMMYFUNCTION("""COMPUTED_VALUE"""),46080.6666666666)</f>
        <v/>
      </c>
      <c r="BD150" s="513">
        <f>IFERROR(__xludf.DUMMYFUNCTION("""COMPUTED_VALUE"""),97.99)</f>
        <v/>
      </c>
      <c r="BF150" s="512">
        <f>IFERROR(__xludf.DUMMYFUNCTION("""COMPUTED_VALUE"""),46080.6666666666)</f>
        <v/>
      </c>
      <c r="BG150" s="513">
        <f>IFERROR(__xludf.DUMMYFUNCTION("""COMPUTED_VALUE"""),83.18)</f>
        <v/>
      </c>
      <c r="BI150" s="512">
        <f>IFERROR(__xludf.DUMMYFUNCTION("""COMPUTED_VALUE"""),46080.6666666666)</f>
        <v/>
      </c>
      <c r="BJ150" s="513">
        <f>IFERROR(__xludf.DUMMYFUNCTION("""COMPUTED_VALUE"""),90.82)</f>
        <v/>
      </c>
      <c r="BL150" s="512">
        <f>IFERROR(__xludf.DUMMYFUNCTION("""COMPUTED_VALUE"""),46080.6666666666)</f>
        <v/>
      </c>
      <c r="BM150" s="513">
        <f>IFERROR(__xludf.DUMMYFUNCTION("""COMPUTED_VALUE"""),483.75)</f>
        <v/>
      </c>
      <c r="BO150" s="512">
        <f>IFERROR(__xludf.DUMMYFUNCTION("""COMPUTED_VALUE"""),46080.6666666666)</f>
        <v/>
      </c>
      <c r="BP150" s="513">
        <f>IFERROR(__xludf.DUMMYFUNCTION("""COMPUTED_VALUE"""),91.62)</f>
        <v/>
      </c>
    </row>
    <row r="151">
      <c r="A151" s="512">
        <f>IFERROR(__xludf.DUMMYFUNCTION("""COMPUTED_VALUE"""),46083.6666666666)</f>
        <v/>
      </c>
      <c r="B151" s="513">
        <f>IFERROR(__xludf.DUMMYFUNCTION("""COMPUTED_VALUE"""),686.38)</f>
        <v/>
      </c>
      <c r="D151" s="512">
        <f>IFERROR(__xludf.DUMMYFUNCTION("""COMPUTED_VALUE"""),46083.6666666666)</f>
        <v/>
      </c>
      <c r="E151" s="513">
        <f>IFERROR(__xludf.DUMMYFUNCTION("""COMPUTED_VALUE"""),95.93)</f>
        <v/>
      </c>
      <c r="G151" s="512" t="n"/>
      <c r="H151" s="513" t="n"/>
      <c r="J151" s="512">
        <f>IFERROR(__xludf.DUMMYFUNCTION("""COMPUTED_VALUE"""),46083.6666666666)</f>
        <v/>
      </c>
      <c r="K151" s="513">
        <f>IFERROR(__xludf.DUMMYFUNCTION("""COMPUTED_VALUE"""),90.2)</f>
        <v/>
      </c>
      <c r="M151" s="512">
        <f>IFERROR(__xludf.DUMMYFUNCTION("""COMPUTED_VALUE"""),46083.6666666666)</f>
        <v/>
      </c>
      <c r="N151" s="513">
        <f>IFERROR(__xludf.DUMMYFUNCTION("""COMPUTED_VALUE"""),263.81)</f>
        <v/>
      </c>
      <c r="P151" s="512">
        <f>IFERROR(__xludf.DUMMYFUNCTION("""COMPUTED_VALUE"""),46083.6666666666)</f>
        <v/>
      </c>
      <c r="Q151" s="513">
        <f>IFERROR(__xludf.DUMMYFUNCTION("""COMPUTED_VALUE"""),88.27)</f>
        <v/>
      </c>
      <c r="S151" s="512">
        <f>IFERROR(__xludf.DUMMYFUNCTION("""COMPUTED_VALUE"""),45351.6666666666)</f>
        <v/>
      </c>
      <c r="T151" s="513">
        <f>IFERROR(__xludf.DUMMYFUNCTION("""COMPUTED_VALUE"""),180.75)</f>
        <v/>
      </c>
      <c r="V151" s="512">
        <f>IFERROR(__xludf.DUMMYFUNCTION("""COMPUTED_VALUE"""),46083.6666666666)</f>
        <v/>
      </c>
      <c r="W151" s="513">
        <f>IFERROR(__xludf.DUMMYFUNCTION("""COMPUTED_VALUE"""),25.81)</f>
        <v/>
      </c>
      <c r="Y151" s="512">
        <f>IFERROR(__xludf.DUMMYFUNCTION("""COMPUTED_VALUE"""),46083.6666666666)</f>
        <v/>
      </c>
      <c r="Z151" s="513">
        <f>IFERROR(__xludf.DUMMYFUNCTION("""COMPUTED_VALUE"""),74.64)</f>
        <v/>
      </c>
      <c r="AB151" s="512">
        <f>IFERROR(__xludf.DUMMYFUNCTION("""COMPUTED_VALUE"""),46083.6666666666)</f>
        <v/>
      </c>
      <c r="AC151" s="513">
        <f>IFERROR(__xludf.DUMMYFUNCTION("""COMPUTED_VALUE"""),57.24)</f>
        <v/>
      </c>
      <c r="AE151" s="512">
        <f>IFERROR(__xludf.DUMMYFUNCTION("""COMPUTED_VALUE"""),46083.6666666666)</f>
        <v/>
      </c>
      <c r="AF151" s="513">
        <f>IFERROR(__xludf.DUMMYFUNCTION("""COMPUTED_VALUE"""),96.99)</f>
        <v/>
      </c>
      <c r="AH151" s="512">
        <f>IFERROR(__xludf.DUMMYFUNCTION("""COMPUTED_VALUE"""),46083.6666666666)</f>
        <v/>
      </c>
      <c r="AI151" s="513">
        <f>IFERROR(__xludf.DUMMYFUNCTION("""COMPUTED_VALUE"""),22.72)</f>
        <v/>
      </c>
      <c r="AK151" s="512">
        <f>IFERROR(__xludf.DUMMYFUNCTION("""COMPUTED_VALUE"""),46083.6666666666)</f>
        <v/>
      </c>
      <c r="AL151" s="513">
        <f>IFERROR(__xludf.DUMMYFUNCTION("""COMPUTED_VALUE"""),80.28)</f>
        <v/>
      </c>
      <c r="AN151" s="512">
        <f>IFERROR(__xludf.DUMMYFUNCTION("""COMPUTED_VALUE"""),46083.6666666666)</f>
        <v/>
      </c>
      <c r="AO151" s="513">
        <f>IFERROR(__xludf.DUMMYFUNCTION("""COMPUTED_VALUE"""),111.57)</f>
        <v/>
      </c>
      <c r="AQ151" s="512">
        <f>IFERROR(__xludf.DUMMYFUNCTION("""COMPUTED_VALUE"""),46083.6666666666)</f>
        <v/>
      </c>
      <c r="AR151" s="513">
        <f>IFERROR(__xludf.DUMMYFUNCTION("""COMPUTED_VALUE"""),103.3)</f>
        <v/>
      </c>
      <c r="AT151" s="512">
        <f>IFERROR(__xludf.DUMMYFUNCTION("""COMPUTED_VALUE"""),46083.6666666666)</f>
        <v/>
      </c>
      <c r="AU151" s="513">
        <f>IFERROR(__xludf.DUMMYFUNCTION("""COMPUTED_VALUE"""),61.5)</f>
        <v/>
      </c>
      <c r="AW151" s="512">
        <f>IFERROR(__xludf.DUMMYFUNCTION("""COMPUTED_VALUE"""),46083.6666666666)</f>
        <v/>
      </c>
      <c r="AX151" s="513">
        <f>IFERROR(__xludf.DUMMYFUNCTION("""COMPUTED_VALUE"""),100.68)</f>
        <v/>
      </c>
      <c r="AZ151" s="512">
        <f>IFERROR(__xludf.DUMMYFUNCTION("""COMPUTED_VALUE"""),46083.6666666666)</f>
        <v/>
      </c>
      <c r="BA151" s="513">
        <f>IFERROR(__xludf.DUMMYFUNCTION("""COMPUTED_VALUE"""),110.92)</f>
        <v/>
      </c>
      <c r="BC151" s="512">
        <f>IFERROR(__xludf.DUMMYFUNCTION("""COMPUTED_VALUE"""),46083.6666666666)</f>
        <v/>
      </c>
      <c r="BD151" s="513">
        <f>IFERROR(__xludf.DUMMYFUNCTION("""COMPUTED_VALUE"""),97.12)</f>
        <v/>
      </c>
      <c r="BF151" s="512">
        <f>IFERROR(__xludf.DUMMYFUNCTION("""COMPUTED_VALUE"""),46083.6666666666)</f>
        <v/>
      </c>
      <c r="BG151" s="513">
        <f>IFERROR(__xludf.DUMMYFUNCTION("""COMPUTED_VALUE"""),82.81)</f>
        <v/>
      </c>
      <c r="BI151" s="512">
        <f>IFERROR(__xludf.DUMMYFUNCTION("""COMPUTED_VALUE"""),46083.6666666666)</f>
        <v/>
      </c>
      <c r="BJ151" s="513">
        <f>IFERROR(__xludf.DUMMYFUNCTION("""COMPUTED_VALUE"""),89.61)</f>
        <v/>
      </c>
      <c r="BL151" s="512">
        <f>IFERROR(__xludf.DUMMYFUNCTION("""COMPUTED_VALUE"""),46083.6666666666)</f>
        <v/>
      </c>
      <c r="BM151" s="513">
        <f>IFERROR(__xludf.DUMMYFUNCTION("""COMPUTED_VALUE"""),490)</f>
        <v/>
      </c>
      <c r="BO151" s="512">
        <f>IFERROR(__xludf.DUMMYFUNCTION("""COMPUTED_VALUE"""),46083.6666666666)</f>
        <v/>
      </c>
      <c r="BP151" s="513">
        <f>IFERROR(__xludf.DUMMYFUNCTION("""COMPUTED_VALUE"""),91.39)</f>
        <v/>
      </c>
    </row>
    <row r="152">
      <c r="A152" s="512">
        <f>IFERROR(__xludf.DUMMYFUNCTION("""COMPUTED_VALUE"""),46084.6666666666)</f>
        <v/>
      </c>
      <c r="B152" s="513">
        <f>IFERROR(__xludf.DUMMYFUNCTION("""COMPUTED_VALUE"""),680.33)</f>
        <v/>
      </c>
      <c r="D152" s="512">
        <f>IFERROR(__xludf.DUMMYFUNCTION("""COMPUTED_VALUE"""),46084.6666666666)</f>
        <v/>
      </c>
      <c r="E152" s="513">
        <f>IFERROR(__xludf.DUMMYFUNCTION("""COMPUTED_VALUE"""),95.42)</f>
        <v/>
      </c>
      <c r="G152" s="512" t="n"/>
      <c r="H152" s="513" t="n"/>
      <c r="J152" s="512">
        <f>IFERROR(__xludf.DUMMYFUNCTION("""COMPUTED_VALUE"""),46084.6666666666)</f>
        <v/>
      </c>
      <c r="K152" s="513">
        <f>IFERROR(__xludf.DUMMYFUNCTION("""COMPUTED_VALUE"""),86.83)</f>
        <v/>
      </c>
      <c r="M152" s="512">
        <f>IFERROR(__xludf.DUMMYFUNCTION("""COMPUTED_VALUE"""),46084.6666666666)</f>
        <v/>
      </c>
      <c r="N152" s="513">
        <f>IFERROR(__xludf.DUMMYFUNCTION("""COMPUTED_VALUE"""),259.24)</f>
        <v/>
      </c>
      <c r="P152" s="512">
        <f>IFERROR(__xludf.DUMMYFUNCTION("""COMPUTED_VALUE"""),46084.6666666666)</f>
        <v/>
      </c>
      <c r="Q152" s="513">
        <f>IFERROR(__xludf.DUMMYFUNCTION("""COMPUTED_VALUE"""),85.61)</f>
        <v/>
      </c>
      <c r="S152" s="512">
        <f>IFERROR(__xludf.DUMMYFUNCTION("""COMPUTED_VALUE"""),45352.6666666666)</f>
        <v/>
      </c>
      <c r="T152" s="513">
        <f>IFERROR(__xludf.DUMMYFUNCTION("""COMPUTED_VALUE"""),179.66)</f>
        <v/>
      </c>
      <c r="V152" s="512">
        <f>IFERROR(__xludf.DUMMYFUNCTION("""COMPUTED_VALUE"""),46084.6666666666)</f>
        <v/>
      </c>
      <c r="W152" s="513">
        <f>IFERROR(__xludf.DUMMYFUNCTION("""COMPUTED_VALUE"""),25.91)</f>
        <v/>
      </c>
      <c r="Y152" s="512">
        <f>IFERROR(__xludf.DUMMYFUNCTION("""COMPUTED_VALUE"""),46084.6666666666)</f>
        <v/>
      </c>
      <c r="Z152" s="513">
        <f>IFERROR(__xludf.DUMMYFUNCTION("""COMPUTED_VALUE"""),74.56)</f>
        <v/>
      </c>
      <c r="AB152" s="512">
        <f>IFERROR(__xludf.DUMMYFUNCTION("""COMPUTED_VALUE"""),46084.6666666666)</f>
        <v/>
      </c>
      <c r="AC152" s="513">
        <f>IFERROR(__xludf.DUMMYFUNCTION("""COMPUTED_VALUE"""),55.23)</f>
        <v/>
      </c>
      <c r="AE152" s="512">
        <f>IFERROR(__xludf.DUMMYFUNCTION("""COMPUTED_VALUE"""),46084.6666666666)</f>
        <v/>
      </c>
      <c r="AF152" s="513">
        <f>IFERROR(__xludf.DUMMYFUNCTION("""COMPUTED_VALUE"""),96.55)</f>
        <v/>
      </c>
      <c r="AH152" s="512">
        <f>IFERROR(__xludf.DUMMYFUNCTION("""COMPUTED_VALUE"""),46084.6666666666)</f>
        <v/>
      </c>
      <c r="AI152" s="513">
        <f>IFERROR(__xludf.DUMMYFUNCTION("""COMPUTED_VALUE"""),22.49)</f>
        <v/>
      </c>
      <c r="AK152" s="512">
        <f>IFERROR(__xludf.DUMMYFUNCTION("""COMPUTED_VALUE"""),46084.6666666666)</f>
        <v/>
      </c>
      <c r="AL152" s="513">
        <f>IFERROR(__xludf.DUMMYFUNCTION("""COMPUTED_VALUE"""),80.12)</f>
        <v/>
      </c>
      <c r="AN152" s="512">
        <f>IFERROR(__xludf.DUMMYFUNCTION("""COMPUTED_VALUE"""),46084.6666666666)</f>
        <v/>
      </c>
      <c r="AO152" s="513">
        <f>IFERROR(__xludf.DUMMYFUNCTION("""COMPUTED_VALUE"""),111.5)</f>
        <v/>
      </c>
      <c r="AQ152" s="512">
        <f>IFERROR(__xludf.DUMMYFUNCTION("""COMPUTED_VALUE"""),46084.6666666666)</f>
        <v/>
      </c>
      <c r="AR152" s="513">
        <f>IFERROR(__xludf.DUMMYFUNCTION("""COMPUTED_VALUE"""),100.09)</f>
        <v/>
      </c>
      <c r="AT152" s="512">
        <f>IFERROR(__xludf.DUMMYFUNCTION("""COMPUTED_VALUE"""),46084.6666666666)</f>
        <v/>
      </c>
      <c r="AU152" s="513">
        <f>IFERROR(__xludf.DUMMYFUNCTION("""COMPUTED_VALUE"""),58.42)</f>
        <v/>
      </c>
      <c r="AW152" s="512">
        <f>IFERROR(__xludf.DUMMYFUNCTION("""COMPUTED_VALUE"""),46084.6666666666)</f>
        <v/>
      </c>
      <c r="AX152" s="513">
        <f>IFERROR(__xludf.DUMMYFUNCTION("""COMPUTED_VALUE"""),100.57)</f>
        <v/>
      </c>
      <c r="AZ152" s="512">
        <f>IFERROR(__xludf.DUMMYFUNCTION("""COMPUTED_VALUE"""),46084.6666666666)</f>
        <v/>
      </c>
      <c r="BA152" s="513">
        <f>IFERROR(__xludf.DUMMYFUNCTION("""COMPUTED_VALUE"""),110.87)</f>
        <v/>
      </c>
      <c r="BC152" s="512">
        <f>IFERROR(__xludf.DUMMYFUNCTION("""COMPUTED_VALUE"""),46084.6666666666)</f>
        <v/>
      </c>
      <c r="BD152" s="513">
        <f>IFERROR(__xludf.DUMMYFUNCTION("""COMPUTED_VALUE"""),97.01)</f>
        <v/>
      </c>
      <c r="BF152" s="512">
        <f>IFERROR(__xludf.DUMMYFUNCTION("""COMPUTED_VALUE"""),46084.6666666666)</f>
        <v/>
      </c>
      <c r="BG152" s="513">
        <f>IFERROR(__xludf.DUMMYFUNCTION("""COMPUTED_VALUE"""),82.8)</f>
        <v/>
      </c>
      <c r="BI152" s="512">
        <f>IFERROR(__xludf.DUMMYFUNCTION("""COMPUTED_VALUE"""),46084.6666666666)</f>
        <v/>
      </c>
      <c r="BJ152" s="513">
        <f>IFERROR(__xludf.DUMMYFUNCTION("""COMPUTED_VALUE"""),89.43)</f>
        <v/>
      </c>
      <c r="BL152" s="512">
        <f>IFERROR(__xludf.DUMMYFUNCTION("""COMPUTED_VALUE"""),46084.6666666666)</f>
        <v/>
      </c>
      <c r="BM152" s="513">
        <f>IFERROR(__xludf.DUMMYFUNCTION("""COMPUTED_VALUE"""),468.14)</f>
        <v/>
      </c>
      <c r="BO152" s="512">
        <f>IFERROR(__xludf.DUMMYFUNCTION("""COMPUTED_VALUE"""),46084.6666666666)</f>
        <v/>
      </c>
      <c r="BP152" s="513">
        <f>IFERROR(__xludf.DUMMYFUNCTION("""COMPUTED_VALUE"""),91.4)</f>
        <v/>
      </c>
    </row>
    <row r="153">
      <c r="A153" s="512">
        <f>IFERROR(__xludf.DUMMYFUNCTION("""COMPUTED_VALUE"""),46085.6666666666)</f>
        <v/>
      </c>
      <c r="B153" s="513">
        <f>IFERROR(__xludf.DUMMYFUNCTION("""COMPUTED_VALUE"""),685.13)</f>
        <v/>
      </c>
      <c r="D153" s="512">
        <f>IFERROR(__xludf.DUMMYFUNCTION("""COMPUTED_VALUE"""),46085.6666666666)</f>
        <v/>
      </c>
      <c r="E153" s="513">
        <f>IFERROR(__xludf.DUMMYFUNCTION("""COMPUTED_VALUE"""),95.54)</f>
        <v/>
      </c>
      <c r="G153" s="512" t="n"/>
      <c r="H153" s="513" t="n"/>
      <c r="J153" s="512">
        <f>IFERROR(__xludf.DUMMYFUNCTION("""COMPUTED_VALUE"""),46085.6666666666)</f>
        <v/>
      </c>
      <c r="K153" s="513">
        <f>IFERROR(__xludf.DUMMYFUNCTION("""COMPUTED_VALUE"""),88.59)</f>
        <v/>
      </c>
      <c r="M153" s="512">
        <f>IFERROR(__xludf.DUMMYFUNCTION("""COMPUTED_VALUE"""),46085.6666666666)</f>
        <v/>
      </c>
      <c r="N153" s="513">
        <f>IFERROR(__xludf.DUMMYFUNCTION("""COMPUTED_VALUE"""),261.76)</f>
        <v/>
      </c>
      <c r="P153" s="512">
        <f>IFERROR(__xludf.DUMMYFUNCTION("""COMPUTED_VALUE"""),46085.6666666666)</f>
        <v/>
      </c>
      <c r="Q153" s="513">
        <f>IFERROR(__xludf.DUMMYFUNCTION("""COMPUTED_VALUE"""),86.59)</f>
        <v/>
      </c>
      <c r="S153" s="512">
        <f>IFERROR(__xludf.DUMMYFUNCTION("""COMPUTED_VALUE"""),45355.6666666666)</f>
        <v/>
      </c>
      <c r="T153" s="513">
        <f>IFERROR(__xludf.DUMMYFUNCTION("""COMPUTED_VALUE"""),175.1)</f>
        <v/>
      </c>
      <c r="V153" s="512">
        <f>IFERROR(__xludf.DUMMYFUNCTION("""COMPUTED_VALUE"""),46085.6666666666)</f>
        <v/>
      </c>
      <c r="W153" s="513">
        <f>IFERROR(__xludf.DUMMYFUNCTION("""COMPUTED_VALUE"""),26.14)</f>
        <v/>
      </c>
      <c r="Y153" s="512">
        <f>IFERROR(__xludf.DUMMYFUNCTION("""COMPUTED_VALUE"""),46085.6666666666)</f>
        <v/>
      </c>
      <c r="Z153" s="513">
        <f>IFERROR(__xludf.DUMMYFUNCTION("""COMPUTED_VALUE"""),74.51)</f>
        <v/>
      </c>
      <c r="AB153" s="512">
        <f>IFERROR(__xludf.DUMMYFUNCTION("""COMPUTED_VALUE"""),46085.6666666666)</f>
        <v/>
      </c>
      <c r="AC153" s="513">
        <f>IFERROR(__xludf.DUMMYFUNCTION("""COMPUTED_VALUE"""),55.58)</f>
        <v/>
      </c>
      <c r="AE153" s="512">
        <f>IFERROR(__xludf.DUMMYFUNCTION("""COMPUTED_VALUE"""),46085.6666666666)</f>
        <v/>
      </c>
      <c r="AF153" s="513">
        <f>IFERROR(__xludf.DUMMYFUNCTION("""COMPUTED_VALUE"""),96.87)</f>
        <v/>
      </c>
      <c r="AH153" s="512">
        <f>IFERROR(__xludf.DUMMYFUNCTION("""COMPUTED_VALUE"""),46085.6666666666)</f>
        <v/>
      </c>
      <c r="AI153" s="513">
        <f>IFERROR(__xludf.DUMMYFUNCTION("""COMPUTED_VALUE"""),22.57)</f>
        <v/>
      </c>
      <c r="AK153" s="512">
        <f>IFERROR(__xludf.DUMMYFUNCTION("""COMPUTED_VALUE"""),46085.6666666666)</f>
        <v/>
      </c>
      <c r="AL153" s="513">
        <f>IFERROR(__xludf.DUMMYFUNCTION("""COMPUTED_VALUE"""),80.4)</f>
        <v/>
      </c>
      <c r="AN153" s="512">
        <f>IFERROR(__xludf.DUMMYFUNCTION("""COMPUTED_VALUE"""),46085.6666666666)</f>
        <v/>
      </c>
      <c r="AO153" s="513">
        <f>IFERROR(__xludf.DUMMYFUNCTION("""COMPUTED_VALUE"""),111.25)</f>
        <v/>
      </c>
      <c r="AQ153" s="512">
        <f>IFERROR(__xludf.DUMMYFUNCTION("""COMPUTED_VALUE"""),46085.6666666666)</f>
        <v/>
      </c>
      <c r="AR153" s="513">
        <f>IFERROR(__xludf.DUMMYFUNCTION("""COMPUTED_VALUE"""),101.38)</f>
        <v/>
      </c>
      <c r="AT153" s="512">
        <f>IFERROR(__xludf.DUMMYFUNCTION("""COMPUTED_VALUE"""),46085.6666666666)</f>
        <v/>
      </c>
      <c r="AU153" s="513">
        <f>IFERROR(__xludf.DUMMYFUNCTION("""COMPUTED_VALUE"""),59.05)</f>
        <v/>
      </c>
      <c r="AW153" s="512">
        <f>IFERROR(__xludf.DUMMYFUNCTION("""COMPUTED_VALUE"""),46085.6666666666)</f>
        <v/>
      </c>
      <c r="AX153" s="513">
        <f>IFERROR(__xludf.DUMMYFUNCTION("""COMPUTED_VALUE"""),100.53)</f>
        <v/>
      </c>
      <c r="AZ153" s="512">
        <f>IFERROR(__xludf.DUMMYFUNCTION("""COMPUTED_VALUE"""),46085.6666666666)</f>
        <v/>
      </c>
      <c r="BA153" s="513">
        <f>IFERROR(__xludf.DUMMYFUNCTION("""COMPUTED_VALUE"""),110.97)</f>
        <v/>
      </c>
      <c r="BC153" s="512">
        <f>IFERROR(__xludf.DUMMYFUNCTION("""COMPUTED_VALUE"""),46085.6666666666)</f>
        <v/>
      </c>
      <c r="BD153" s="513">
        <f>IFERROR(__xludf.DUMMYFUNCTION("""COMPUTED_VALUE"""),96.81)</f>
        <v/>
      </c>
      <c r="BF153" s="512">
        <f>IFERROR(__xludf.DUMMYFUNCTION("""COMPUTED_VALUE"""),46085.6666666666)</f>
        <v/>
      </c>
      <c r="BG153" s="513">
        <f>IFERROR(__xludf.DUMMYFUNCTION("""COMPUTED_VALUE"""),82.75)</f>
        <v/>
      </c>
      <c r="BI153" s="512">
        <f>IFERROR(__xludf.DUMMYFUNCTION("""COMPUTED_VALUE"""),46085.6666666666)</f>
        <v/>
      </c>
      <c r="BJ153" s="513">
        <f>IFERROR(__xludf.DUMMYFUNCTION("""COMPUTED_VALUE"""),89.15)</f>
        <v/>
      </c>
      <c r="BL153" s="512">
        <f>IFERROR(__xludf.DUMMYFUNCTION("""COMPUTED_VALUE"""),46085.6666666666)</f>
        <v/>
      </c>
      <c r="BM153" s="513">
        <f>IFERROR(__xludf.DUMMYFUNCTION("""COMPUTED_VALUE"""),471.8)</f>
        <v/>
      </c>
      <c r="BO153" s="512">
        <f>IFERROR(__xludf.DUMMYFUNCTION("""COMPUTED_VALUE"""),46085.6666666666)</f>
        <v/>
      </c>
      <c r="BP153" s="513">
        <f>IFERROR(__xludf.DUMMYFUNCTION("""COMPUTED_VALUE"""),91.41)</f>
        <v/>
      </c>
    </row>
    <row r="154">
      <c r="A154" s="512">
        <f>IFERROR(__xludf.DUMMYFUNCTION("""COMPUTED_VALUE"""),46086.6666666666)</f>
        <v/>
      </c>
      <c r="B154" s="513">
        <f>IFERROR(__xludf.DUMMYFUNCTION("""COMPUTED_VALUE"""),681.31)</f>
        <v/>
      </c>
      <c r="D154" s="512">
        <f>IFERROR(__xludf.DUMMYFUNCTION("""COMPUTED_VALUE"""),46086.6666666666)</f>
        <v/>
      </c>
      <c r="E154" s="513">
        <f>IFERROR(__xludf.DUMMYFUNCTION("""COMPUTED_VALUE"""),94.58)</f>
        <v/>
      </c>
      <c r="G154" s="512" t="n"/>
      <c r="H154" s="513" t="n"/>
      <c r="J154" s="512">
        <f>IFERROR(__xludf.DUMMYFUNCTION("""COMPUTED_VALUE"""),46086.6666666666)</f>
        <v/>
      </c>
      <c r="K154" s="513">
        <f>IFERROR(__xludf.DUMMYFUNCTION("""COMPUTED_VALUE"""),85.89)</f>
        <v/>
      </c>
      <c r="M154" s="512">
        <f>IFERROR(__xludf.DUMMYFUNCTION("""COMPUTED_VALUE"""),46086.6666666666)</f>
        <v/>
      </c>
      <c r="N154" s="513">
        <f>IFERROR(__xludf.DUMMYFUNCTION("""COMPUTED_VALUE"""),256.76)</f>
        <v/>
      </c>
      <c r="P154" s="512">
        <f>IFERROR(__xludf.DUMMYFUNCTION("""COMPUTED_VALUE"""),46086.6666666666)</f>
        <v/>
      </c>
      <c r="Q154" s="513">
        <f>IFERROR(__xludf.DUMMYFUNCTION("""COMPUTED_VALUE"""),84.85)</f>
        <v/>
      </c>
      <c r="S154" s="512">
        <f>IFERROR(__xludf.DUMMYFUNCTION("""COMPUTED_VALUE"""),45356.6666666666)</f>
        <v/>
      </c>
      <c r="T154" s="513">
        <f>IFERROR(__xludf.DUMMYFUNCTION("""COMPUTED_VALUE"""),170.12)</f>
        <v/>
      </c>
      <c r="V154" s="512">
        <f>IFERROR(__xludf.DUMMYFUNCTION("""COMPUTED_VALUE"""),46086.6666666666)</f>
        <v/>
      </c>
      <c r="W154" s="513">
        <f>IFERROR(__xludf.DUMMYFUNCTION("""COMPUTED_VALUE"""),26.52)</f>
        <v/>
      </c>
      <c r="Y154" s="512">
        <f>IFERROR(__xludf.DUMMYFUNCTION("""COMPUTED_VALUE"""),46086.6666666666)</f>
        <v/>
      </c>
      <c r="Z154" s="513">
        <f>IFERROR(__xludf.DUMMYFUNCTION("""COMPUTED_VALUE"""),74.34)</f>
        <v/>
      </c>
      <c r="AB154" s="512">
        <f>IFERROR(__xludf.DUMMYFUNCTION("""COMPUTED_VALUE"""),46086.6666666666)</f>
        <v/>
      </c>
      <c r="AC154" s="513">
        <f>IFERROR(__xludf.DUMMYFUNCTION("""COMPUTED_VALUE"""),54.85)</f>
        <v/>
      </c>
      <c r="AE154" s="512">
        <f>IFERROR(__xludf.DUMMYFUNCTION("""COMPUTED_VALUE"""),46086.6666666666)</f>
        <v/>
      </c>
      <c r="AF154" s="513">
        <f>IFERROR(__xludf.DUMMYFUNCTION("""COMPUTED_VALUE"""),96.38)</f>
        <v/>
      </c>
      <c r="AH154" s="512">
        <f>IFERROR(__xludf.DUMMYFUNCTION("""COMPUTED_VALUE"""),46086.6666666666)</f>
        <v/>
      </c>
      <c r="AI154" s="513">
        <f>IFERROR(__xludf.DUMMYFUNCTION("""COMPUTED_VALUE"""),22.4)</f>
        <v/>
      </c>
      <c r="AK154" s="512">
        <f>IFERROR(__xludf.DUMMYFUNCTION("""COMPUTED_VALUE"""),46086.6666666666)</f>
        <v/>
      </c>
      <c r="AL154" s="513">
        <f>IFERROR(__xludf.DUMMYFUNCTION("""COMPUTED_VALUE"""),80.08)</f>
        <v/>
      </c>
      <c r="AN154" s="512">
        <f>IFERROR(__xludf.DUMMYFUNCTION("""COMPUTED_VALUE"""),46086.6666666666)</f>
        <v/>
      </c>
      <c r="AO154" s="513">
        <f>IFERROR(__xludf.DUMMYFUNCTION("""COMPUTED_VALUE"""),111.22)</f>
        <v/>
      </c>
      <c r="AQ154" s="512">
        <f>IFERROR(__xludf.DUMMYFUNCTION("""COMPUTED_VALUE"""),46086.6666666666)</f>
        <v/>
      </c>
      <c r="AR154" s="513">
        <f>IFERROR(__xludf.DUMMYFUNCTION("""COMPUTED_VALUE"""),99.16)</f>
        <v/>
      </c>
      <c r="AT154" s="512">
        <f>IFERROR(__xludf.DUMMYFUNCTION("""COMPUTED_VALUE"""),46086.6666666666)</f>
        <v/>
      </c>
      <c r="AU154" s="513">
        <f>IFERROR(__xludf.DUMMYFUNCTION("""COMPUTED_VALUE"""),57.63)</f>
        <v/>
      </c>
      <c r="AW154" s="512">
        <f>IFERROR(__xludf.DUMMYFUNCTION("""COMPUTED_VALUE"""),46086.6666666666)</f>
        <v/>
      </c>
      <c r="AX154" s="513">
        <f>IFERROR(__xludf.DUMMYFUNCTION("""COMPUTED_VALUE"""),100.24)</f>
        <v/>
      </c>
      <c r="AZ154" s="512">
        <f>IFERROR(__xludf.DUMMYFUNCTION("""COMPUTED_VALUE"""),46086.6666666666)</f>
        <v/>
      </c>
      <c r="BA154" s="513">
        <f>IFERROR(__xludf.DUMMYFUNCTION("""COMPUTED_VALUE"""),110.53)</f>
        <v/>
      </c>
      <c r="BC154" s="512">
        <f>IFERROR(__xludf.DUMMYFUNCTION("""COMPUTED_VALUE"""),46086.6666666666)</f>
        <v/>
      </c>
      <c r="BD154" s="513">
        <f>IFERROR(__xludf.DUMMYFUNCTION("""COMPUTED_VALUE"""),96.51)</f>
        <v/>
      </c>
      <c r="BF154" s="512">
        <f>IFERROR(__xludf.DUMMYFUNCTION("""COMPUTED_VALUE"""),46086.6666666666)</f>
        <v/>
      </c>
      <c r="BG154" s="513">
        <f>IFERROR(__xludf.DUMMYFUNCTION("""COMPUTED_VALUE"""),82.69)</f>
        <v/>
      </c>
      <c r="BI154" s="512">
        <f>IFERROR(__xludf.DUMMYFUNCTION("""COMPUTED_VALUE"""),46086.6666666666)</f>
        <v/>
      </c>
      <c r="BJ154" s="513">
        <f>IFERROR(__xludf.DUMMYFUNCTION("""COMPUTED_VALUE"""),88.79)</f>
        <v/>
      </c>
      <c r="BL154" s="512">
        <f>IFERROR(__xludf.DUMMYFUNCTION("""COMPUTED_VALUE"""),46086.6666666666)</f>
        <v/>
      </c>
      <c r="BM154" s="513">
        <f>IFERROR(__xludf.DUMMYFUNCTION("""COMPUTED_VALUE"""),466.13)</f>
        <v/>
      </c>
      <c r="BO154" s="512">
        <f>IFERROR(__xludf.DUMMYFUNCTION("""COMPUTED_VALUE"""),46086.6666666666)</f>
        <v/>
      </c>
      <c r="BP154" s="513">
        <f>IFERROR(__xludf.DUMMYFUNCTION("""COMPUTED_VALUE"""),91.42)</f>
        <v/>
      </c>
    </row>
    <row r="155">
      <c r="A155" s="512">
        <f>IFERROR(__xludf.DUMMYFUNCTION("""COMPUTED_VALUE"""),46087.6666666666)</f>
        <v/>
      </c>
      <c r="B155" s="513">
        <f>IFERROR(__xludf.DUMMYFUNCTION("""COMPUTED_VALUE"""),672.38)</f>
        <v/>
      </c>
      <c r="D155" s="512">
        <f>IFERROR(__xludf.DUMMYFUNCTION("""COMPUTED_VALUE"""),46087.6666666666)</f>
        <v/>
      </c>
      <c r="E155" s="513">
        <f>IFERROR(__xludf.DUMMYFUNCTION("""COMPUTED_VALUE"""),93.55)</f>
        <v/>
      </c>
      <c r="G155" s="512" t="n"/>
      <c r="H155" s="513" t="n"/>
      <c r="J155" s="512">
        <f>IFERROR(__xludf.DUMMYFUNCTION("""COMPUTED_VALUE"""),46087.6666666666)</f>
        <v/>
      </c>
      <c r="K155" s="513">
        <f>IFERROR(__xludf.DUMMYFUNCTION("""COMPUTED_VALUE"""),84.77)</f>
        <v/>
      </c>
      <c r="M155" s="512">
        <f>IFERROR(__xludf.DUMMYFUNCTION("""COMPUTED_VALUE"""),46087.6666666666)</f>
        <v/>
      </c>
      <c r="N155" s="513">
        <f>IFERROR(__xludf.DUMMYFUNCTION("""COMPUTED_VALUE"""),250.89)</f>
        <v/>
      </c>
      <c r="P155" s="512">
        <f>IFERROR(__xludf.DUMMYFUNCTION("""COMPUTED_VALUE"""),46087.6666666666)</f>
        <v/>
      </c>
      <c r="Q155" s="513">
        <f>IFERROR(__xludf.DUMMYFUNCTION("""COMPUTED_VALUE"""),84.25)</f>
        <v/>
      </c>
      <c r="S155" s="512">
        <f>IFERROR(__xludf.DUMMYFUNCTION("""COMPUTED_VALUE"""),45357.6666666666)</f>
        <v/>
      </c>
      <c r="T155" s="513">
        <f>IFERROR(__xludf.DUMMYFUNCTION("""COMPUTED_VALUE"""),169.12)</f>
        <v/>
      </c>
      <c r="V155" s="512">
        <f>IFERROR(__xludf.DUMMYFUNCTION("""COMPUTED_VALUE"""),46087.6666666666)</f>
        <v/>
      </c>
      <c r="W155" s="513">
        <f>IFERROR(__xludf.DUMMYFUNCTION("""COMPUTED_VALUE"""),27.51)</f>
        <v/>
      </c>
      <c r="Y155" s="512">
        <f>IFERROR(__xludf.DUMMYFUNCTION("""COMPUTED_VALUE"""),46087.6666666666)</f>
        <v/>
      </c>
      <c r="Z155" s="513">
        <f>IFERROR(__xludf.DUMMYFUNCTION("""COMPUTED_VALUE"""),74.24)</f>
        <v/>
      </c>
      <c r="AB155" s="512">
        <f>IFERROR(__xludf.DUMMYFUNCTION("""COMPUTED_VALUE"""),46087.6666666666)</f>
        <v/>
      </c>
      <c r="AC155" s="513">
        <f>IFERROR(__xludf.DUMMYFUNCTION("""COMPUTED_VALUE"""),54.47)</f>
        <v/>
      </c>
      <c r="AE155" s="512">
        <f>IFERROR(__xludf.DUMMYFUNCTION("""COMPUTED_VALUE"""),46087.6666666666)</f>
        <v/>
      </c>
      <c r="AF155" s="513">
        <f>IFERROR(__xludf.DUMMYFUNCTION("""COMPUTED_VALUE"""),95.75)</f>
        <v/>
      </c>
      <c r="AH155" s="512">
        <f>IFERROR(__xludf.DUMMYFUNCTION("""COMPUTED_VALUE"""),46087.6666666666)</f>
        <v/>
      </c>
      <c r="AI155" s="513">
        <f>IFERROR(__xludf.DUMMYFUNCTION("""COMPUTED_VALUE"""),22.36)</f>
        <v/>
      </c>
      <c r="AK155" s="512">
        <f>IFERROR(__xludf.DUMMYFUNCTION("""COMPUTED_VALUE"""),46087.6666666666)</f>
        <v/>
      </c>
      <c r="AL155" s="513">
        <f>IFERROR(__xludf.DUMMYFUNCTION("""COMPUTED_VALUE"""),79.69)</f>
        <v/>
      </c>
      <c r="AN155" s="512">
        <f>IFERROR(__xludf.DUMMYFUNCTION("""COMPUTED_VALUE"""),46087.6666666666)</f>
        <v/>
      </c>
      <c r="AO155" s="513">
        <f>IFERROR(__xludf.DUMMYFUNCTION("""COMPUTED_VALUE"""),111.43)</f>
        <v/>
      </c>
      <c r="AQ155" s="512">
        <f>IFERROR(__xludf.DUMMYFUNCTION("""COMPUTED_VALUE"""),46087.6666666666)</f>
        <v/>
      </c>
      <c r="AR155" s="513">
        <f>IFERROR(__xludf.DUMMYFUNCTION("""COMPUTED_VALUE"""),98.28)</f>
        <v/>
      </c>
      <c r="AT155" s="512">
        <f>IFERROR(__xludf.DUMMYFUNCTION("""COMPUTED_VALUE"""),46087.6666666666)</f>
        <v/>
      </c>
      <c r="AU155" s="513">
        <f>IFERROR(__xludf.DUMMYFUNCTION("""COMPUTED_VALUE"""),57.32)</f>
        <v/>
      </c>
      <c r="AW155" s="512">
        <f>IFERROR(__xludf.DUMMYFUNCTION("""COMPUTED_VALUE"""),46087.6666666666)</f>
        <v/>
      </c>
      <c r="AX155" s="513">
        <f>IFERROR(__xludf.DUMMYFUNCTION("""COMPUTED_VALUE"""),100.12)</f>
        <v/>
      </c>
      <c r="AZ155" s="512">
        <f>IFERROR(__xludf.DUMMYFUNCTION("""COMPUTED_VALUE"""),46087.6666666666)</f>
        <v/>
      </c>
      <c r="BA155" s="513">
        <f>IFERROR(__xludf.DUMMYFUNCTION("""COMPUTED_VALUE"""),110.16)</f>
        <v/>
      </c>
      <c r="BC155" s="512">
        <f>IFERROR(__xludf.DUMMYFUNCTION("""COMPUTED_VALUE"""),46087.6666666666)</f>
        <v/>
      </c>
      <c r="BD155" s="513">
        <f>IFERROR(__xludf.DUMMYFUNCTION("""COMPUTED_VALUE"""),96.45)</f>
        <v/>
      </c>
      <c r="BF155" s="512">
        <f>IFERROR(__xludf.DUMMYFUNCTION("""COMPUTED_VALUE"""),46087.6666666666)</f>
        <v/>
      </c>
      <c r="BG155" s="513">
        <f>IFERROR(__xludf.DUMMYFUNCTION("""COMPUTED_VALUE"""),82.73)</f>
        <v/>
      </c>
      <c r="BI155" s="512">
        <f>IFERROR(__xludf.DUMMYFUNCTION("""COMPUTED_VALUE"""),46087.6666666666)</f>
        <v/>
      </c>
      <c r="BJ155" s="513">
        <f>IFERROR(__xludf.DUMMYFUNCTION("""COMPUTED_VALUE"""),88.46)</f>
        <v/>
      </c>
      <c r="BL155" s="512">
        <f>IFERROR(__xludf.DUMMYFUNCTION("""COMPUTED_VALUE"""),46087.6666666666)</f>
        <v/>
      </c>
      <c r="BM155" s="513">
        <f>IFERROR(__xludf.DUMMYFUNCTION("""COMPUTED_VALUE"""),473.51)</f>
        <v/>
      </c>
      <c r="BO155" s="512">
        <f>IFERROR(__xludf.DUMMYFUNCTION("""COMPUTED_VALUE"""),46087.6666666666)</f>
        <v/>
      </c>
      <c r="BP155" s="513">
        <f>IFERROR(__xludf.DUMMYFUNCTION("""COMPUTED_VALUE"""),91.44)</f>
        <v/>
      </c>
    </row>
    <row r="156">
      <c r="A156" s="512">
        <f>IFERROR(__xludf.DUMMYFUNCTION("""COMPUTED_VALUE"""),46090.6666666666)</f>
        <v/>
      </c>
      <c r="B156" s="513">
        <f>IFERROR(__xludf.DUMMYFUNCTION("""COMPUTED_VALUE"""),678.27)</f>
        <v/>
      </c>
      <c r="D156" s="512">
        <f>IFERROR(__xludf.DUMMYFUNCTION("""COMPUTED_VALUE"""),46090.6666666666)</f>
        <v/>
      </c>
      <c r="E156" s="513">
        <f>IFERROR(__xludf.DUMMYFUNCTION("""COMPUTED_VALUE"""),93.76)</f>
        <v/>
      </c>
      <c r="G156" s="512" t="n"/>
      <c r="H156" s="513" t="n"/>
      <c r="J156" s="512">
        <f>IFERROR(__xludf.DUMMYFUNCTION("""COMPUTED_VALUE"""),46090.6666666666)</f>
        <v/>
      </c>
      <c r="K156" s="513">
        <f>IFERROR(__xludf.DUMMYFUNCTION("""COMPUTED_VALUE"""),85.64)</f>
        <v/>
      </c>
      <c r="M156" s="512">
        <f>IFERROR(__xludf.DUMMYFUNCTION("""COMPUTED_VALUE"""),46090.6666666666)</f>
        <v/>
      </c>
      <c r="N156" s="513">
        <f>IFERROR(__xludf.DUMMYFUNCTION("""COMPUTED_VALUE"""),253.62)</f>
        <v/>
      </c>
      <c r="P156" s="512">
        <f>IFERROR(__xludf.DUMMYFUNCTION("""COMPUTED_VALUE"""),46090.6666666666)</f>
        <v/>
      </c>
      <c r="Q156" s="513">
        <f>IFERROR(__xludf.DUMMYFUNCTION("""COMPUTED_VALUE"""),84.64)</f>
        <v/>
      </c>
      <c r="S156" s="512">
        <f>IFERROR(__xludf.DUMMYFUNCTION("""COMPUTED_VALUE"""),45358.6666666666)</f>
        <v/>
      </c>
      <c r="T156" s="513">
        <f>IFERROR(__xludf.DUMMYFUNCTION("""COMPUTED_VALUE"""),169)</f>
        <v/>
      </c>
      <c r="V156" s="512">
        <f>IFERROR(__xludf.DUMMYFUNCTION("""COMPUTED_VALUE"""),46090.6666666666)</f>
        <v/>
      </c>
      <c r="W156" s="513">
        <f>IFERROR(__xludf.DUMMYFUNCTION("""COMPUTED_VALUE"""),27.14)</f>
        <v/>
      </c>
      <c r="Y156" s="512">
        <f>IFERROR(__xludf.DUMMYFUNCTION("""COMPUTED_VALUE"""),46090.6666666666)</f>
        <v/>
      </c>
      <c r="Z156" s="513">
        <f>IFERROR(__xludf.DUMMYFUNCTION("""COMPUTED_VALUE"""),74.45)</f>
        <v/>
      </c>
      <c r="AB156" s="512">
        <f>IFERROR(__xludf.DUMMYFUNCTION("""COMPUTED_VALUE"""),46090.6666666666)</f>
        <v/>
      </c>
      <c r="AC156" s="513">
        <f>IFERROR(__xludf.DUMMYFUNCTION("""COMPUTED_VALUE"""),55.13)</f>
        <v/>
      </c>
      <c r="AE156" s="512">
        <f>IFERROR(__xludf.DUMMYFUNCTION("""COMPUTED_VALUE"""),46090.6666666666)</f>
        <v/>
      </c>
      <c r="AF156" s="513">
        <f>IFERROR(__xludf.DUMMYFUNCTION("""COMPUTED_VALUE"""),95.96)</f>
        <v/>
      </c>
      <c r="AH156" s="512">
        <f>IFERROR(__xludf.DUMMYFUNCTION("""COMPUTED_VALUE"""),46090.6666666666)</f>
        <v/>
      </c>
      <c r="AI156" s="513">
        <f>IFERROR(__xludf.DUMMYFUNCTION("""COMPUTED_VALUE"""),22.41)</f>
        <v/>
      </c>
      <c r="AK156" s="512">
        <f>IFERROR(__xludf.DUMMYFUNCTION("""COMPUTED_VALUE"""),46090.6666666666)</f>
        <v/>
      </c>
      <c r="AL156" s="513">
        <f>IFERROR(__xludf.DUMMYFUNCTION("""COMPUTED_VALUE"""),80.17)</f>
        <v/>
      </c>
      <c r="AN156" s="512">
        <f>IFERROR(__xludf.DUMMYFUNCTION("""COMPUTED_VALUE"""),46090.6666666666)</f>
        <v/>
      </c>
      <c r="AO156" s="513">
        <f>IFERROR(__xludf.DUMMYFUNCTION("""COMPUTED_VALUE"""),111.61)</f>
        <v/>
      </c>
      <c r="AQ156" s="512">
        <f>IFERROR(__xludf.DUMMYFUNCTION("""COMPUTED_VALUE"""),46090.6666666666)</f>
        <v/>
      </c>
      <c r="AR156" s="513">
        <f>IFERROR(__xludf.DUMMYFUNCTION("""COMPUTED_VALUE"""),98.99)</f>
        <v/>
      </c>
      <c r="AT156" s="512">
        <f>IFERROR(__xludf.DUMMYFUNCTION("""COMPUTED_VALUE"""),46090.6666666666)</f>
        <v/>
      </c>
      <c r="AU156" s="513">
        <f>IFERROR(__xludf.DUMMYFUNCTION("""COMPUTED_VALUE"""),58.45)</f>
        <v/>
      </c>
      <c r="AW156" s="512">
        <f>IFERROR(__xludf.DUMMYFUNCTION("""COMPUTED_VALUE"""),46090.6666666666)</f>
        <v/>
      </c>
      <c r="AX156" s="513">
        <f>IFERROR(__xludf.DUMMYFUNCTION("""COMPUTED_VALUE"""),100.44)</f>
        <v/>
      </c>
      <c r="AZ156" s="512">
        <f>IFERROR(__xludf.DUMMYFUNCTION("""COMPUTED_VALUE"""),46090.6666666666)</f>
        <v/>
      </c>
      <c r="BA156" s="513">
        <f>IFERROR(__xludf.DUMMYFUNCTION("""COMPUTED_VALUE"""),110.82)</f>
        <v/>
      </c>
      <c r="BC156" s="512">
        <f>IFERROR(__xludf.DUMMYFUNCTION("""COMPUTED_VALUE"""),46090.6666666666)</f>
        <v/>
      </c>
      <c r="BD156" s="513">
        <f>IFERROR(__xludf.DUMMYFUNCTION("""COMPUTED_VALUE"""),96.75)</f>
        <v/>
      </c>
      <c r="BF156" s="512">
        <f>IFERROR(__xludf.DUMMYFUNCTION("""COMPUTED_VALUE"""),46090.6666666666)</f>
        <v/>
      </c>
      <c r="BG156" s="513">
        <f>IFERROR(__xludf.DUMMYFUNCTION("""COMPUTED_VALUE"""),82.77)</f>
        <v/>
      </c>
      <c r="BI156" s="512">
        <f>IFERROR(__xludf.DUMMYFUNCTION("""COMPUTED_VALUE"""),46090.6666666666)</f>
        <v/>
      </c>
      <c r="BJ156" s="513">
        <f>IFERROR(__xludf.DUMMYFUNCTION("""COMPUTED_VALUE"""),89.23)</f>
        <v/>
      </c>
      <c r="BL156" s="512">
        <f>IFERROR(__xludf.DUMMYFUNCTION("""COMPUTED_VALUE"""),46090.6666666666)</f>
        <v/>
      </c>
      <c r="BM156" s="513">
        <f>IFERROR(__xludf.DUMMYFUNCTION("""COMPUTED_VALUE"""),472.53)</f>
        <v/>
      </c>
      <c r="BO156" s="512">
        <f>IFERROR(__xludf.DUMMYFUNCTION("""COMPUTED_VALUE"""),46090.6666666666)</f>
        <v/>
      </c>
      <c r="BP156" s="513">
        <f>IFERROR(__xludf.DUMMYFUNCTION("""COMPUTED_VALUE"""),91.45)</f>
        <v/>
      </c>
    </row>
    <row r="157">
      <c r="A157" s="512">
        <f>IFERROR(__xludf.DUMMYFUNCTION("""COMPUTED_VALUE"""),46091.6666666666)</f>
        <v/>
      </c>
      <c r="B157" s="513">
        <f>IFERROR(__xludf.DUMMYFUNCTION("""COMPUTED_VALUE"""),677.18)</f>
        <v/>
      </c>
      <c r="D157" s="512">
        <f>IFERROR(__xludf.DUMMYFUNCTION("""COMPUTED_VALUE"""),46091.6666666666)</f>
        <v/>
      </c>
      <c r="E157" s="513">
        <f>IFERROR(__xludf.DUMMYFUNCTION("""COMPUTED_VALUE"""),93.62)</f>
        <v/>
      </c>
      <c r="G157" s="512" t="n"/>
      <c r="H157" s="513" t="n"/>
      <c r="J157" s="512">
        <f>IFERROR(__xludf.DUMMYFUNCTION("""COMPUTED_VALUE"""),46091.6666666666)</f>
        <v/>
      </c>
      <c r="K157" s="513">
        <f>IFERROR(__xludf.DUMMYFUNCTION("""COMPUTED_VALUE"""),86.46)</f>
        <v/>
      </c>
      <c r="M157" s="512">
        <f>IFERROR(__xludf.DUMMYFUNCTION("""COMPUTED_VALUE"""),46091.6666666666)</f>
        <v/>
      </c>
      <c r="N157" s="513">
        <f>IFERROR(__xludf.DUMMYFUNCTION("""COMPUTED_VALUE"""),253.36)</f>
        <v/>
      </c>
      <c r="P157" s="512">
        <f>IFERROR(__xludf.DUMMYFUNCTION("""COMPUTED_VALUE"""),46091.6666666666)</f>
        <v/>
      </c>
      <c r="Q157" s="513">
        <f>IFERROR(__xludf.DUMMYFUNCTION("""COMPUTED_VALUE"""),84.67)</f>
        <v/>
      </c>
      <c r="S157" s="512">
        <f>IFERROR(__xludf.DUMMYFUNCTION("""COMPUTED_VALUE"""),45359.6666666666)</f>
        <v/>
      </c>
      <c r="T157" s="513">
        <f>IFERROR(__xludf.DUMMYFUNCTION("""COMPUTED_VALUE"""),170.73)</f>
        <v/>
      </c>
      <c r="V157" s="512">
        <f>IFERROR(__xludf.DUMMYFUNCTION("""COMPUTED_VALUE"""),46091.6666666666)</f>
        <v/>
      </c>
      <c r="W157" s="513">
        <f>IFERROR(__xludf.DUMMYFUNCTION("""COMPUTED_VALUE"""),27.6)</f>
        <v/>
      </c>
      <c r="Y157" s="512">
        <f>IFERROR(__xludf.DUMMYFUNCTION("""COMPUTED_VALUE"""),46091.6666666666)</f>
        <v/>
      </c>
      <c r="Z157" s="513">
        <f>IFERROR(__xludf.DUMMYFUNCTION("""COMPUTED_VALUE"""),74.22)</f>
        <v/>
      </c>
      <c r="AB157" s="512">
        <f>IFERROR(__xludf.DUMMYFUNCTION("""COMPUTED_VALUE"""),46091.6666666666)</f>
        <v/>
      </c>
      <c r="AC157" s="513">
        <f>IFERROR(__xludf.DUMMYFUNCTION("""COMPUTED_VALUE"""),55.51)</f>
        <v/>
      </c>
      <c r="AE157" s="512">
        <f>IFERROR(__xludf.DUMMYFUNCTION("""COMPUTED_VALUE"""),46091.6666666666)</f>
        <v/>
      </c>
      <c r="AF157" s="513">
        <f>IFERROR(__xludf.DUMMYFUNCTION("""COMPUTED_VALUE"""),95.95)</f>
        <v/>
      </c>
      <c r="AH157" s="512">
        <f>IFERROR(__xludf.DUMMYFUNCTION("""COMPUTED_VALUE"""),46091.6666666666)</f>
        <v/>
      </c>
      <c r="AI157" s="513">
        <f>IFERROR(__xludf.DUMMYFUNCTION("""COMPUTED_VALUE"""),22.39)</f>
        <v/>
      </c>
      <c r="AK157" s="512">
        <f>IFERROR(__xludf.DUMMYFUNCTION("""COMPUTED_VALUE"""),46091.6666666666)</f>
        <v/>
      </c>
      <c r="AL157" s="513">
        <f>IFERROR(__xludf.DUMMYFUNCTION("""COMPUTED_VALUE"""),80.04)</f>
        <v/>
      </c>
      <c r="AN157" s="512">
        <f>IFERROR(__xludf.DUMMYFUNCTION("""COMPUTED_VALUE"""),46091.6666666666)</f>
        <v/>
      </c>
      <c r="AO157" s="513">
        <f>IFERROR(__xludf.DUMMYFUNCTION("""COMPUTED_VALUE"""),111.24)</f>
        <v/>
      </c>
      <c r="AQ157" s="512">
        <f>IFERROR(__xludf.DUMMYFUNCTION("""COMPUTED_VALUE"""),46091.6666666666)</f>
        <v/>
      </c>
      <c r="AR157" s="513">
        <f>IFERROR(__xludf.DUMMYFUNCTION("""COMPUTED_VALUE"""),99.22)</f>
        <v/>
      </c>
      <c r="AT157" s="512">
        <f>IFERROR(__xludf.DUMMYFUNCTION("""COMPUTED_VALUE"""),46091.6666666666)</f>
        <v/>
      </c>
      <c r="AU157" s="513">
        <f>IFERROR(__xludf.DUMMYFUNCTION("""COMPUTED_VALUE"""),58.68)</f>
        <v/>
      </c>
      <c r="AW157" s="512">
        <f>IFERROR(__xludf.DUMMYFUNCTION("""COMPUTED_VALUE"""),46091.6666666666)</f>
        <v/>
      </c>
      <c r="AX157" s="513">
        <f>IFERROR(__xludf.DUMMYFUNCTION("""COMPUTED_VALUE"""),100.11)</f>
        <v/>
      </c>
      <c r="AZ157" s="512">
        <f>IFERROR(__xludf.DUMMYFUNCTION("""COMPUTED_VALUE"""),46091.6666666666)</f>
        <v/>
      </c>
      <c r="BA157" s="513">
        <f>IFERROR(__xludf.DUMMYFUNCTION("""COMPUTED_VALUE"""),110.06)</f>
        <v/>
      </c>
      <c r="BC157" s="512">
        <f>IFERROR(__xludf.DUMMYFUNCTION("""COMPUTED_VALUE"""),46091.6666666666)</f>
        <v/>
      </c>
      <c r="BD157" s="513">
        <f>IFERROR(__xludf.DUMMYFUNCTION("""COMPUTED_VALUE"""),96.44)</f>
        <v/>
      </c>
      <c r="BF157" s="512">
        <f>IFERROR(__xludf.DUMMYFUNCTION("""COMPUTED_VALUE"""),46091.6666666666)</f>
        <v/>
      </c>
      <c r="BG157" s="513">
        <f>IFERROR(__xludf.DUMMYFUNCTION("""COMPUTED_VALUE"""),82.72)</f>
        <v/>
      </c>
      <c r="BI157" s="512">
        <f>IFERROR(__xludf.DUMMYFUNCTION("""COMPUTED_VALUE"""),46091.6666666666)</f>
        <v/>
      </c>
      <c r="BJ157" s="513">
        <f>IFERROR(__xludf.DUMMYFUNCTION("""COMPUTED_VALUE"""),88.28)</f>
        <v/>
      </c>
      <c r="BL157" s="512">
        <f>IFERROR(__xludf.DUMMYFUNCTION("""COMPUTED_VALUE"""),46091.6666666666)</f>
        <v/>
      </c>
      <c r="BM157" s="513">
        <f>IFERROR(__xludf.DUMMYFUNCTION("""COMPUTED_VALUE"""),477.86)</f>
        <v/>
      </c>
      <c r="BO157" s="512">
        <f>IFERROR(__xludf.DUMMYFUNCTION("""COMPUTED_VALUE"""),46091.6666666666)</f>
        <v/>
      </c>
      <c r="BP157" s="513">
        <f>IFERROR(__xludf.DUMMYFUNCTION("""COMPUTED_VALUE"""),91.46)</f>
        <v/>
      </c>
    </row>
    <row r="158">
      <c r="A158" s="512">
        <f>IFERROR(__xludf.DUMMYFUNCTION("""COMPUTED_VALUE"""),46092.6666666666)</f>
        <v/>
      </c>
      <c r="B158" s="513">
        <f>IFERROR(__xludf.DUMMYFUNCTION("""COMPUTED_VALUE"""),676.33)</f>
        <v/>
      </c>
      <c r="D158" s="512">
        <f>IFERROR(__xludf.DUMMYFUNCTION("""COMPUTED_VALUE"""),46092.6666666666)</f>
        <v/>
      </c>
      <c r="E158" s="513">
        <f>IFERROR(__xludf.DUMMYFUNCTION("""COMPUTED_VALUE"""),92.65)</f>
        <v/>
      </c>
      <c r="G158" s="512" t="n"/>
      <c r="H158" s="513" t="n"/>
      <c r="J158" s="512">
        <f>IFERROR(__xludf.DUMMYFUNCTION("""COMPUTED_VALUE"""),46092.6666666666)</f>
        <v/>
      </c>
      <c r="K158" s="513">
        <f>IFERROR(__xludf.DUMMYFUNCTION("""COMPUTED_VALUE"""),85.73)</f>
        <v/>
      </c>
      <c r="M158" s="512">
        <f>IFERROR(__xludf.DUMMYFUNCTION("""COMPUTED_VALUE"""),46092.6666666666)</f>
        <v/>
      </c>
      <c r="N158" s="513">
        <f>IFERROR(__xludf.DUMMYFUNCTION("""COMPUTED_VALUE"""),252.85)</f>
        <v/>
      </c>
      <c r="P158" s="512">
        <f>IFERROR(__xludf.DUMMYFUNCTION("""COMPUTED_VALUE"""),46092.6666666666)</f>
        <v/>
      </c>
      <c r="Q158" s="513">
        <f>IFERROR(__xludf.DUMMYFUNCTION("""COMPUTED_VALUE"""),84.53)</f>
        <v/>
      </c>
      <c r="S158" s="512">
        <f>IFERROR(__xludf.DUMMYFUNCTION("""COMPUTED_VALUE"""),45362.6666666666)</f>
        <v/>
      </c>
      <c r="T158" s="513">
        <f>IFERROR(__xludf.DUMMYFUNCTION("""COMPUTED_VALUE"""),172.75)</f>
        <v/>
      </c>
      <c r="V158" s="512">
        <f>IFERROR(__xludf.DUMMYFUNCTION("""COMPUTED_VALUE"""),46092.6666666666)</f>
        <v/>
      </c>
      <c r="W158" s="513">
        <f>IFERROR(__xludf.DUMMYFUNCTION("""COMPUTED_VALUE"""),28.13)</f>
        <v/>
      </c>
      <c r="Y158" s="512">
        <f>IFERROR(__xludf.DUMMYFUNCTION("""COMPUTED_VALUE"""),46092.6666666666)</f>
        <v/>
      </c>
      <c r="Z158" s="513">
        <f>IFERROR(__xludf.DUMMYFUNCTION("""COMPUTED_VALUE"""),73.89)</f>
        <v/>
      </c>
      <c r="AB158" s="512">
        <f>IFERROR(__xludf.DUMMYFUNCTION("""COMPUTED_VALUE"""),46092.6666666666)</f>
        <v/>
      </c>
      <c r="AC158" s="513">
        <f>IFERROR(__xludf.DUMMYFUNCTION("""COMPUTED_VALUE"""),55.56)</f>
        <v/>
      </c>
      <c r="AE158" s="512">
        <f>IFERROR(__xludf.DUMMYFUNCTION("""COMPUTED_VALUE"""),46092.6666666666)</f>
        <v/>
      </c>
      <c r="AF158" s="513">
        <f>IFERROR(__xludf.DUMMYFUNCTION("""COMPUTED_VALUE"""),95.64)</f>
        <v/>
      </c>
      <c r="AH158" s="512">
        <f>IFERROR(__xludf.DUMMYFUNCTION("""COMPUTED_VALUE"""),46092.6666666666)</f>
        <v/>
      </c>
      <c r="AI158" s="513">
        <f>IFERROR(__xludf.DUMMYFUNCTION("""COMPUTED_VALUE"""),22.28)</f>
        <v/>
      </c>
      <c r="AK158" s="512">
        <f>IFERROR(__xludf.DUMMYFUNCTION("""COMPUTED_VALUE"""),46092.6666666666)</f>
        <v/>
      </c>
      <c r="AL158" s="513">
        <f>IFERROR(__xludf.DUMMYFUNCTION("""COMPUTED_VALUE"""),79.86)</f>
        <v/>
      </c>
      <c r="AN158" s="512">
        <f>IFERROR(__xludf.DUMMYFUNCTION("""COMPUTED_VALUE"""),46092.6666666666)</f>
        <v/>
      </c>
      <c r="AO158" s="513">
        <f>IFERROR(__xludf.DUMMYFUNCTION("""COMPUTED_VALUE"""),111.07)</f>
        <v/>
      </c>
      <c r="AQ158" s="512">
        <f>IFERROR(__xludf.DUMMYFUNCTION("""COMPUTED_VALUE"""),46092.6666666666)</f>
        <v/>
      </c>
      <c r="AR158" s="513">
        <f>IFERROR(__xludf.DUMMYFUNCTION("""COMPUTED_VALUE"""),99.01)</f>
        <v/>
      </c>
      <c r="AT158" s="512">
        <f>IFERROR(__xludf.DUMMYFUNCTION("""COMPUTED_VALUE"""),46092.6666666666)</f>
        <v/>
      </c>
      <c r="AU158" s="513">
        <f>IFERROR(__xludf.DUMMYFUNCTION("""COMPUTED_VALUE"""),58.83)</f>
        <v/>
      </c>
      <c r="AW158" s="512">
        <f>IFERROR(__xludf.DUMMYFUNCTION("""COMPUTED_VALUE"""),46092.6666666666)</f>
        <v/>
      </c>
      <c r="AX158" s="513">
        <f>IFERROR(__xludf.DUMMYFUNCTION("""COMPUTED_VALUE"""),99.66)</f>
        <v/>
      </c>
      <c r="AZ158" s="512">
        <f>IFERROR(__xludf.DUMMYFUNCTION("""COMPUTED_VALUE"""),46092.6666666666)</f>
        <v/>
      </c>
      <c r="BA158" s="513">
        <f>IFERROR(__xludf.DUMMYFUNCTION("""COMPUTED_VALUE"""),109.16)</f>
        <v/>
      </c>
      <c r="BC158" s="512">
        <f>IFERROR(__xludf.DUMMYFUNCTION("""COMPUTED_VALUE"""),46092.6666666666)</f>
        <v/>
      </c>
      <c r="BD158" s="513">
        <f>IFERROR(__xludf.DUMMYFUNCTION("""COMPUTED_VALUE"""),96)</f>
        <v/>
      </c>
      <c r="BF158" s="512">
        <f>IFERROR(__xludf.DUMMYFUNCTION("""COMPUTED_VALUE"""),46092.6666666666)</f>
        <v/>
      </c>
      <c r="BG158" s="513">
        <f>IFERROR(__xludf.DUMMYFUNCTION("""COMPUTED_VALUE"""),82.64)</f>
        <v/>
      </c>
      <c r="BI158" s="512">
        <f>IFERROR(__xludf.DUMMYFUNCTION("""COMPUTED_VALUE"""),46092.6666666666)</f>
        <v/>
      </c>
      <c r="BJ158" s="513">
        <f>IFERROR(__xludf.DUMMYFUNCTION("""COMPUTED_VALUE"""),87.14)</f>
        <v/>
      </c>
      <c r="BL158" s="512">
        <f>IFERROR(__xludf.DUMMYFUNCTION("""COMPUTED_VALUE"""),46092.6666666666)</f>
        <v/>
      </c>
      <c r="BM158" s="513">
        <f>IFERROR(__xludf.DUMMYFUNCTION("""COMPUTED_VALUE"""),476.24)</f>
        <v/>
      </c>
      <c r="BO158" s="512">
        <f>IFERROR(__xludf.DUMMYFUNCTION("""COMPUTED_VALUE"""),46092.6666666666)</f>
        <v/>
      </c>
      <c r="BP158" s="513">
        <f>IFERROR(__xludf.DUMMYFUNCTION("""COMPUTED_VALUE"""),91.46)</f>
        <v/>
      </c>
    </row>
    <row r="159">
      <c r="A159" s="512">
        <f>IFERROR(__xludf.DUMMYFUNCTION("""COMPUTED_VALUE"""),46093.6666666666)</f>
        <v/>
      </c>
      <c r="B159" s="513">
        <f>IFERROR(__xludf.DUMMYFUNCTION("""COMPUTED_VALUE"""),666.06)</f>
        <v/>
      </c>
      <c r="D159" s="512">
        <f>IFERROR(__xludf.DUMMYFUNCTION("""COMPUTED_VALUE"""),46093.6666666666)</f>
        <v/>
      </c>
      <c r="E159" s="513">
        <f>IFERROR(__xludf.DUMMYFUNCTION("""COMPUTED_VALUE"""),92.01)</f>
        <v/>
      </c>
      <c r="G159" s="512" t="n"/>
      <c r="H159" s="513" t="n"/>
      <c r="J159" s="512">
        <f>IFERROR(__xludf.DUMMYFUNCTION("""COMPUTED_VALUE"""),46093.6666666666)</f>
        <v/>
      </c>
      <c r="K159" s="513">
        <f>IFERROR(__xludf.DUMMYFUNCTION("""COMPUTED_VALUE"""),84.19)</f>
        <v/>
      </c>
      <c r="M159" s="512">
        <f>IFERROR(__xludf.DUMMYFUNCTION("""COMPUTED_VALUE"""),46093.6666666666)</f>
        <v/>
      </c>
      <c r="N159" s="513">
        <f>IFERROR(__xludf.DUMMYFUNCTION("""COMPUTED_VALUE"""),247.41)</f>
        <v/>
      </c>
      <c r="P159" s="512">
        <f>IFERROR(__xludf.DUMMYFUNCTION("""COMPUTED_VALUE"""),46093.6666666666)</f>
        <v/>
      </c>
      <c r="Q159" s="513">
        <f>IFERROR(__xludf.DUMMYFUNCTION("""COMPUTED_VALUE"""),83.3)</f>
        <v/>
      </c>
      <c r="S159" s="512">
        <f>IFERROR(__xludf.DUMMYFUNCTION("""COMPUTED_VALUE"""),45363.6666666666)</f>
        <v/>
      </c>
      <c r="T159" s="513">
        <f>IFERROR(__xludf.DUMMYFUNCTION("""COMPUTED_VALUE"""),173.23)</f>
        <v/>
      </c>
      <c r="V159" s="512">
        <f>IFERROR(__xludf.DUMMYFUNCTION("""COMPUTED_VALUE"""),46093.6666666666)</f>
        <v/>
      </c>
      <c r="W159" s="513">
        <f>IFERROR(__xludf.DUMMYFUNCTION("""COMPUTED_VALUE"""),28.86)</f>
        <v/>
      </c>
      <c r="Y159" s="512">
        <f>IFERROR(__xludf.DUMMYFUNCTION("""COMPUTED_VALUE"""),46093.6666666666)</f>
        <v/>
      </c>
      <c r="Z159" s="513">
        <f>IFERROR(__xludf.DUMMYFUNCTION("""COMPUTED_VALUE"""),73.62)</f>
        <v/>
      </c>
      <c r="AB159" s="512">
        <f>IFERROR(__xludf.DUMMYFUNCTION("""COMPUTED_VALUE"""),46093.6666666666)</f>
        <v/>
      </c>
      <c r="AC159" s="513">
        <f>IFERROR(__xludf.DUMMYFUNCTION("""COMPUTED_VALUE"""),54.31)</f>
        <v/>
      </c>
      <c r="AE159" s="512">
        <f>IFERROR(__xludf.DUMMYFUNCTION("""COMPUTED_VALUE"""),46093.6666666666)</f>
        <v/>
      </c>
      <c r="AF159" s="513">
        <f>IFERROR(__xludf.DUMMYFUNCTION("""COMPUTED_VALUE"""),94.84)</f>
        <v/>
      </c>
      <c r="AH159" s="512">
        <f>IFERROR(__xludf.DUMMYFUNCTION("""COMPUTED_VALUE"""),46093.6666666666)</f>
        <v/>
      </c>
      <c r="AI159" s="513">
        <f>IFERROR(__xludf.DUMMYFUNCTION("""COMPUTED_VALUE"""),22.07)</f>
        <v/>
      </c>
      <c r="AK159" s="512">
        <f>IFERROR(__xludf.DUMMYFUNCTION("""COMPUTED_VALUE"""),46093.6666666666)</f>
        <v/>
      </c>
      <c r="AL159" s="513">
        <f>IFERROR(__xludf.DUMMYFUNCTION("""COMPUTED_VALUE"""),79.35)</f>
        <v/>
      </c>
      <c r="AN159" s="512">
        <f>IFERROR(__xludf.DUMMYFUNCTION("""COMPUTED_VALUE"""),46093.6666666666)</f>
        <v/>
      </c>
      <c r="AO159" s="513">
        <f>IFERROR(__xludf.DUMMYFUNCTION("""COMPUTED_VALUE"""),110.93)</f>
        <v/>
      </c>
      <c r="AQ159" s="512">
        <f>IFERROR(__xludf.DUMMYFUNCTION("""COMPUTED_VALUE"""),46093.6666666666)</f>
        <v/>
      </c>
      <c r="AR159" s="513">
        <f>IFERROR(__xludf.DUMMYFUNCTION("""COMPUTED_VALUE"""),97.46)</f>
        <v/>
      </c>
      <c r="AT159" s="512">
        <f>IFERROR(__xludf.DUMMYFUNCTION("""COMPUTED_VALUE"""),46093.6666666666)</f>
        <v/>
      </c>
      <c r="AU159" s="513">
        <f>IFERROR(__xludf.DUMMYFUNCTION("""COMPUTED_VALUE"""),56.95)</f>
        <v/>
      </c>
      <c r="AW159" s="512">
        <f>IFERROR(__xludf.DUMMYFUNCTION("""COMPUTED_VALUE"""),46093.6666666666)</f>
        <v/>
      </c>
      <c r="AX159" s="513">
        <f>IFERROR(__xludf.DUMMYFUNCTION("""COMPUTED_VALUE"""),99.29)</f>
        <v/>
      </c>
      <c r="AZ159" s="512">
        <f>IFERROR(__xludf.DUMMYFUNCTION("""COMPUTED_VALUE"""),46093.6666666666)</f>
        <v/>
      </c>
      <c r="BA159" s="513">
        <f>IFERROR(__xludf.DUMMYFUNCTION("""COMPUTED_VALUE"""),108.57)</f>
        <v/>
      </c>
      <c r="BC159" s="512">
        <f>IFERROR(__xludf.DUMMYFUNCTION("""COMPUTED_VALUE"""),46093.6666666666)</f>
        <v/>
      </c>
      <c r="BD159" s="513">
        <f>IFERROR(__xludf.DUMMYFUNCTION("""COMPUTED_VALUE"""),95.69)</f>
        <v/>
      </c>
      <c r="BF159" s="512">
        <f>IFERROR(__xludf.DUMMYFUNCTION("""COMPUTED_VALUE"""),46093.6666666666)</f>
        <v/>
      </c>
      <c r="BG159" s="513">
        <f>IFERROR(__xludf.DUMMYFUNCTION("""COMPUTED_VALUE"""),82.5)</f>
        <v/>
      </c>
      <c r="BI159" s="512">
        <f>IFERROR(__xludf.DUMMYFUNCTION("""COMPUTED_VALUE"""),46093.6666666666)</f>
        <v/>
      </c>
      <c r="BJ159" s="513">
        <f>IFERROR(__xludf.DUMMYFUNCTION("""COMPUTED_VALUE"""),86.97)</f>
        <v/>
      </c>
      <c r="BL159" s="512">
        <f>IFERROR(__xludf.DUMMYFUNCTION("""COMPUTED_VALUE"""),46093.6666666666)</f>
        <v/>
      </c>
      <c r="BM159" s="513">
        <f>IFERROR(__xludf.DUMMYFUNCTION("""COMPUTED_VALUE"""),466.88)</f>
        <v/>
      </c>
      <c r="BO159" s="512">
        <f>IFERROR(__xludf.DUMMYFUNCTION("""COMPUTED_VALUE"""),46093.6666666666)</f>
        <v/>
      </c>
      <c r="BP159" s="513">
        <f>IFERROR(__xludf.DUMMYFUNCTION("""COMPUTED_VALUE"""),91.48)</f>
        <v/>
      </c>
    </row>
    <row r="160">
      <c r="A160" s="512">
        <f>IFERROR(__xludf.DUMMYFUNCTION("""COMPUTED_VALUE"""),46094.6666666666)</f>
        <v/>
      </c>
      <c r="B160" s="513">
        <f>IFERROR(__xludf.DUMMYFUNCTION("""COMPUTED_VALUE"""),662.29)</f>
        <v/>
      </c>
      <c r="D160" s="512">
        <f>IFERROR(__xludf.DUMMYFUNCTION("""COMPUTED_VALUE"""),46094.6666666666)</f>
        <v/>
      </c>
      <c r="E160" s="513">
        <f>IFERROR(__xludf.DUMMYFUNCTION("""COMPUTED_VALUE"""),92.16)</f>
        <v/>
      </c>
      <c r="G160" s="512" t="n"/>
      <c r="H160" s="513" t="n"/>
      <c r="J160" s="512">
        <f>IFERROR(__xludf.DUMMYFUNCTION("""COMPUTED_VALUE"""),46094.6666666666)</f>
        <v/>
      </c>
      <c r="K160" s="513">
        <f>IFERROR(__xludf.DUMMYFUNCTION("""COMPUTED_VALUE"""),83.36)</f>
        <v/>
      </c>
      <c r="M160" s="512">
        <f>IFERROR(__xludf.DUMMYFUNCTION("""COMPUTED_VALUE"""),46094.6666666666)</f>
        <v/>
      </c>
      <c r="N160" s="513">
        <f>IFERROR(__xludf.DUMMYFUNCTION("""COMPUTED_VALUE"""),246.59)</f>
        <v/>
      </c>
      <c r="P160" s="512">
        <f>IFERROR(__xludf.DUMMYFUNCTION("""COMPUTED_VALUE"""),46094.6666666666)</f>
        <v/>
      </c>
      <c r="Q160" s="513">
        <f>IFERROR(__xludf.DUMMYFUNCTION("""COMPUTED_VALUE"""),82.16)</f>
        <v/>
      </c>
      <c r="S160" s="512">
        <f>IFERROR(__xludf.DUMMYFUNCTION("""COMPUTED_VALUE"""),45364.6666666666)</f>
        <v/>
      </c>
      <c r="T160" s="513">
        <f>IFERROR(__xludf.DUMMYFUNCTION("""COMPUTED_VALUE"""),171.13)</f>
        <v/>
      </c>
      <c r="V160" s="512">
        <f>IFERROR(__xludf.DUMMYFUNCTION("""COMPUTED_VALUE"""),46094.6666666666)</f>
        <v/>
      </c>
      <c r="W160" s="513">
        <f>IFERROR(__xludf.DUMMYFUNCTION("""COMPUTED_VALUE"""),28.71)</f>
        <v/>
      </c>
      <c r="Y160" s="512">
        <f>IFERROR(__xludf.DUMMYFUNCTION("""COMPUTED_VALUE"""),46094.6666666666)</f>
        <v/>
      </c>
      <c r="Z160" s="513">
        <f>IFERROR(__xludf.DUMMYFUNCTION("""COMPUTED_VALUE"""),73.55)</f>
        <v/>
      </c>
      <c r="AB160" s="512">
        <f>IFERROR(__xludf.DUMMYFUNCTION("""COMPUTED_VALUE"""),46094.6666666666)</f>
        <v/>
      </c>
      <c r="AC160" s="513">
        <f>IFERROR(__xludf.DUMMYFUNCTION("""COMPUTED_VALUE"""),54.02)</f>
        <v/>
      </c>
      <c r="AE160" s="512">
        <f>IFERROR(__xludf.DUMMYFUNCTION("""COMPUTED_VALUE"""),46094.6666666666)</f>
        <v/>
      </c>
      <c r="AF160" s="513">
        <f>IFERROR(__xludf.DUMMYFUNCTION("""COMPUTED_VALUE"""),94.38)</f>
        <v/>
      </c>
      <c r="AH160" s="512">
        <f>IFERROR(__xludf.DUMMYFUNCTION("""COMPUTED_VALUE"""),46094.6666666666)</f>
        <v/>
      </c>
      <c r="AI160" s="513">
        <f>IFERROR(__xludf.DUMMYFUNCTION("""COMPUTED_VALUE"""),21.9)</f>
        <v/>
      </c>
      <c r="AK160" s="512">
        <f>IFERROR(__xludf.DUMMYFUNCTION("""COMPUTED_VALUE"""),46094.6666666666)</f>
        <v/>
      </c>
      <c r="AL160" s="513">
        <f>IFERROR(__xludf.DUMMYFUNCTION("""COMPUTED_VALUE"""),79.2)</f>
        <v/>
      </c>
      <c r="AN160" s="512">
        <f>IFERROR(__xludf.DUMMYFUNCTION("""COMPUTED_VALUE"""),46094.6666666666)</f>
        <v/>
      </c>
      <c r="AO160" s="513">
        <f>IFERROR(__xludf.DUMMYFUNCTION("""COMPUTED_VALUE"""),110.71)</f>
        <v/>
      </c>
      <c r="AQ160" s="512">
        <f>IFERROR(__xludf.DUMMYFUNCTION("""COMPUTED_VALUE"""),46094.6666666666)</f>
        <v/>
      </c>
      <c r="AR160" s="513">
        <f>IFERROR(__xludf.DUMMYFUNCTION("""COMPUTED_VALUE"""),96.3)</f>
        <v/>
      </c>
      <c r="AT160" s="512">
        <f>IFERROR(__xludf.DUMMYFUNCTION("""COMPUTED_VALUE"""),46094.6666666666)</f>
        <v/>
      </c>
      <c r="AU160" s="513">
        <f>IFERROR(__xludf.DUMMYFUNCTION("""COMPUTED_VALUE"""),56.8)</f>
        <v/>
      </c>
      <c r="AW160" s="512">
        <f>IFERROR(__xludf.DUMMYFUNCTION("""COMPUTED_VALUE"""),46094.6666666666)</f>
        <v/>
      </c>
      <c r="AX160" s="513">
        <f>IFERROR(__xludf.DUMMYFUNCTION("""COMPUTED_VALUE"""),99.21)</f>
        <v/>
      </c>
      <c r="AZ160" s="512">
        <f>IFERROR(__xludf.DUMMYFUNCTION("""COMPUTED_VALUE"""),46094.6666666666)</f>
        <v/>
      </c>
      <c r="BA160" s="513">
        <f>IFERROR(__xludf.DUMMYFUNCTION("""COMPUTED_VALUE"""),108.17)</f>
        <v/>
      </c>
      <c r="BC160" s="512">
        <f>IFERROR(__xludf.DUMMYFUNCTION("""COMPUTED_VALUE"""),46094.6666666666)</f>
        <v/>
      </c>
      <c r="BD160" s="513">
        <f>IFERROR(__xludf.DUMMYFUNCTION("""COMPUTED_VALUE"""),95.59)</f>
        <v/>
      </c>
      <c r="BF160" s="512">
        <f>IFERROR(__xludf.DUMMYFUNCTION("""COMPUTED_VALUE"""),46094.6666666666)</f>
        <v/>
      </c>
      <c r="BG160" s="513">
        <f>IFERROR(__xludf.DUMMYFUNCTION("""COMPUTED_VALUE"""),82.55)</f>
        <v/>
      </c>
      <c r="BI160" s="512">
        <f>IFERROR(__xludf.DUMMYFUNCTION("""COMPUTED_VALUE"""),46094.6666666666)</f>
        <v/>
      </c>
      <c r="BJ160" s="513">
        <f>IFERROR(__xludf.DUMMYFUNCTION("""COMPUTED_VALUE"""),86.54)</f>
        <v/>
      </c>
      <c r="BL160" s="512">
        <f>IFERROR(__xludf.DUMMYFUNCTION("""COMPUTED_VALUE"""),46094.6666666666)</f>
        <v/>
      </c>
      <c r="BM160" s="513">
        <f>IFERROR(__xludf.DUMMYFUNCTION("""COMPUTED_VALUE"""),460.84)</f>
        <v/>
      </c>
      <c r="BO160" s="512">
        <f>IFERROR(__xludf.DUMMYFUNCTION("""COMPUTED_VALUE"""),46094.6666666666)</f>
        <v/>
      </c>
      <c r="BP160" s="513">
        <f>IFERROR(__xludf.DUMMYFUNCTION("""COMPUTED_VALUE"""),91.51)</f>
        <v/>
      </c>
    </row>
    <row r="161">
      <c r="A161" s="512">
        <f>IFERROR(__xludf.DUMMYFUNCTION("""COMPUTED_VALUE"""),46097.6666666666)</f>
        <v/>
      </c>
      <c r="B161" s="513">
        <f>IFERROR(__xludf.DUMMYFUNCTION("""COMPUTED_VALUE"""),669.03)</f>
        <v/>
      </c>
      <c r="D161" s="512">
        <f>IFERROR(__xludf.DUMMYFUNCTION("""COMPUTED_VALUE"""),46097.6666666666)</f>
        <v/>
      </c>
      <c r="E161" s="513">
        <f>IFERROR(__xludf.DUMMYFUNCTION("""COMPUTED_VALUE"""),92.93)</f>
        <v/>
      </c>
      <c r="G161" s="512" t="n"/>
      <c r="H161" s="513" t="n"/>
      <c r="J161" s="512">
        <f>IFERROR(__xludf.DUMMYFUNCTION("""COMPUTED_VALUE"""),46097.6666666666)</f>
        <v/>
      </c>
      <c r="K161" s="513">
        <f>IFERROR(__xludf.DUMMYFUNCTION("""COMPUTED_VALUE"""),85.07)</f>
        <v/>
      </c>
      <c r="M161" s="512">
        <f>IFERROR(__xludf.DUMMYFUNCTION("""COMPUTED_VALUE"""),46097.6666666666)</f>
        <v/>
      </c>
      <c r="N161" s="513">
        <f>IFERROR(__xludf.DUMMYFUNCTION("""COMPUTED_VALUE"""),248.92)</f>
        <v/>
      </c>
      <c r="P161" s="512">
        <f>IFERROR(__xludf.DUMMYFUNCTION("""COMPUTED_VALUE"""),46097.6666666666)</f>
        <v/>
      </c>
      <c r="Q161" s="513">
        <f>IFERROR(__xludf.DUMMYFUNCTION("""COMPUTED_VALUE"""),83.53)</f>
        <v/>
      </c>
      <c r="S161" s="512">
        <f>IFERROR(__xludf.DUMMYFUNCTION("""COMPUTED_VALUE"""),45365.6666666666)</f>
        <v/>
      </c>
      <c r="T161" s="513">
        <f>IFERROR(__xludf.DUMMYFUNCTION("""COMPUTED_VALUE"""),173)</f>
        <v/>
      </c>
      <c r="V161" s="512">
        <f>IFERROR(__xludf.DUMMYFUNCTION("""COMPUTED_VALUE"""),46097.6666666666)</f>
        <v/>
      </c>
      <c r="W161" s="513">
        <f>IFERROR(__xludf.DUMMYFUNCTION("""COMPUTED_VALUE"""),28.31)</f>
        <v/>
      </c>
      <c r="Y161" s="512">
        <f>IFERROR(__xludf.DUMMYFUNCTION("""COMPUTED_VALUE"""),46097.6666666666)</f>
        <v/>
      </c>
      <c r="Z161" s="513">
        <f>IFERROR(__xludf.DUMMYFUNCTION("""COMPUTED_VALUE"""),73.83)</f>
        <v/>
      </c>
      <c r="AB161" s="512">
        <f>IFERROR(__xludf.DUMMYFUNCTION("""COMPUTED_VALUE"""),46097.6666666666)</f>
        <v/>
      </c>
      <c r="AC161" s="513">
        <f>IFERROR(__xludf.DUMMYFUNCTION("""COMPUTED_VALUE"""),55.02)</f>
        <v/>
      </c>
      <c r="AE161" s="512">
        <f>IFERROR(__xludf.DUMMYFUNCTION("""COMPUTED_VALUE"""),46097.6666666666)</f>
        <v/>
      </c>
      <c r="AF161" s="513">
        <f>IFERROR(__xludf.DUMMYFUNCTION("""COMPUTED_VALUE"""),94.75)</f>
        <v/>
      </c>
      <c r="AH161" s="512">
        <f>IFERROR(__xludf.DUMMYFUNCTION("""COMPUTED_VALUE"""),46097.6666666666)</f>
        <v/>
      </c>
      <c r="AI161" s="513">
        <f>IFERROR(__xludf.DUMMYFUNCTION("""COMPUTED_VALUE"""),22.09)</f>
        <v/>
      </c>
      <c r="AK161" s="512">
        <f>IFERROR(__xludf.DUMMYFUNCTION("""COMPUTED_VALUE"""),46097.6666666666)</f>
        <v/>
      </c>
      <c r="AL161" s="513">
        <f>IFERROR(__xludf.DUMMYFUNCTION("""COMPUTED_VALUE"""),79.45)</f>
        <v/>
      </c>
      <c r="AN161" s="512">
        <f>IFERROR(__xludf.DUMMYFUNCTION("""COMPUTED_VALUE"""),46097.6666666666)</f>
        <v/>
      </c>
      <c r="AO161" s="513">
        <f>IFERROR(__xludf.DUMMYFUNCTION("""COMPUTED_VALUE"""),111.06)</f>
        <v/>
      </c>
      <c r="AQ161" s="512">
        <f>IFERROR(__xludf.DUMMYFUNCTION("""COMPUTED_VALUE"""),46097.6666666666)</f>
        <v/>
      </c>
      <c r="AR161" s="513">
        <f>IFERROR(__xludf.DUMMYFUNCTION("""COMPUTED_VALUE"""),98.1)</f>
        <v/>
      </c>
      <c r="AT161" s="512">
        <f>IFERROR(__xludf.DUMMYFUNCTION("""COMPUTED_VALUE"""),46097.6666666666)</f>
        <v/>
      </c>
      <c r="AU161" s="513">
        <f>IFERROR(__xludf.DUMMYFUNCTION("""COMPUTED_VALUE"""),58.38)</f>
        <v/>
      </c>
      <c r="AW161" s="512">
        <f>IFERROR(__xludf.DUMMYFUNCTION("""COMPUTED_VALUE"""),46097.6666666666)</f>
        <v/>
      </c>
      <c r="AX161" s="513">
        <f>IFERROR(__xludf.DUMMYFUNCTION("""COMPUTED_VALUE"""),99.6)</f>
        <v/>
      </c>
      <c r="AZ161" s="512">
        <f>IFERROR(__xludf.DUMMYFUNCTION("""COMPUTED_VALUE"""),46097.6666666666)</f>
        <v/>
      </c>
      <c r="BA161" s="513">
        <f>IFERROR(__xludf.DUMMYFUNCTION("""COMPUTED_VALUE"""),108.69)</f>
        <v/>
      </c>
      <c r="BC161" s="512">
        <f>IFERROR(__xludf.DUMMYFUNCTION("""COMPUTED_VALUE"""),46097.6666666666)</f>
        <v/>
      </c>
      <c r="BD161" s="513">
        <f>IFERROR(__xludf.DUMMYFUNCTION("""COMPUTED_VALUE"""),96.02)</f>
        <v/>
      </c>
      <c r="BF161" s="512">
        <f>IFERROR(__xludf.DUMMYFUNCTION("""COMPUTED_VALUE"""),46097.6666666666)</f>
        <v/>
      </c>
      <c r="BG161" s="513">
        <f>IFERROR(__xludf.DUMMYFUNCTION("""COMPUTED_VALUE"""),82.65)</f>
        <v/>
      </c>
      <c r="BI161" s="512">
        <f>IFERROR(__xludf.DUMMYFUNCTION("""COMPUTED_VALUE"""),46097.6666666666)</f>
        <v/>
      </c>
      <c r="BJ161" s="513">
        <f>IFERROR(__xludf.DUMMYFUNCTION("""COMPUTED_VALUE"""),87.21)</f>
        <v/>
      </c>
      <c r="BL161" s="512">
        <f>IFERROR(__xludf.DUMMYFUNCTION("""COMPUTED_VALUE"""),46097.6666666666)</f>
        <v/>
      </c>
      <c r="BM161" s="513">
        <f>IFERROR(__xludf.DUMMYFUNCTION("""COMPUTED_VALUE"""),460.43)</f>
        <v/>
      </c>
      <c r="BO161" s="512">
        <f>IFERROR(__xludf.DUMMYFUNCTION("""COMPUTED_VALUE"""),46097.6666666666)</f>
        <v/>
      </c>
      <c r="BP161" s="513">
        <f>IFERROR(__xludf.DUMMYFUNCTION("""COMPUTED_VALUE"""),91.51)</f>
        <v/>
      </c>
    </row>
    <row r="162">
      <c r="A162" s="512">
        <f>IFERROR(__xludf.DUMMYFUNCTION("""COMPUTED_VALUE"""),46098.6666666666)</f>
        <v/>
      </c>
      <c r="B162" s="513">
        <f>IFERROR(__xludf.DUMMYFUNCTION("""COMPUTED_VALUE"""),670.79)</f>
        <v/>
      </c>
      <c r="D162" s="512">
        <f>IFERROR(__xludf.DUMMYFUNCTION("""COMPUTED_VALUE"""),46098.6666666666)</f>
        <v/>
      </c>
      <c r="E162" s="513">
        <f>IFERROR(__xludf.DUMMYFUNCTION("""COMPUTED_VALUE"""),93.34)</f>
        <v/>
      </c>
      <c r="G162" s="512" t="n"/>
      <c r="H162" s="513" t="n"/>
      <c r="J162" s="512">
        <f>IFERROR(__xludf.DUMMYFUNCTION("""COMPUTED_VALUE"""),46098.6666666666)</f>
        <v/>
      </c>
      <c r="K162" s="513">
        <f>IFERROR(__xludf.DUMMYFUNCTION("""COMPUTED_VALUE"""),85.08)</f>
        <v/>
      </c>
      <c r="M162" s="512">
        <f>IFERROR(__xludf.DUMMYFUNCTION("""COMPUTED_VALUE"""),46098.6666666666)</f>
        <v/>
      </c>
      <c r="N162" s="513">
        <f>IFERROR(__xludf.DUMMYFUNCTION("""COMPUTED_VALUE"""),250.05)</f>
        <v/>
      </c>
      <c r="P162" s="512">
        <f>IFERROR(__xludf.DUMMYFUNCTION("""COMPUTED_VALUE"""),46098.6666666666)</f>
        <v/>
      </c>
      <c r="Q162" s="513">
        <f>IFERROR(__xludf.DUMMYFUNCTION("""COMPUTED_VALUE"""),83.9)</f>
        <v/>
      </c>
      <c r="S162" s="512">
        <f>IFERROR(__xludf.DUMMYFUNCTION("""COMPUTED_VALUE"""),45366.6666666666)</f>
        <v/>
      </c>
      <c r="T162" s="513">
        <f>IFERROR(__xludf.DUMMYFUNCTION("""COMPUTED_VALUE"""),172.62)</f>
        <v/>
      </c>
      <c r="V162" s="512">
        <f>IFERROR(__xludf.DUMMYFUNCTION("""COMPUTED_VALUE"""),46098.6666666666)</f>
        <v/>
      </c>
      <c r="W162" s="513">
        <f>IFERROR(__xludf.DUMMYFUNCTION("""COMPUTED_VALUE"""),28.76)</f>
        <v/>
      </c>
      <c r="Y162" s="512">
        <f>IFERROR(__xludf.DUMMYFUNCTION("""COMPUTED_VALUE"""),46098.6666666666)</f>
        <v/>
      </c>
      <c r="Z162" s="513">
        <f>IFERROR(__xludf.DUMMYFUNCTION("""COMPUTED_VALUE"""),73.98)</f>
        <v/>
      </c>
      <c r="AB162" s="512">
        <f>IFERROR(__xludf.DUMMYFUNCTION("""COMPUTED_VALUE"""),46098.6666666666)</f>
        <v/>
      </c>
      <c r="AC162" s="513">
        <f>IFERROR(__xludf.DUMMYFUNCTION("""COMPUTED_VALUE"""),55.26)</f>
        <v/>
      </c>
      <c r="AE162" s="512">
        <f>IFERROR(__xludf.DUMMYFUNCTION("""COMPUTED_VALUE"""),46098.6666666666)</f>
        <v/>
      </c>
      <c r="AF162" s="513">
        <f>IFERROR(__xludf.DUMMYFUNCTION("""COMPUTED_VALUE"""),95.1)</f>
        <v/>
      </c>
      <c r="AH162" s="512">
        <f>IFERROR(__xludf.DUMMYFUNCTION("""COMPUTED_VALUE"""),46098.6666666666)</f>
        <v/>
      </c>
      <c r="AI162" s="513">
        <f>IFERROR(__xludf.DUMMYFUNCTION("""COMPUTED_VALUE"""),22.16)</f>
        <v/>
      </c>
      <c r="AK162" s="512">
        <f>IFERROR(__xludf.DUMMYFUNCTION("""COMPUTED_VALUE"""),46098.6666666666)</f>
        <v/>
      </c>
      <c r="AL162" s="513">
        <f>IFERROR(__xludf.DUMMYFUNCTION("""COMPUTED_VALUE"""),79.81)</f>
        <v/>
      </c>
      <c r="AN162" s="512">
        <f>IFERROR(__xludf.DUMMYFUNCTION("""COMPUTED_VALUE"""),46098.6666666666)</f>
        <v/>
      </c>
      <c r="AO162" s="513">
        <f>IFERROR(__xludf.DUMMYFUNCTION("""COMPUTED_VALUE"""),111.45)</f>
        <v/>
      </c>
      <c r="AQ162" s="512">
        <f>IFERROR(__xludf.DUMMYFUNCTION("""COMPUTED_VALUE"""),46098.6666666666)</f>
        <v/>
      </c>
      <c r="AR162" s="513">
        <f>IFERROR(__xludf.DUMMYFUNCTION("""COMPUTED_VALUE"""),98.37)</f>
        <v/>
      </c>
      <c r="AT162" s="512">
        <f>IFERROR(__xludf.DUMMYFUNCTION("""COMPUTED_VALUE"""),46098.6666666666)</f>
        <v/>
      </c>
      <c r="AU162" s="513">
        <f>IFERROR(__xludf.DUMMYFUNCTION("""COMPUTED_VALUE"""),58.75)</f>
        <v/>
      </c>
      <c r="AW162" s="512">
        <f>IFERROR(__xludf.DUMMYFUNCTION("""COMPUTED_VALUE"""),46098.6666666666)</f>
        <v/>
      </c>
      <c r="AX162" s="513">
        <f>IFERROR(__xludf.DUMMYFUNCTION("""COMPUTED_VALUE"""),99.8)</f>
        <v/>
      </c>
      <c r="AZ162" s="512">
        <f>IFERROR(__xludf.DUMMYFUNCTION("""COMPUTED_VALUE"""),46098.6666666666)</f>
        <v/>
      </c>
      <c r="BA162" s="513">
        <f>IFERROR(__xludf.DUMMYFUNCTION("""COMPUTED_VALUE"""),109.3)</f>
        <v/>
      </c>
      <c r="BC162" s="512">
        <f>IFERROR(__xludf.DUMMYFUNCTION("""COMPUTED_VALUE"""),46098.6666666666)</f>
        <v/>
      </c>
      <c r="BD162" s="513">
        <f>IFERROR(__xludf.DUMMYFUNCTION("""COMPUTED_VALUE"""),96.19)</f>
        <v/>
      </c>
      <c r="BF162" s="512">
        <f>IFERROR(__xludf.DUMMYFUNCTION("""COMPUTED_VALUE"""),46098.6666666666)</f>
        <v/>
      </c>
      <c r="BG162" s="513">
        <f>IFERROR(__xludf.DUMMYFUNCTION("""COMPUTED_VALUE"""),82.66)</f>
        <v/>
      </c>
      <c r="BI162" s="512">
        <f>IFERROR(__xludf.DUMMYFUNCTION("""COMPUTED_VALUE"""),46098.6666666666)</f>
        <v/>
      </c>
      <c r="BJ162" s="513">
        <f>IFERROR(__xludf.DUMMYFUNCTION("""COMPUTED_VALUE"""),87.45)</f>
        <v/>
      </c>
      <c r="BL162" s="512">
        <f>IFERROR(__xludf.DUMMYFUNCTION("""COMPUTED_VALUE"""),46098.6666666666)</f>
        <v/>
      </c>
      <c r="BM162" s="513">
        <f>IFERROR(__xludf.DUMMYFUNCTION("""COMPUTED_VALUE"""),459.27)</f>
        <v/>
      </c>
      <c r="BO162" s="512">
        <f>IFERROR(__xludf.DUMMYFUNCTION("""COMPUTED_VALUE"""),46098.6666666666)</f>
        <v/>
      </c>
      <c r="BP162" s="513">
        <f>IFERROR(__xludf.DUMMYFUNCTION("""COMPUTED_VALUE"""),91.52)</f>
        <v/>
      </c>
    </row>
    <row r="163">
      <c r="A163" s="512">
        <f>IFERROR(__xludf.DUMMYFUNCTION("""COMPUTED_VALUE"""),46099.6666666666)</f>
        <v/>
      </c>
      <c r="B163" s="513">
        <f>IFERROR(__xludf.DUMMYFUNCTION("""COMPUTED_VALUE"""),661.43)</f>
        <v/>
      </c>
      <c r="D163" s="512">
        <f>IFERROR(__xludf.DUMMYFUNCTION("""COMPUTED_VALUE"""),46099.6666666666)</f>
        <v/>
      </c>
      <c r="E163" s="513">
        <f>IFERROR(__xludf.DUMMYFUNCTION("""COMPUTED_VALUE"""),91.96)</f>
        <v/>
      </c>
      <c r="G163" s="512" t="n"/>
      <c r="H163" s="513" t="n"/>
      <c r="J163" s="512">
        <f>IFERROR(__xludf.DUMMYFUNCTION("""COMPUTED_VALUE"""),46099.6666666666)</f>
        <v/>
      </c>
      <c r="K163" s="513">
        <f>IFERROR(__xludf.DUMMYFUNCTION("""COMPUTED_VALUE"""),84.15)</f>
        <v/>
      </c>
      <c r="M163" s="512">
        <f>IFERROR(__xludf.DUMMYFUNCTION("""COMPUTED_VALUE"""),46099.6666666666)</f>
        <v/>
      </c>
      <c r="N163" s="513">
        <f>IFERROR(__xludf.DUMMYFUNCTION("""COMPUTED_VALUE"""),246.02)</f>
        <v/>
      </c>
      <c r="P163" s="512">
        <f>IFERROR(__xludf.DUMMYFUNCTION("""COMPUTED_VALUE"""),46099.6666666666)</f>
        <v/>
      </c>
      <c r="Q163" s="513">
        <f>IFERROR(__xludf.DUMMYFUNCTION("""COMPUTED_VALUE"""),82.26)</f>
        <v/>
      </c>
      <c r="S163" s="512">
        <f>IFERROR(__xludf.DUMMYFUNCTION("""COMPUTED_VALUE"""),45369.6666666666)</f>
        <v/>
      </c>
      <c r="T163" s="513">
        <f>IFERROR(__xludf.DUMMYFUNCTION("""COMPUTED_VALUE"""),173.72)</f>
        <v/>
      </c>
      <c r="V163" s="512">
        <f>IFERROR(__xludf.DUMMYFUNCTION("""COMPUTED_VALUE"""),46099.6666666666)</f>
        <v/>
      </c>
      <c r="W163" s="513">
        <f>IFERROR(__xludf.DUMMYFUNCTION("""COMPUTED_VALUE"""),29.27)</f>
        <v/>
      </c>
      <c r="Y163" s="512">
        <f>IFERROR(__xludf.DUMMYFUNCTION("""COMPUTED_VALUE"""),46099.6666666666)</f>
        <v/>
      </c>
      <c r="Z163" s="513">
        <f>IFERROR(__xludf.DUMMYFUNCTION("""COMPUTED_VALUE"""),73.68)</f>
        <v/>
      </c>
      <c r="AB163" s="512">
        <f>IFERROR(__xludf.DUMMYFUNCTION("""COMPUTED_VALUE"""),46099.6666666666)</f>
        <v/>
      </c>
      <c r="AC163" s="513">
        <f>IFERROR(__xludf.DUMMYFUNCTION("""COMPUTED_VALUE"""),54.21)</f>
        <v/>
      </c>
      <c r="AE163" s="512">
        <f>IFERROR(__xludf.DUMMYFUNCTION("""COMPUTED_VALUE"""),46099.6666666666)</f>
        <v/>
      </c>
      <c r="AF163" s="513">
        <f>IFERROR(__xludf.DUMMYFUNCTION("""COMPUTED_VALUE"""),94.36)</f>
        <v/>
      </c>
      <c r="AH163" s="512">
        <f>IFERROR(__xludf.DUMMYFUNCTION("""COMPUTED_VALUE"""),46099.6666666666)</f>
        <v/>
      </c>
      <c r="AI163" s="513">
        <f>IFERROR(__xludf.DUMMYFUNCTION("""COMPUTED_VALUE"""),21.97)</f>
        <v/>
      </c>
      <c r="AK163" s="512">
        <f>IFERROR(__xludf.DUMMYFUNCTION("""COMPUTED_VALUE"""),46099.6666666666)</f>
        <v/>
      </c>
      <c r="AL163" s="513">
        <f>IFERROR(__xludf.DUMMYFUNCTION("""COMPUTED_VALUE"""),79.4)</f>
        <v/>
      </c>
      <c r="AN163" s="512">
        <f>IFERROR(__xludf.DUMMYFUNCTION("""COMPUTED_VALUE"""),46099.6666666666)</f>
        <v/>
      </c>
      <c r="AO163" s="513">
        <f>IFERROR(__xludf.DUMMYFUNCTION("""COMPUTED_VALUE"""),111.24)</f>
        <v/>
      </c>
      <c r="AQ163" s="512">
        <f>IFERROR(__xludf.DUMMYFUNCTION("""COMPUTED_VALUE"""),46099.6666666666)</f>
        <v/>
      </c>
      <c r="AR163" s="513">
        <f>IFERROR(__xludf.DUMMYFUNCTION("""COMPUTED_VALUE"""),96.69)</f>
        <v/>
      </c>
      <c r="AT163" s="512">
        <f>IFERROR(__xludf.DUMMYFUNCTION("""COMPUTED_VALUE"""),46099.6666666666)</f>
        <v/>
      </c>
      <c r="AU163" s="513">
        <f>IFERROR(__xludf.DUMMYFUNCTION("""COMPUTED_VALUE"""),57.56)</f>
        <v/>
      </c>
      <c r="AW163" s="512">
        <f>IFERROR(__xludf.DUMMYFUNCTION("""COMPUTED_VALUE"""),46099.6666666666)</f>
        <v/>
      </c>
      <c r="AX163" s="513">
        <f>IFERROR(__xludf.DUMMYFUNCTION("""COMPUTED_VALUE"""),99.38)</f>
        <v/>
      </c>
      <c r="AZ163" s="512">
        <f>IFERROR(__xludf.DUMMYFUNCTION("""COMPUTED_VALUE"""),46099.6666666666)</f>
        <v/>
      </c>
      <c r="BA163" s="513">
        <f>IFERROR(__xludf.DUMMYFUNCTION("""COMPUTED_VALUE"""),108.71)</f>
        <v/>
      </c>
      <c r="BC163" s="512">
        <f>IFERROR(__xludf.DUMMYFUNCTION("""COMPUTED_VALUE"""),46099.6666666666)</f>
        <v/>
      </c>
      <c r="BD163" s="513">
        <f>IFERROR(__xludf.DUMMYFUNCTION("""COMPUTED_VALUE"""),95.75)</f>
        <v/>
      </c>
      <c r="BF163" s="512">
        <f>IFERROR(__xludf.DUMMYFUNCTION("""COMPUTED_VALUE"""),46099.6666666666)</f>
        <v/>
      </c>
      <c r="BG163" s="513">
        <f>IFERROR(__xludf.DUMMYFUNCTION("""COMPUTED_VALUE"""),82.51)</f>
        <v/>
      </c>
      <c r="BI163" s="512">
        <f>IFERROR(__xludf.DUMMYFUNCTION("""COMPUTED_VALUE"""),46099.6666666666)</f>
        <v/>
      </c>
      <c r="BJ163" s="513">
        <f>IFERROR(__xludf.DUMMYFUNCTION("""COMPUTED_VALUE"""),86.96)</f>
        <v/>
      </c>
      <c r="BL163" s="512">
        <f>IFERROR(__xludf.DUMMYFUNCTION("""COMPUTED_VALUE"""),46099.6666666666)</f>
        <v/>
      </c>
      <c r="BM163" s="513">
        <f>IFERROR(__xludf.DUMMYFUNCTION("""COMPUTED_VALUE"""),444.74)</f>
        <v/>
      </c>
      <c r="BO163" s="512">
        <f>IFERROR(__xludf.DUMMYFUNCTION("""COMPUTED_VALUE"""),46099.6666666666)</f>
        <v/>
      </c>
      <c r="BP163" s="513">
        <f>IFERROR(__xludf.DUMMYFUNCTION("""COMPUTED_VALUE"""),91.54)</f>
        <v/>
      </c>
    </row>
    <row r="164">
      <c r="A164" s="512">
        <f>IFERROR(__xludf.DUMMYFUNCTION("""COMPUTED_VALUE"""),46100.6666666666)</f>
        <v/>
      </c>
      <c r="B164" s="513">
        <f>IFERROR(__xludf.DUMMYFUNCTION("""COMPUTED_VALUE"""),659.8)</f>
        <v/>
      </c>
      <c r="D164" s="512">
        <f>IFERROR(__xludf.DUMMYFUNCTION("""COMPUTED_VALUE"""),46100.6666666666)</f>
        <v/>
      </c>
      <c r="E164" s="513">
        <f>IFERROR(__xludf.DUMMYFUNCTION("""COMPUTED_VALUE"""),91.59)</f>
        <v/>
      </c>
      <c r="G164" s="512" t="n"/>
      <c r="H164" s="513" t="n"/>
      <c r="J164" s="512">
        <f>IFERROR(__xludf.DUMMYFUNCTION("""COMPUTED_VALUE"""),46100.6666666666)</f>
        <v/>
      </c>
      <c r="K164" s="513">
        <f>IFERROR(__xludf.DUMMYFUNCTION("""COMPUTED_VALUE"""),84.08)</f>
        <v/>
      </c>
      <c r="M164" s="512">
        <f>IFERROR(__xludf.DUMMYFUNCTION("""COMPUTED_VALUE"""),46100.6666666666)</f>
        <v/>
      </c>
      <c r="N164" s="513">
        <f>IFERROR(__xludf.DUMMYFUNCTION("""COMPUTED_VALUE"""),247.63)</f>
        <v/>
      </c>
      <c r="P164" s="512">
        <f>IFERROR(__xludf.DUMMYFUNCTION("""COMPUTED_VALUE"""),46100.6666666666)</f>
        <v/>
      </c>
      <c r="Q164" s="513">
        <f>IFERROR(__xludf.DUMMYFUNCTION("""COMPUTED_VALUE"""),82.03)</f>
        <v/>
      </c>
      <c r="S164" s="512">
        <f>IFERROR(__xludf.DUMMYFUNCTION("""COMPUTED_VALUE"""),45370.6666666666)</f>
        <v/>
      </c>
      <c r="T164" s="513">
        <f>IFERROR(__xludf.DUMMYFUNCTION("""COMPUTED_VALUE"""),176.08)</f>
        <v/>
      </c>
      <c r="V164" s="512">
        <f>IFERROR(__xludf.DUMMYFUNCTION("""COMPUTED_VALUE"""),46100.6666666666)</f>
        <v/>
      </c>
      <c r="W164" s="513">
        <f>IFERROR(__xludf.DUMMYFUNCTION("""COMPUTED_VALUE"""),28.84)</f>
        <v/>
      </c>
      <c r="Y164" s="512">
        <f>IFERROR(__xludf.DUMMYFUNCTION("""COMPUTED_VALUE"""),46100.6666666666)</f>
        <v/>
      </c>
      <c r="Z164" s="513">
        <f>IFERROR(__xludf.DUMMYFUNCTION("""COMPUTED_VALUE"""),73.76)</f>
        <v/>
      </c>
      <c r="AB164" s="512">
        <f>IFERROR(__xludf.DUMMYFUNCTION("""COMPUTED_VALUE"""),46100.6666666666)</f>
        <v/>
      </c>
      <c r="AC164" s="513">
        <f>IFERROR(__xludf.DUMMYFUNCTION("""COMPUTED_VALUE"""),54.01)</f>
        <v/>
      </c>
      <c r="AE164" s="512">
        <f>IFERROR(__xludf.DUMMYFUNCTION("""COMPUTED_VALUE"""),46100.6666666666)</f>
        <v/>
      </c>
      <c r="AF164" s="513">
        <f>IFERROR(__xludf.DUMMYFUNCTION("""COMPUTED_VALUE"""),94.63)</f>
        <v/>
      </c>
      <c r="AH164" s="512">
        <f>IFERROR(__xludf.DUMMYFUNCTION("""COMPUTED_VALUE"""),46100.6666666666)</f>
        <v/>
      </c>
      <c r="AI164" s="513">
        <f>IFERROR(__xludf.DUMMYFUNCTION("""COMPUTED_VALUE"""),22.19)</f>
        <v/>
      </c>
      <c r="AK164" s="512">
        <f>IFERROR(__xludf.DUMMYFUNCTION("""COMPUTED_VALUE"""),46100.6666666666)</f>
        <v/>
      </c>
      <c r="AL164" s="513">
        <f>IFERROR(__xludf.DUMMYFUNCTION("""COMPUTED_VALUE"""),79.66)</f>
        <v/>
      </c>
      <c r="AN164" s="512">
        <f>IFERROR(__xludf.DUMMYFUNCTION("""COMPUTED_VALUE"""),46100.6666666666)</f>
        <v/>
      </c>
      <c r="AO164" s="513">
        <f>IFERROR(__xludf.DUMMYFUNCTION("""COMPUTED_VALUE"""),111.11)</f>
        <v/>
      </c>
      <c r="AQ164" s="512">
        <f>IFERROR(__xludf.DUMMYFUNCTION("""COMPUTED_VALUE"""),46100.6666666666)</f>
        <v/>
      </c>
      <c r="AR164" s="513">
        <f>IFERROR(__xludf.DUMMYFUNCTION("""COMPUTED_VALUE"""),96.52)</f>
        <v/>
      </c>
      <c r="AT164" s="512">
        <f>IFERROR(__xludf.DUMMYFUNCTION("""COMPUTED_VALUE"""),46100.6666666666)</f>
        <v/>
      </c>
      <c r="AU164" s="513">
        <f>IFERROR(__xludf.DUMMYFUNCTION("""COMPUTED_VALUE"""),57.62)</f>
        <v/>
      </c>
      <c r="AW164" s="512">
        <f>IFERROR(__xludf.DUMMYFUNCTION("""COMPUTED_VALUE"""),46100.6666666666)</f>
        <v/>
      </c>
      <c r="AX164" s="513">
        <f>IFERROR(__xludf.DUMMYFUNCTION("""COMPUTED_VALUE"""),99.49)</f>
        <v/>
      </c>
      <c r="AZ164" s="512">
        <f>IFERROR(__xludf.DUMMYFUNCTION("""COMPUTED_VALUE"""),46100.6666666666)</f>
        <v/>
      </c>
      <c r="BA164" s="513">
        <f>IFERROR(__xludf.DUMMYFUNCTION("""COMPUTED_VALUE"""),109.19)</f>
        <v/>
      </c>
      <c r="BC164" s="512">
        <f>IFERROR(__xludf.DUMMYFUNCTION("""COMPUTED_VALUE"""),46100.6666666666)</f>
        <v/>
      </c>
      <c r="BD164" s="513">
        <f>IFERROR(__xludf.DUMMYFUNCTION("""COMPUTED_VALUE"""),95.74)</f>
        <v/>
      </c>
      <c r="BF164" s="512">
        <f>IFERROR(__xludf.DUMMYFUNCTION("""COMPUTED_VALUE"""),46100.6666666666)</f>
        <v/>
      </c>
      <c r="BG164" s="513">
        <f>IFERROR(__xludf.DUMMYFUNCTION("""COMPUTED_VALUE"""),82.49)</f>
        <v/>
      </c>
      <c r="BI164" s="512">
        <f>IFERROR(__xludf.DUMMYFUNCTION("""COMPUTED_VALUE"""),46100.6666666666)</f>
        <v/>
      </c>
      <c r="BJ164" s="513">
        <f>IFERROR(__xludf.DUMMYFUNCTION("""COMPUTED_VALUE"""),87.49)</f>
        <v/>
      </c>
      <c r="BL164" s="512">
        <f>IFERROR(__xludf.DUMMYFUNCTION("""COMPUTED_VALUE"""),46100.6666666666)</f>
        <v/>
      </c>
      <c r="BM164" s="513">
        <f>IFERROR(__xludf.DUMMYFUNCTION("""COMPUTED_VALUE"""),426.41)</f>
        <v/>
      </c>
      <c r="BO164" s="512">
        <f>IFERROR(__xludf.DUMMYFUNCTION("""COMPUTED_VALUE"""),46100.6666666666)</f>
        <v/>
      </c>
      <c r="BP164" s="513">
        <f>IFERROR(__xludf.DUMMYFUNCTION("""COMPUTED_VALUE"""),91.54)</f>
        <v/>
      </c>
    </row>
    <row r="165">
      <c r="A165" s="512">
        <f>IFERROR(__xludf.DUMMYFUNCTION("""COMPUTED_VALUE"""),46101.6666666666)</f>
        <v/>
      </c>
      <c r="B165" s="513">
        <f>IFERROR(__xludf.DUMMYFUNCTION("""COMPUTED_VALUE"""),648.57)</f>
        <v/>
      </c>
      <c r="D165" s="512">
        <f>IFERROR(__xludf.DUMMYFUNCTION("""COMPUTED_VALUE"""),46101.6666666666)</f>
        <v/>
      </c>
      <c r="E165" s="513">
        <f>IFERROR(__xludf.DUMMYFUNCTION("""COMPUTED_VALUE"""),88.75)</f>
        <v/>
      </c>
      <c r="G165" s="512" t="n"/>
      <c r="H165" s="513" t="n"/>
      <c r="J165" s="512">
        <f>IFERROR(__xludf.DUMMYFUNCTION("""COMPUTED_VALUE"""),46101.6666666666)</f>
        <v/>
      </c>
      <c r="K165" s="513">
        <f>IFERROR(__xludf.DUMMYFUNCTION("""COMPUTED_VALUE"""),81.2)</f>
        <v/>
      </c>
      <c r="M165" s="512">
        <f>IFERROR(__xludf.DUMMYFUNCTION("""COMPUTED_VALUE"""),46101.6666666666)</f>
        <v/>
      </c>
      <c r="N165" s="513">
        <f>IFERROR(__xludf.DUMMYFUNCTION("""COMPUTED_VALUE"""),242.22)</f>
        <v/>
      </c>
      <c r="P165" s="512">
        <f>IFERROR(__xludf.DUMMYFUNCTION("""COMPUTED_VALUE"""),46101.6666666666)</f>
        <v/>
      </c>
      <c r="Q165" s="513">
        <f>IFERROR(__xludf.DUMMYFUNCTION("""COMPUTED_VALUE"""),79.18)</f>
        <v/>
      </c>
      <c r="S165" s="512">
        <f>IFERROR(__xludf.DUMMYFUNCTION("""COMPUTED_VALUE"""),45371.6666666666)</f>
        <v/>
      </c>
      <c r="T165" s="513">
        <f>IFERROR(__xludf.DUMMYFUNCTION("""COMPUTED_VALUE"""),178.67)</f>
        <v/>
      </c>
      <c r="V165" s="512">
        <f>IFERROR(__xludf.DUMMYFUNCTION("""COMPUTED_VALUE"""),46101.6666666666)</f>
        <v/>
      </c>
      <c r="W165" s="513">
        <f>IFERROR(__xludf.DUMMYFUNCTION("""COMPUTED_VALUE"""),28.94)</f>
        <v/>
      </c>
      <c r="Y165" s="512">
        <f>IFERROR(__xludf.DUMMYFUNCTION("""COMPUTED_VALUE"""),46101.6666666666)</f>
        <v/>
      </c>
      <c r="Z165" s="513">
        <f>IFERROR(__xludf.DUMMYFUNCTION("""COMPUTED_VALUE"""),73.17)</f>
        <v/>
      </c>
      <c r="AB165" s="512">
        <f>IFERROR(__xludf.DUMMYFUNCTION("""COMPUTED_VALUE"""),46101.6666666666)</f>
        <v/>
      </c>
      <c r="AC165" s="513">
        <f>IFERROR(__xludf.DUMMYFUNCTION("""COMPUTED_VALUE"""),52.56)</f>
        <v/>
      </c>
      <c r="AE165" s="512">
        <f>IFERROR(__xludf.DUMMYFUNCTION("""COMPUTED_VALUE"""),46101.6666666666)</f>
        <v/>
      </c>
      <c r="AF165" s="513">
        <f>IFERROR(__xludf.DUMMYFUNCTION("""COMPUTED_VALUE"""),93.15)</f>
        <v/>
      </c>
      <c r="AH165" s="512">
        <f>IFERROR(__xludf.DUMMYFUNCTION("""COMPUTED_VALUE"""),46101.6666666666)</f>
        <v/>
      </c>
      <c r="AI165" s="513">
        <f>IFERROR(__xludf.DUMMYFUNCTION("""COMPUTED_VALUE"""),21.92)</f>
        <v/>
      </c>
      <c r="AK165" s="512">
        <f>IFERROR(__xludf.DUMMYFUNCTION("""COMPUTED_VALUE"""),46101.6666666666)</f>
        <v/>
      </c>
      <c r="AL165" s="513">
        <f>IFERROR(__xludf.DUMMYFUNCTION("""COMPUTED_VALUE"""),78.92)</f>
        <v/>
      </c>
      <c r="AN165" s="512">
        <f>IFERROR(__xludf.DUMMYFUNCTION("""COMPUTED_VALUE"""),46101.6666666666)</f>
        <v/>
      </c>
      <c r="AO165" s="513">
        <f>IFERROR(__xludf.DUMMYFUNCTION("""COMPUTED_VALUE"""),110.22)</f>
        <v/>
      </c>
      <c r="AQ165" s="512">
        <f>IFERROR(__xludf.DUMMYFUNCTION("""COMPUTED_VALUE"""),46101.6666666666)</f>
        <v/>
      </c>
      <c r="AR165" s="513">
        <f>IFERROR(__xludf.DUMMYFUNCTION("""COMPUTED_VALUE"""),93.59)</f>
        <v/>
      </c>
      <c r="AT165" s="512">
        <f>IFERROR(__xludf.DUMMYFUNCTION("""COMPUTED_VALUE"""),46101.6666666666)</f>
        <v/>
      </c>
      <c r="AU165" s="513">
        <f>IFERROR(__xludf.DUMMYFUNCTION("""COMPUTED_VALUE"""),55.64)</f>
        <v/>
      </c>
      <c r="AW165" s="512">
        <f>IFERROR(__xludf.DUMMYFUNCTION("""COMPUTED_VALUE"""),46101.6666666666)</f>
        <v/>
      </c>
      <c r="AX165" s="513">
        <f>IFERROR(__xludf.DUMMYFUNCTION("""COMPUTED_VALUE"""),98.66)</f>
        <v/>
      </c>
      <c r="AZ165" s="512">
        <f>IFERROR(__xludf.DUMMYFUNCTION("""COMPUTED_VALUE"""),46101.6666666666)</f>
        <v/>
      </c>
      <c r="BA165" s="513">
        <f>IFERROR(__xludf.DUMMYFUNCTION("""COMPUTED_VALUE"""),107.85)</f>
        <v/>
      </c>
      <c r="BC165" s="512">
        <f>IFERROR(__xludf.DUMMYFUNCTION("""COMPUTED_VALUE"""),46101.6666666666)</f>
        <v/>
      </c>
      <c r="BD165" s="513">
        <f>IFERROR(__xludf.DUMMYFUNCTION("""COMPUTED_VALUE"""),94.88)</f>
        <v/>
      </c>
      <c r="BF165" s="512">
        <f>IFERROR(__xludf.DUMMYFUNCTION("""COMPUTED_VALUE"""),46101.6666666666)</f>
        <v/>
      </c>
      <c r="BG165" s="513">
        <f>IFERROR(__xludf.DUMMYFUNCTION("""COMPUTED_VALUE"""),82.31)</f>
        <v/>
      </c>
      <c r="BI165" s="512">
        <f>IFERROR(__xludf.DUMMYFUNCTION("""COMPUTED_VALUE"""),46101.6666666666)</f>
        <v/>
      </c>
      <c r="BJ165" s="513">
        <f>IFERROR(__xludf.DUMMYFUNCTION("""COMPUTED_VALUE"""),85.83)</f>
        <v/>
      </c>
      <c r="BL165" s="512">
        <f>IFERROR(__xludf.DUMMYFUNCTION("""COMPUTED_VALUE"""),46101.6666666666)</f>
        <v/>
      </c>
      <c r="BM165" s="513">
        <f>IFERROR(__xludf.DUMMYFUNCTION("""COMPUTED_VALUE"""),413.38)</f>
        <v/>
      </c>
      <c r="BO165" s="512">
        <f>IFERROR(__xludf.DUMMYFUNCTION("""COMPUTED_VALUE"""),46101.6666666666)</f>
        <v/>
      </c>
      <c r="BP165" s="513">
        <f>IFERROR(__xludf.DUMMYFUNCTION("""COMPUTED_VALUE"""),91.57)</f>
        <v/>
      </c>
    </row>
    <row r="166">
      <c r="A166" s="512">
        <f>IFERROR(__xludf.DUMMYFUNCTION("""COMPUTED_VALUE"""),46104.6666666666)</f>
        <v/>
      </c>
      <c r="B166" s="513">
        <f>IFERROR(__xludf.DUMMYFUNCTION("""COMPUTED_VALUE"""),655.38)</f>
        <v/>
      </c>
      <c r="D166" s="512">
        <f>IFERROR(__xludf.DUMMYFUNCTION("""COMPUTED_VALUE"""),46104.6666666666)</f>
        <v/>
      </c>
      <c r="E166" s="513">
        <f>IFERROR(__xludf.DUMMYFUNCTION("""COMPUTED_VALUE"""),89.44)</f>
        <v/>
      </c>
      <c r="G166" s="512" t="n"/>
      <c r="H166" s="513" t="n"/>
      <c r="J166" s="512">
        <f>IFERROR(__xludf.DUMMYFUNCTION("""COMPUTED_VALUE"""),46104.6666666666)</f>
        <v/>
      </c>
      <c r="K166" s="513">
        <f>IFERROR(__xludf.DUMMYFUNCTION("""COMPUTED_VALUE"""),83.55)</f>
        <v/>
      </c>
      <c r="M166" s="512">
        <f>IFERROR(__xludf.DUMMYFUNCTION("""COMPUTED_VALUE"""),46104.6666666666)</f>
        <v/>
      </c>
      <c r="N166" s="513">
        <f>IFERROR(__xludf.DUMMYFUNCTION("""COMPUTED_VALUE"""),247.45)</f>
        <v/>
      </c>
      <c r="P166" s="512">
        <f>IFERROR(__xludf.DUMMYFUNCTION("""COMPUTED_VALUE"""),46104.6666666666)</f>
        <v/>
      </c>
      <c r="Q166" s="513">
        <f>IFERROR(__xludf.DUMMYFUNCTION("""COMPUTED_VALUE"""),81.04)</f>
        <v/>
      </c>
      <c r="S166" s="512">
        <f>IFERROR(__xludf.DUMMYFUNCTION("""COMPUTED_VALUE"""),45372.6666666666)</f>
        <v/>
      </c>
      <c r="T166" s="513">
        <f>IFERROR(__xludf.DUMMYFUNCTION("""COMPUTED_VALUE"""),171.37)</f>
        <v/>
      </c>
      <c r="V166" s="512">
        <f>IFERROR(__xludf.DUMMYFUNCTION("""COMPUTED_VALUE"""),46104.6666666666)</f>
        <v/>
      </c>
      <c r="W166" s="513">
        <f>IFERROR(__xludf.DUMMYFUNCTION("""COMPUTED_VALUE"""),27.75)</f>
        <v/>
      </c>
      <c r="Y166" s="512">
        <f>IFERROR(__xludf.DUMMYFUNCTION("""COMPUTED_VALUE"""),46104.6666666666)</f>
        <v/>
      </c>
      <c r="Z166" s="513">
        <f>IFERROR(__xludf.DUMMYFUNCTION("""COMPUTED_VALUE"""),73.45)</f>
        <v/>
      </c>
      <c r="AB166" s="512">
        <f>IFERROR(__xludf.DUMMYFUNCTION("""COMPUTED_VALUE"""),46104.6666666666)</f>
        <v/>
      </c>
      <c r="AC166" s="513">
        <f>IFERROR(__xludf.DUMMYFUNCTION("""COMPUTED_VALUE"""),53.8)</f>
        <v/>
      </c>
      <c r="AE166" s="512">
        <f>IFERROR(__xludf.DUMMYFUNCTION("""COMPUTED_VALUE"""),46104.6666666666)</f>
        <v/>
      </c>
      <c r="AF166" s="513">
        <f>IFERROR(__xludf.DUMMYFUNCTION("""COMPUTED_VALUE"""),94.06)</f>
        <v/>
      </c>
      <c r="AH166" s="512">
        <f>IFERROR(__xludf.DUMMYFUNCTION("""COMPUTED_VALUE"""),46104.6666666666)</f>
        <v/>
      </c>
      <c r="AI166" s="513">
        <f>IFERROR(__xludf.DUMMYFUNCTION("""COMPUTED_VALUE"""),22.12)</f>
        <v/>
      </c>
      <c r="AK166" s="512">
        <f>IFERROR(__xludf.DUMMYFUNCTION("""COMPUTED_VALUE"""),46104.6666666666)</f>
        <v/>
      </c>
      <c r="AL166" s="513">
        <f>IFERROR(__xludf.DUMMYFUNCTION("""COMPUTED_VALUE"""),79.44)</f>
        <v/>
      </c>
      <c r="AN166" s="512">
        <f>IFERROR(__xludf.DUMMYFUNCTION("""COMPUTED_VALUE"""),46104.6666666666)</f>
        <v/>
      </c>
      <c r="AO166" s="513">
        <f>IFERROR(__xludf.DUMMYFUNCTION("""COMPUTED_VALUE"""),110.19)</f>
        <v/>
      </c>
      <c r="AQ166" s="512">
        <f>IFERROR(__xludf.DUMMYFUNCTION("""COMPUTED_VALUE"""),46104.6666666666)</f>
        <v/>
      </c>
      <c r="AR166" s="513">
        <f>IFERROR(__xludf.DUMMYFUNCTION("""COMPUTED_VALUE"""),95.84)</f>
        <v/>
      </c>
      <c r="AT166" s="512">
        <f>IFERROR(__xludf.DUMMYFUNCTION("""COMPUTED_VALUE"""),46104.6666666666)</f>
        <v/>
      </c>
      <c r="AU166" s="513">
        <f>IFERROR(__xludf.DUMMYFUNCTION("""COMPUTED_VALUE"""),57.31)</f>
        <v/>
      </c>
      <c r="AW166" s="512">
        <f>IFERROR(__xludf.DUMMYFUNCTION("""COMPUTED_VALUE"""),46104.6666666666)</f>
        <v/>
      </c>
      <c r="AX166" s="513">
        <f>IFERROR(__xludf.DUMMYFUNCTION("""COMPUTED_VALUE"""),99.03)</f>
        <v/>
      </c>
      <c r="AZ166" s="512">
        <f>IFERROR(__xludf.DUMMYFUNCTION("""COMPUTED_VALUE"""),46104.6666666666)</f>
        <v/>
      </c>
      <c r="BA166" s="513">
        <f>IFERROR(__xludf.DUMMYFUNCTION("""COMPUTED_VALUE"""),108.56)</f>
        <v/>
      </c>
      <c r="BC166" s="512">
        <f>IFERROR(__xludf.DUMMYFUNCTION("""COMPUTED_VALUE"""),46104.6666666666)</f>
        <v/>
      </c>
      <c r="BD166" s="513">
        <f>IFERROR(__xludf.DUMMYFUNCTION("""COMPUTED_VALUE"""),95.18)</f>
        <v/>
      </c>
      <c r="BF166" s="512">
        <f>IFERROR(__xludf.DUMMYFUNCTION("""COMPUTED_VALUE"""),46104.6666666666)</f>
        <v/>
      </c>
      <c r="BG166" s="513">
        <f>IFERROR(__xludf.DUMMYFUNCTION("""COMPUTED_VALUE"""),82.43)</f>
        <v/>
      </c>
      <c r="BI166" s="512">
        <f>IFERROR(__xludf.DUMMYFUNCTION("""COMPUTED_VALUE"""),46104.6666666666)</f>
        <v/>
      </c>
      <c r="BJ166" s="513">
        <f>IFERROR(__xludf.DUMMYFUNCTION("""COMPUTED_VALUE"""),86.39)</f>
        <v/>
      </c>
      <c r="BL166" s="512">
        <f>IFERROR(__xludf.DUMMYFUNCTION("""COMPUTED_VALUE"""),46104.6666666666)</f>
        <v/>
      </c>
      <c r="BM166" s="513">
        <f>IFERROR(__xludf.DUMMYFUNCTION("""COMPUTED_VALUE"""),404.04)</f>
        <v/>
      </c>
      <c r="BO166" s="512">
        <f>IFERROR(__xludf.DUMMYFUNCTION("""COMPUTED_VALUE"""),46104.6666666666)</f>
        <v/>
      </c>
      <c r="BP166" s="513">
        <f>IFERROR(__xludf.DUMMYFUNCTION("""COMPUTED_VALUE"""),91.58)</f>
        <v/>
      </c>
    </row>
    <row r="167">
      <c r="A167" s="512">
        <f>IFERROR(__xludf.DUMMYFUNCTION("""COMPUTED_VALUE"""),46105.6666666666)</f>
        <v/>
      </c>
      <c r="B167" s="513">
        <f>IFERROR(__xludf.DUMMYFUNCTION("""COMPUTED_VALUE"""),653.18)</f>
        <v/>
      </c>
      <c r="D167" s="512">
        <f>IFERROR(__xludf.DUMMYFUNCTION("""COMPUTED_VALUE"""),46105.6666666666)</f>
        <v/>
      </c>
      <c r="E167" s="513">
        <f>IFERROR(__xludf.DUMMYFUNCTION("""COMPUTED_VALUE"""),87.91)</f>
        <v/>
      </c>
      <c r="G167" s="512" t="n"/>
      <c r="H167" s="513" t="n"/>
      <c r="J167" s="512">
        <f>IFERROR(__xludf.DUMMYFUNCTION("""COMPUTED_VALUE"""),46105.6666666666)</f>
        <v/>
      </c>
      <c r="K167" s="513">
        <f>IFERROR(__xludf.DUMMYFUNCTION("""COMPUTED_VALUE"""),83.28)</f>
        <v/>
      </c>
      <c r="M167" s="512">
        <f>IFERROR(__xludf.DUMMYFUNCTION("""COMPUTED_VALUE"""),46105.6666666666)</f>
        <v/>
      </c>
      <c r="N167" s="513">
        <f>IFERROR(__xludf.DUMMYFUNCTION("""COMPUTED_VALUE"""),248.78)</f>
        <v/>
      </c>
      <c r="P167" s="512">
        <f>IFERROR(__xludf.DUMMYFUNCTION("""COMPUTED_VALUE"""),46105.6666666666)</f>
        <v/>
      </c>
      <c r="Q167" s="513">
        <f>IFERROR(__xludf.DUMMYFUNCTION("""COMPUTED_VALUE"""),80.58)</f>
        <v/>
      </c>
      <c r="S167" s="512">
        <f>IFERROR(__xludf.DUMMYFUNCTION("""COMPUTED_VALUE"""),45373.6666666666)</f>
        <v/>
      </c>
      <c r="T167" s="513">
        <f>IFERROR(__xludf.DUMMYFUNCTION("""COMPUTED_VALUE"""),172.28)</f>
        <v/>
      </c>
      <c r="V167" s="512">
        <f>IFERROR(__xludf.DUMMYFUNCTION("""COMPUTED_VALUE"""),46105.6666666666)</f>
        <v/>
      </c>
      <c r="W167" s="513">
        <f>IFERROR(__xludf.DUMMYFUNCTION("""COMPUTED_VALUE"""),28.24)</f>
        <v/>
      </c>
      <c r="Y167" s="512">
        <f>IFERROR(__xludf.DUMMYFUNCTION("""COMPUTED_VALUE"""),46105.6666666666)</f>
        <v/>
      </c>
      <c r="Z167" s="513">
        <f>IFERROR(__xludf.DUMMYFUNCTION("""COMPUTED_VALUE"""),73.26)</f>
        <v/>
      </c>
      <c r="AB167" s="512">
        <f>IFERROR(__xludf.DUMMYFUNCTION("""COMPUTED_VALUE"""),46105.6666666666)</f>
        <v/>
      </c>
      <c r="AC167" s="513">
        <f>IFERROR(__xludf.DUMMYFUNCTION("""COMPUTED_VALUE"""),53.31)</f>
        <v/>
      </c>
      <c r="AE167" s="512">
        <f>IFERROR(__xludf.DUMMYFUNCTION("""COMPUTED_VALUE"""),46105.6666666666)</f>
        <v/>
      </c>
      <c r="AF167" s="513">
        <f>IFERROR(__xludf.DUMMYFUNCTION("""COMPUTED_VALUE"""),93.58)</f>
        <v/>
      </c>
      <c r="AH167" s="512">
        <f>IFERROR(__xludf.DUMMYFUNCTION("""COMPUTED_VALUE"""),46105.6666666666)</f>
        <v/>
      </c>
      <c r="AI167" s="513">
        <f>IFERROR(__xludf.DUMMYFUNCTION("""COMPUTED_VALUE"""),21.98)</f>
        <v/>
      </c>
      <c r="AK167" s="512">
        <f>IFERROR(__xludf.DUMMYFUNCTION("""COMPUTED_VALUE"""),46105.6666666666)</f>
        <v/>
      </c>
      <c r="AL167" s="513">
        <f>IFERROR(__xludf.DUMMYFUNCTION("""COMPUTED_VALUE"""),79.17)</f>
        <v/>
      </c>
      <c r="AN167" s="512">
        <f>IFERROR(__xludf.DUMMYFUNCTION("""COMPUTED_VALUE"""),46105.6666666666)</f>
        <v/>
      </c>
      <c r="AO167" s="513">
        <f>IFERROR(__xludf.DUMMYFUNCTION("""COMPUTED_VALUE"""),109.83)</f>
        <v/>
      </c>
      <c r="AQ167" s="512">
        <f>IFERROR(__xludf.DUMMYFUNCTION("""COMPUTED_VALUE"""),46105.6666666666)</f>
        <v/>
      </c>
      <c r="AR167" s="513">
        <f>IFERROR(__xludf.DUMMYFUNCTION("""COMPUTED_VALUE"""),95.27)</f>
        <v/>
      </c>
      <c r="AT167" s="512">
        <f>IFERROR(__xludf.DUMMYFUNCTION("""COMPUTED_VALUE"""),46105.6666666666)</f>
        <v/>
      </c>
      <c r="AU167" s="513">
        <f>IFERROR(__xludf.DUMMYFUNCTION("""COMPUTED_VALUE"""),56.52)</f>
        <v/>
      </c>
      <c r="AW167" s="512">
        <f>IFERROR(__xludf.DUMMYFUNCTION("""COMPUTED_VALUE"""),46105.6666666666)</f>
        <v/>
      </c>
      <c r="AX167" s="513">
        <f>IFERROR(__xludf.DUMMYFUNCTION("""COMPUTED_VALUE"""),98.76)</f>
        <v/>
      </c>
      <c r="AZ167" s="512">
        <f>IFERROR(__xludf.DUMMYFUNCTION("""COMPUTED_VALUE"""),46105.6666666666)</f>
        <v/>
      </c>
      <c r="BA167" s="513">
        <f>IFERROR(__xludf.DUMMYFUNCTION("""COMPUTED_VALUE"""),108.34)</f>
        <v/>
      </c>
      <c r="BC167" s="512">
        <f>IFERROR(__xludf.DUMMYFUNCTION("""COMPUTED_VALUE"""),46105.6666666666)</f>
        <v/>
      </c>
      <c r="BD167" s="513">
        <f>IFERROR(__xludf.DUMMYFUNCTION("""COMPUTED_VALUE"""),94.86)</f>
        <v/>
      </c>
      <c r="BF167" s="512">
        <f>IFERROR(__xludf.DUMMYFUNCTION("""COMPUTED_VALUE"""),46105.6666666666)</f>
        <v/>
      </c>
      <c r="BG167" s="513">
        <f>IFERROR(__xludf.DUMMYFUNCTION("""COMPUTED_VALUE"""),82.31)</f>
        <v/>
      </c>
      <c r="BI167" s="512">
        <f>IFERROR(__xludf.DUMMYFUNCTION("""COMPUTED_VALUE"""),46105.6666666666)</f>
        <v/>
      </c>
      <c r="BJ167" s="513">
        <f>IFERROR(__xludf.DUMMYFUNCTION("""COMPUTED_VALUE"""),86.01)</f>
        <v/>
      </c>
      <c r="BL167" s="512">
        <f>IFERROR(__xludf.DUMMYFUNCTION("""COMPUTED_VALUE"""),46105.6666666666)</f>
        <v/>
      </c>
      <c r="BM167" s="513">
        <f>IFERROR(__xludf.DUMMYFUNCTION("""COMPUTED_VALUE"""),404.13)</f>
        <v/>
      </c>
      <c r="BO167" s="512">
        <f>IFERROR(__xludf.DUMMYFUNCTION("""COMPUTED_VALUE"""),46105.6666666666)</f>
        <v/>
      </c>
      <c r="BP167" s="513">
        <f>IFERROR(__xludf.DUMMYFUNCTION("""COMPUTED_VALUE"""),91.59)</f>
        <v/>
      </c>
    </row>
    <row r="168">
      <c r="A168" s="512">
        <f>IFERROR(__xludf.DUMMYFUNCTION("""COMPUTED_VALUE"""),46106.6666666666)</f>
        <v/>
      </c>
      <c r="B168" s="513">
        <f>IFERROR(__xludf.DUMMYFUNCTION("""COMPUTED_VALUE"""),656.82)</f>
        <v/>
      </c>
      <c r="D168" s="512">
        <f>IFERROR(__xludf.DUMMYFUNCTION("""COMPUTED_VALUE"""),46106.6666666666)</f>
        <v/>
      </c>
      <c r="E168" s="513">
        <f>IFERROR(__xludf.DUMMYFUNCTION("""COMPUTED_VALUE"""),87.84)</f>
        <v/>
      </c>
      <c r="G168" s="512" t="n"/>
      <c r="H168" s="513" t="n"/>
      <c r="J168" s="512">
        <f>IFERROR(__xludf.DUMMYFUNCTION("""COMPUTED_VALUE"""),46106.6666666666)</f>
        <v/>
      </c>
      <c r="K168" s="513">
        <f>IFERROR(__xludf.DUMMYFUNCTION("""COMPUTED_VALUE"""),84.75)</f>
        <v/>
      </c>
      <c r="M168" s="512">
        <f>IFERROR(__xludf.DUMMYFUNCTION("""COMPUTED_VALUE"""),46106.6666666666)</f>
        <v/>
      </c>
      <c r="N168" s="513">
        <f>IFERROR(__xludf.DUMMYFUNCTION("""COMPUTED_VALUE"""),251.82)</f>
        <v/>
      </c>
      <c r="P168" s="512">
        <f>IFERROR(__xludf.DUMMYFUNCTION("""COMPUTED_VALUE"""),46106.6666666666)</f>
        <v/>
      </c>
      <c r="Q168" s="513">
        <f>IFERROR(__xludf.DUMMYFUNCTION("""COMPUTED_VALUE"""),81.76)</f>
        <v/>
      </c>
      <c r="S168" s="512">
        <f>IFERROR(__xludf.DUMMYFUNCTION("""COMPUTED_VALUE"""),45376.6666666666)</f>
        <v/>
      </c>
      <c r="T168" s="513">
        <f>IFERROR(__xludf.DUMMYFUNCTION("""COMPUTED_VALUE"""),170.85)</f>
        <v/>
      </c>
      <c r="V168" s="512">
        <f>IFERROR(__xludf.DUMMYFUNCTION("""COMPUTED_VALUE"""),46106.6666666666)</f>
        <v/>
      </c>
      <c r="W168" s="513">
        <f>IFERROR(__xludf.DUMMYFUNCTION("""COMPUTED_VALUE"""),28.17)</f>
        <v/>
      </c>
      <c r="Y168" s="512">
        <f>IFERROR(__xludf.DUMMYFUNCTION("""COMPUTED_VALUE"""),46106.6666666666)</f>
        <v/>
      </c>
      <c r="Z168" s="513">
        <f>IFERROR(__xludf.DUMMYFUNCTION("""COMPUTED_VALUE"""),73.54)</f>
        <v/>
      </c>
      <c r="AB168" s="512">
        <f>IFERROR(__xludf.DUMMYFUNCTION("""COMPUTED_VALUE"""),46106.6666666666)</f>
        <v/>
      </c>
      <c r="AC168" s="513">
        <f>IFERROR(__xludf.DUMMYFUNCTION("""COMPUTED_VALUE"""),54.34)</f>
        <v/>
      </c>
      <c r="AE168" s="512">
        <f>IFERROR(__xludf.DUMMYFUNCTION("""COMPUTED_VALUE"""),46106.6666666666)</f>
        <v/>
      </c>
      <c r="AF168" s="513">
        <f>IFERROR(__xludf.DUMMYFUNCTION("""COMPUTED_VALUE"""),94.43)</f>
        <v/>
      </c>
      <c r="AH168" s="512">
        <f>IFERROR(__xludf.DUMMYFUNCTION("""COMPUTED_VALUE"""),46106.6666666666)</f>
        <v/>
      </c>
      <c r="AI168" s="513">
        <f>IFERROR(__xludf.DUMMYFUNCTION("""COMPUTED_VALUE"""),22.04)</f>
        <v/>
      </c>
      <c r="AK168" s="512">
        <f>IFERROR(__xludf.DUMMYFUNCTION("""COMPUTED_VALUE"""),46106.6666666666)</f>
        <v/>
      </c>
      <c r="AL168" s="513">
        <f>IFERROR(__xludf.DUMMYFUNCTION("""COMPUTED_VALUE"""),79.42)</f>
        <v/>
      </c>
      <c r="AN168" s="512">
        <f>IFERROR(__xludf.DUMMYFUNCTION("""COMPUTED_VALUE"""),46106.6666666666)</f>
        <v/>
      </c>
      <c r="AO168" s="513">
        <f>IFERROR(__xludf.DUMMYFUNCTION("""COMPUTED_VALUE"""),110.16)</f>
        <v/>
      </c>
      <c r="AQ168" s="512">
        <f>IFERROR(__xludf.DUMMYFUNCTION("""COMPUTED_VALUE"""),46106.6666666666)</f>
        <v/>
      </c>
      <c r="AR168" s="513">
        <f>IFERROR(__xludf.DUMMYFUNCTION("""COMPUTED_VALUE"""),96.66)</f>
        <v/>
      </c>
      <c r="AT168" s="512">
        <f>IFERROR(__xludf.DUMMYFUNCTION("""COMPUTED_VALUE"""),46106.6666666666)</f>
        <v/>
      </c>
      <c r="AU168" s="513">
        <f>IFERROR(__xludf.DUMMYFUNCTION("""COMPUTED_VALUE"""),57.42)</f>
        <v/>
      </c>
      <c r="AW168" s="512">
        <f>IFERROR(__xludf.DUMMYFUNCTION("""COMPUTED_VALUE"""),46106.6666666666)</f>
        <v/>
      </c>
      <c r="AX168" s="513">
        <f>IFERROR(__xludf.DUMMYFUNCTION("""COMPUTED_VALUE"""),99.11)</f>
        <v/>
      </c>
      <c r="AZ168" s="512">
        <f>IFERROR(__xludf.DUMMYFUNCTION("""COMPUTED_VALUE"""),46106.6666666666)</f>
        <v/>
      </c>
      <c r="BA168" s="513">
        <f>IFERROR(__xludf.DUMMYFUNCTION("""COMPUTED_VALUE"""),108.73)</f>
        <v/>
      </c>
      <c r="BC168" s="512">
        <f>IFERROR(__xludf.DUMMYFUNCTION("""COMPUTED_VALUE"""),46106.6666666666)</f>
        <v/>
      </c>
      <c r="BD168" s="513">
        <f>IFERROR(__xludf.DUMMYFUNCTION("""COMPUTED_VALUE"""),95.36)</f>
        <v/>
      </c>
      <c r="BF168" s="512">
        <f>IFERROR(__xludf.DUMMYFUNCTION("""COMPUTED_VALUE"""),46106.6666666666)</f>
        <v/>
      </c>
      <c r="BG168" s="513">
        <f>IFERROR(__xludf.DUMMYFUNCTION("""COMPUTED_VALUE"""),82.4)</f>
        <v/>
      </c>
      <c r="BI168" s="512">
        <f>IFERROR(__xludf.DUMMYFUNCTION("""COMPUTED_VALUE"""),46106.6666666666)</f>
        <v/>
      </c>
      <c r="BJ168" s="513">
        <f>IFERROR(__xludf.DUMMYFUNCTION("""COMPUTED_VALUE"""),86.84)</f>
        <v/>
      </c>
      <c r="BL168" s="512">
        <f>IFERROR(__xludf.DUMMYFUNCTION("""COMPUTED_VALUE"""),46106.6666666666)</f>
        <v/>
      </c>
      <c r="BM168" s="513">
        <f>IFERROR(__xludf.DUMMYFUNCTION("""COMPUTED_VALUE"""),416.29)</f>
        <v/>
      </c>
      <c r="BO168" s="512">
        <f>IFERROR(__xludf.DUMMYFUNCTION("""COMPUTED_VALUE"""),46106.6666666666)</f>
        <v/>
      </c>
      <c r="BP168" s="513">
        <f>IFERROR(__xludf.DUMMYFUNCTION("""COMPUTED_VALUE"""),91.58)</f>
        <v/>
      </c>
    </row>
    <row r="169">
      <c r="A169" s="512">
        <f>IFERROR(__xludf.DUMMYFUNCTION("""COMPUTED_VALUE"""),46107.6666666666)</f>
        <v/>
      </c>
      <c r="B169" s="513">
        <f>IFERROR(__xludf.DUMMYFUNCTION("""COMPUTED_VALUE"""),645.09)</f>
        <v/>
      </c>
      <c r="D169" s="512">
        <f>IFERROR(__xludf.DUMMYFUNCTION("""COMPUTED_VALUE"""),46107.6666666666)</f>
        <v/>
      </c>
      <c r="E169" s="513">
        <f>IFERROR(__xludf.DUMMYFUNCTION("""COMPUTED_VALUE"""),87.72)</f>
        <v/>
      </c>
      <c r="G169" s="512" t="n"/>
      <c r="H169" s="513" t="n"/>
      <c r="J169" s="512">
        <f>IFERROR(__xludf.DUMMYFUNCTION("""COMPUTED_VALUE"""),46107.6666666666)</f>
        <v/>
      </c>
      <c r="K169" s="513">
        <f>IFERROR(__xludf.DUMMYFUNCTION("""COMPUTED_VALUE"""),82.71)</f>
        <v/>
      </c>
      <c r="M169" s="512">
        <f>IFERROR(__xludf.DUMMYFUNCTION("""COMPUTED_VALUE"""),46107.6666666666)</f>
        <v/>
      </c>
      <c r="N169" s="513">
        <f>IFERROR(__xludf.DUMMYFUNCTION("""COMPUTED_VALUE"""),247.44)</f>
        <v/>
      </c>
      <c r="P169" s="512">
        <f>IFERROR(__xludf.DUMMYFUNCTION("""COMPUTED_VALUE"""),46107.6666666666)</f>
        <v/>
      </c>
      <c r="Q169" s="513">
        <f>IFERROR(__xludf.DUMMYFUNCTION("""COMPUTED_VALUE"""),80.16)</f>
        <v/>
      </c>
      <c r="S169" s="512">
        <f>IFERROR(__xludf.DUMMYFUNCTION("""COMPUTED_VALUE"""),45377.6666666666)</f>
        <v/>
      </c>
      <c r="T169" s="513">
        <f>IFERROR(__xludf.DUMMYFUNCTION("""COMPUTED_VALUE"""),169.71)</f>
        <v/>
      </c>
      <c r="V169" s="512">
        <f>IFERROR(__xludf.DUMMYFUNCTION("""COMPUTED_VALUE"""),46107.6666666666)</f>
        <v/>
      </c>
      <c r="W169" s="513">
        <f>IFERROR(__xludf.DUMMYFUNCTION("""COMPUTED_VALUE"""),28.44)</f>
        <v/>
      </c>
      <c r="Y169" s="512">
        <f>IFERROR(__xludf.DUMMYFUNCTION("""COMPUTED_VALUE"""),46107.6666666666)</f>
        <v/>
      </c>
      <c r="Z169" s="513">
        <f>IFERROR(__xludf.DUMMYFUNCTION("""COMPUTED_VALUE"""),73.11)</f>
        <v/>
      </c>
      <c r="AB169" s="512">
        <f>IFERROR(__xludf.DUMMYFUNCTION("""COMPUTED_VALUE"""),46107.6666666666)</f>
        <v/>
      </c>
      <c r="AC169" s="513">
        <f>IFERROR(__xludf.DUMMYFUNCTION("""COMPUTED_VALUE"""),52.85)</f>
        <v/>
      </c>
      <c r="AE169" s="512">
        <f>IFERROR(__xludf.DUMMYFUNCTION("""COMPUTED_VALUE"""),46107.6666666666)</f>
        <v/>
      </c>
      <c r="AF169" s="513">
        <f>IFERROR(__xludf.DUMMYFUNCTION("""COMPUTED_VALUE"""),93.46)</f>
        <v/>
      </c>
      <c r="AH169" s="512">
        <f>IFERROR(__xludf.DUMMYFUNCTION("""COMPUTED_VALUE"""),46107.6666666666)</f>
        <v/>
      </c>
      <c r="AI169" s="513">
        <f>IFERROR(__xludf.DUMMYFUNCTION("""COMPUTED_VALUE"""),21.8)</f>
        <v/>
      </c>
      <c r="AK169" s="512">
        <f>IFERROR(__xludf.DUMMYFUNCTION("""COMPUTED_VALUE"""),46107.6666666666)</f>
        <v/>
      </c>
      <c r="AL169" s="513">
        <f>IFERROR(__xludf.DUMMYFUNCTION("""COMPUTED_VALUE"""),78.92)</f>
        <v/>
      </c>
      <c r="AN169" s="512">
        <f>IFERROR(__xludf.DUMMYFUNCTION("""COMPUTED_VALUE"""),46107.6666666666)</f>
        <v/>
      </c>
      <c r="AO169" s="513">
        <f>IFERROR(__xludf.DUMMYFUNCTION("""COMPUTED_VALUE"""),109.76)</f>
        <v/>
      </c>
      <c r="AQ169" s="512">
        <f>IFERROR(__xludf.DUMMYFUNCTION("""COMPUTED_VALUE"""),46107.6666666666)</f>
        <v/>
      </c>
      <c r="AR169" s="513">
        <f>IFERROR(__xludf.DUMMYFUNCTION("""COMPUTED_VALUE"""),94.66)</f>
        <v/>
      </c>
      <c r="AT169" s="512">
        <f>IFERROR(__xludf.DUMMYFUNCTION("""COMPUTED_VALUE"""),46107.6666666666)</f>
        <v/>
      </c>
      <c r="AU169" s="513">
        <f>IFERROR(__xludf.DUMMYFUNCTION("""COMPUTED_VALUE"""),55.47)</f>
        <v/>
      </c>
      <c r="AW169" s="512">
        <f>IFERROR(__xludf.DUMMYFUNCTION("""COMPUTED_VALUE"""),46107.6666666666)</f>
        <v/>
      </c>
      <c r="AX169" s="513">
        <f>IFERROR(__xludf.DUMMYFUNCTION("""COMPUTED_VALUE"""),98.55)</f>
        <v/>
      </c>
      <c r="AZ169" s="512">
        <f>IFERROR(__xludf.DUMMYFUNCTION("""COMPUTED_VALUE"""),46107.6666666666)</f>
        <v/>
      </c>
      <c r="BA169" s="513">
        <f>IFERROR(__xludf.DUMMYFUNCTION("""COMPUTED_VALUE"""),107.88)</f>
        <v/>
      </c>
      <c r="BC169" s="512">
        <f>IFERROR(__xludf.DUMMYFUNCTION("""COMPUTED_VALUE"""),46107.6666666666)</f>
        <v/>
      </c>
      <c r="BD169" s="513">
        <f>IFERROR(__xludf.DUMMYFUNCTION("""COMPUTED_VALUE"""),94.59)</f>
        <v/>
      </c>
      <c r="BF169" s="512">
        <f>IFERROR(__xludf.DUMMYFUNCTION("""COMPUTED_VALUE"""),46107.6666666666)</f>
        <v/>
      </c>
      <c r="BG169" s="513">
        <f>IFERROR(__xludf.DUMMYFUNCTION("""COMPUTED_VALUE"""),82.22)</f>
        <v/>
      </c>
      <c r="BI169" s="512">
        <f>IFERROR(__xludf.DUMMYFUNCTION("""COMPUTED_VALUE"""),46107.6666666666)</f>
        <v/>
      </c>
      <c r="BJ169" s="513">
        <f>IFERROR(__xludf.DUMMYFUNCTION("""COMPUTED_VALUE"""),86.11)</f>
        <v/>
      </c>
      <c r="BL169" s="512">
        <f>IFERROR(__xludf.DUMMYFUNCTION("""COMPUTED_VALUE"""),46107.6666666666)</f>
        <v/>
      </c>
      <c r="BM169" s="513">
        <f>IFERROR(__xludf.DUMMYFUNCTION("""COMPUTED_VALUE"""),400.64)</f>
        <v/>
      </c>
      <c r="BO169" s="512">
        <f>IFERROR(__xludf.DUMMYFUNCTION("""COMPUTED_VALUE"""),46107.6666666666)</f>
        <v/>
      </c>
      <c r="BP169" s="513">
        <f>IFERROR(__xludf.DUMMYFUNCTION("""COMPUTED_VALUE"""),91.6)</f>
        <v/>
      </c>
    </row>
    <row r="170">
      <c r="A170" s="512">
        <f>IFERROR(__xludf.DUMMYFUNCTION("""COMPUTED_VALUE"""),46108.6666666666)</f>
        <v/>
      </c>
      <c r="B170" s="513">
        <f>IFERROR(__xludf.DUMMYFUNCTION("""COMPUTED_VALUE"""),634.09)</f>
        <v/>
      </c>
      <c r="D170" s="512">
        <f>IFERROR(__xludf.DUMMYFUNCTION("""COMPUTED_VALUE"""),46108.6666666666)</f>
        <v/>
      </c>
      <c r="E170" s="513">
        <f>IFERROR(__xludf.DUMMYFUNCTION("""COMPUTED_VALUE"""),87)</f>
        <v/>
      </c>
      <c r="G170" s="512" t="n"/>
      <c r="H170" s="513" t="n"/>
      <c r="J170" s="512">
        <f>IFERROR(__xludf.DUMMYFUNCTION("""COMPUTED_VALUE"""),46108.6666666666)</f>
        <v/>
      </c>
      <c r="K170" s="513">
        <f>IFERROR(__xludf.DUMMYFUNCTION("""COMPUTED_VALUE"""),81.43)</f>
        <v/>
      </c>
      <c r="M170" s="512">
        <f>IFERROR(__xludf.DUMMYFUNCTION("""COMPUTED_VALUE"""),46108.6666666666)</f>
        <v/>
      </c>
      <c r="N170" s="513">
        <f>IFERROR(__xludf.DUMMYFUNCTION("""COMPUTED_VALUE"""),243.1)</f>
        <v/>
      </c>
      <c r="P170" s="512">
        <f>IFERROR(__xludf.DUMMYFUNCTION("""COMPUTED_VALUE"""),46108.6666666666)</f>
        <v/>
      </c>
      <c r="Q170" s="513">
        <f>IFERROR(__xludf.DUMMYFUNCTION("""COMPUTED_VALUE"""),79.45)</f>
        <v/>
      </c>
      <c r="S170" s="512">
        <f>IFERROR(__xludf.DUMMYFUNCTION("""COMPUTED_VALUE"""),45378.6666666666)</f>
        <v/>
      </c>
      <c r="T170" s="513">
        <f>IFERROR(__xludf.DUMMYFUNCTION("""COMPUTED_VALUE"""),173.31)</f>
        <v/>
      </c>
      <c r="V170" s="512">
        <f>IFERROR(__xludf.DUMMYFUNCTION("""COMPUTED_VALUE"""),46108.6666666666)</f>
        <v/>
      </c>
      <c r="W170" s="513">
        <f>IFERROR(__xludf.DUMMYFUNCTION("""COMPUTED_VALUE"""),29.1)</f>
        <v/>
      </c>
      <c r="Y170" s="512">
        <f>IFERROR(__xludf.DUMMYFUNCTION("""COMPUTED_VALUE"""),46108.6666666666)</f>
        <v/>
      </c>
      <c r="Z170" s="513">
        <f>IFERROR(__xludf.DUMMYFUNCTION("""COMPUTED_VALUE"""),73.11)</f>
        <v/>
      </c>
      <c r="AB170" s="512">
        <f>IFERROR(__xludf.DUMMYFUNCTION("""COMPUTED_VALUE"""),46108.6666666666)</f>
        <v/>
      </c>
      <c r="AC170" s="513">
        <f>IFERROR(__xludf.DUMMYFUNCTION("""COMPUTED_VALUE"""),52.49)</f>
        <v/>
      </c>
      <c r="AE170" s="512">
        <f>IFERROR(__xludf.DUMMYFUNCTION("""COMPUTED_VALUE"""),46108.6666666666)</f>
        <v/>
      </c>
      <c r="AF170" s="513">
        <f>IFERROR(__xludf.DUMMYFUNCTION("""COMPUTED_VALUE"""),92.95)</f>
        <v/>
      </c>
      <c r="AH170" s="512">
        <f>IFERROR(__xludf.DUMMYFUNCTION("""COMPUTED_VALUE"""),46108.6666666666)</f>
        <v/>
      </c>
      <c r="AI170" s="513">
        <f>IFERROR(__xludf.DUMMYFUNCTION("""COMPUTED_VALUE"""),21.73)</f>
        <v/>
      </c>
      <c r="AK170" s="512">
        <f>IFERROR(__xludf.DUMMYFUNCTION("""COMPUTED_VALUE"""),46108.6666666666)</f>
        <v/>
      </c>
      <c r="AL170" s="513">
        <f>IFERROR(__xludf.DUMMYFUNCTION("""COMPUTED_VALUE"""),78.72)</f>
        <v/>
      </c>
      <c r="AN170" s="512">
        <f>IFERROR(__xludf.DUMMYFUNCTION("""COMPUTED_VALUE"""),46108.6666666666)</f>
        <v/>
      </c>
      <c r="AO170" s="513">
        <f>IFERROR(__xludf.DUMMYFUNCTION("""COMPUTED_VALUE"""),109.67)</f>
        <v/>
      </c>
      <c r="AQ170" s="512">
        <f>IFERROR(__xludf.DUMMYFUNCTION("""COMPUTED_VALUE"""),46108.6666666666)</f>
        <v/>
      </c>
      <c r="AR170" s="513">
        <f>IFERROR(__xludf.DUMMYFUNCTION("""COMPUTED_VALUE"""),93.8)</f>
        <v/>
      </c>
      <c r="AT170" s="512">
        <f>IFERROR(__xludf.DUMMYFUNCTION("""COMPUTED_VALUE"""),46108.6666666666)</f>
        <v/>
      </c>
      <c r="AU170" s="513">
        <f>IFERROR(__xludf.DUMMYFUNCTION("""COMPUTED_VALUE"""),55.2)</f>
        <v/>
      </c>
      <c r="AW170" s="512">
        <f>IFERROR(__xludf.DUMMYFUNCTION("""COMPUTED_VALUE"""),46108.6666666666)</f>
        <v/>
      </c>
      <c r="AX170" s="513">
        <f>IFERROR(__xludf.DUMMYFUNCTION("""COMPUTED_VALUE"""),98.54)</f>
        <v/>
      </c>
      <c r="AZ170" s="512">
        <f>IFERROR(__xludf.DUMMYFUNCTION("""COMPUTED_VALUE"""),46108.6666666666)</f>
        <v/>
      </c>
      <c r="BA170" s="513">
        <f>IFERROR(__xludf.DUMMYFUNCTION("""COMPUTED_VALUE"""),107.62)</f>
        <v/>
      </c>
      <c r="BC170" s="512">
        <f>IFERROR(__xludf.DUMMYFUNCTION("""COMPUTED_VALUE"""),46108.6666666666)</f>
        <v/>
      </c>
      <c r="BD170" s="513">
        <f>IFERROR(__xludf.DUMMYFUNCTION("""COMPUTED_VALUE"""),94.6)</f>
        <v/>
      </c>
      <c r="BF170" s="512">
        <f>IFERROR(__xludf.DUMMYFUNCTION("""COMPUTED_VALUE"""),46108.6666666666)</f>
        <v/>
      </c>
      <c r="BG170" s="513">
        <f>IFERROR(__xludf.DUMMYFUNCTION("""COMPUTED_VALUE"""),82.39)</f>
        <v/>
      </c>
      <c r="BI170" s="512">
        <f>IFERROR(__xludf.DUMMYFUNCTION("""COMPUTED_VALUE"""),46108.6666666666)</f>
        <v/>
      </c>
      <c r="BJ170" s="513">
        <f>IFERROR(__xludf.DUMMYFUNCTION("""COMPUTED_VALUE"""),85.64)</f>
        <v/>
      </c>
      <c r="BL170" s="512">
        <f>IFERROR(__xludf.DUMMYFUNCTION("""COMPUTED_VALUE"""),46108.6666666666)</f>
        <v/>
      </c>
      <c r="BM170" s="513">
        <f>IFERROR(__xludf.DUMMYFUNCTION("""COMPUTED_VALUE"""),414.7)</f>
        <v/>
      </c>
      <c r="BO170" s="512">
        <f>IFERROR(__xludf.DUMMYFUNCTION("""COMPUTED_VALUE"""),46108.6666666666)</f>
        <v/>
      </c>
      <c r="BP170" s="513">
        <f>IFERROR(__xludf.DUMMYFUNCTION("""COMPUTED_VALUE"""),91.63)</f>
        <v/>
      </c>
    </row>
    <row r="171">
      <c r="A171" s="512">
        <f>IFERROR(__xludf.DUMMYFUNCTION("""COMPUTED_VALUE"""),46111.6666666666)</f>
        <v/>
      </c>
      <c r="B171" s="513">
        <f>IFERROR(__xludf.DUMMYFUNCTION("""COMPUTED_VALUE"""),631.97)</f>
        <v/>
      </c>
      <c r="D171" s="512">
        <f>IFERROR(__xludf.DUMMYFUNCTION("""COMPUTED_VALUE"""),46111.6666666666)</f>
        <v/>
      </c>
      <c r="E171" s="513">
        <f>IFERROR(__xludf.DUMMYFUNCTION("""COMPUTED_VALUE"""),87.33)</f>
        <v/>
      </c>
      <c r="G171" s="512" t="n"/>
      <c r="H171" s="513" t="n"/>
      <c r="J171" s="512">
        <f>IFERROR(__xludf.DUMMYFUNCTION("""COMPUTED_VALUE"""),46111.6666666666)</f>
        <v/>
      </c>
      <c r="K171" s="513">
        <f>IFERROR(__xludf.DUMMYFUNCTION("""COMPUTED_VALUE"""),81.52)</f>
        <v/>
      </c>
      <c r="M171" s="512">
        <f>IFERROR(__xludf.DUMMYFUNCTION("""COMPUTED_VALUE"""),46111.6666666666)</f>
        <v/>
      </c>
      <c r="N171" s="513">
        <f>IFERROR(__xludf.DUMMYFUNCTION("""COMPUTED_VALUE"""),239.61)</f>
        <v/>
      </c>
      <c r="P171" s="512">
        <f>IFERROR(__xludf.DUMMYFUNCTION("""COMPUTED_VALUE"""),46111.6666666666)</f>
        <v/>
      </c>
      <c r="Q171" s="513">
        <f>IFERROR(__xludf.DUMMYFUNCTION("""COMPUTED_VALUE"""),79.87)</f>
        <v/>
      </c>
      <c r="S171" s="512">
        <f>IFERROR(__xludf.DUMMYFUNCTION("""COMPUTED_VALUE"""),45379.6666666666)</f>
        <v/>
      </c>
      <c r="T171" s="513">
        <f>IFERROR(__xludf.DUMMYFUNCTION("""COMPUTED_VALUE"""),171.48)</f>
        <v/>
      </c>
      <c r="V171" s="512">
        <f>IFERROR(__xludf.DUMMYFUNCTION("""COMPUTED_VALUE"""),46111.6666666666)</f>
        <v/>
      </c>
      <c r="W171" s="513">
        <f>IFERROR(__xludf.DUMMYFUNCTION("""COMPUTED_VALUE"""),29.26)</f>
        <v/>
      </c>
      <c r="Y171" s="512">
        <f>IFERROR(__xludf.DUMMYFUNCTION("""COMPUTED_VALUE"""),46111.6666666666)</f>
        <v/>
      </c>
      <c r="Z171" s="513">
        <f>IFERROR(__xludf.DUMMYFUNCTION("""COMPUTED_VALUE"""),73.48)</f>
        <v/>
      </c>
      <c r="AB171" s="512">
        <f>IFERROR(__xludf.DUMMYFUNCTION("""COMPUTED_VALUE"""),46111.6666666666)</f>
        <v/>
      </c>
      <c r="AC171" s="513">
        <f>IFERROR(__xludf.DUMMYFUNCTION("""COMPUTED_VALUE"""),52.42)</f>
        <v/>
      </c>
      <c r="AE171" s="512">
        <f>IFERROR(__xludf.DUMMYFUNCTION("""COMPUTED_VALUE"""),46111.6666666666)</f>
        <v/>
      </c>
      <c r="AF171" s="513">
        <f>IFERROR(__xludf.DUMMYFUNCTION("""COMPUTED_VALUE"""),93.11)</f>
        <v/>
      </c>
      <c r="AH171" s="512">
        <f>IFERROR(__xludf.DUMMYFUNCTION("""COMPUTED_VALUE"""),46111.6666666666)</f>
        <v/>
      </c>
      <c r="AI171" s="513">
        <f>IFERROR(__xludf.DUMMYFUNCTION("""COMPUTED_VALUE"""),21.72)</f>
        <v/>
      </c>
      <c r="AK171" s="512">
        <f>IFERROR(__xludf.DUMMYFUNCTION("""COMPUTED_VALUE"""),46111.6666666666)</f>
        <v/>
      </c>
      <c r="AL171" s="513">
        <f>IFERROR(__xludf.DUMMYFUNCTION("""COMPUTED_VALUE"""),78.81)</f>
        <v/>
      </c>
      <c r="AN171" s="512">
        <f>IFERROR(__xludf.DUMMYFUNCTION("""COMPUTED_VALUE"""),46111.6666666666)</f>
        <v/>
      </c>
      <c r="AO171" s="513">
        <f>IFERROR(__xludf.DUMMYFUNCTION("""COMPUTED_VALUE"""),110.35)</f>
        <v/>
      </c>
      <c r="AQ171" s="512">
        <f>IFERROR(__xludf.DUMMYFUNCTION("""COMPUTED_VALUE"""),46111.6666666666)</f>
        <v/>
      </c>
      <c r="AR171" s="513">
        <f>IFERROR(__xludf.DUMMYFUNCTION("""COMPUTED_VALUE"""),94.07)</f>
        <v/>
      </c>
      <c r="AT171" s="512">
        <f>IFERROR(__xludf.DUMMYFUNCTION("""COMPUTED_VALUE"""),46111.6666666666)</f>
        <v/>
      </c>
      <c r="AU171" s="513">
        <f>IFERROR(__xludf.DUMMYFUNCTION("""COMPUTED_VALUE"""),54.75)</f>
        <v/>
      </c>
      <c r="AW171" s="512">
        <f>IFERROR(__xludf.DUMMYFUNCTION("""COMPUTED_VALUE"""),46111.6666666666)</f>
        <v/>
      </c>
      <c r="AX171" s="513">
        <f>IFERROR(__xludf.DUMMYFUNCTION("""COMPUTED_VALUE"""),99.04)</f>
        <v/>
      </c>
      <c r="AZ171" s="512">
        <f>IFERROR(__xludf.DUMMYFUNCTION("""COMPUTED_VALUE"""),46111.6666666666)</f>
        <v/>
      </c>
      <c r="BA171" s="513">
        <f>IFERROR(__xludf.DUMMYFUNCTION("""COMPUTED_VALUE"""),108.31)</f>
        <v/>
      </c>
      <c r="BC171" s="512">
        <f>IFERROR(__xludf.DUMMYFUNCTION("""COMPUTED_VALUE"""),46111.6666666666)</f>
        <v/>
      </c>
      <c r="BD171" s="513">
        <f>IFERROR(__xludf.DUMMYFUNCTION("""COMPUTED_VALUE"""),95.27)</f>
        <v/>
      </c>
      <c r="BF171" s="512">
        <f>IFERROR(__xludf.DUMMYFUNCTION("""COMPUTED_VALUE"""),46111.6666666666)</f>
        <v/>
      </c>
      <c r="BG171" s="513">
        <f>IFERROR(__xludf.DUMMYFUNCTION("""COMPUTED_VALUE"""),82.5)</f>
        <v/>
      </c>
      <c r="BI171" s="512">
        <f>IFERROR(__xludf.DUMMYFUNCTION("""COMPUTED_VALUE"""),46111.6666666666)</f>
        <v/>
      </c>
      <c r="BJ171" s="513">
        <f>IFERROR(__xludf.DUMMYFUNCTION("""COMPUTED_VALUE"""),86.78)</f>
        <v/>
      </c>
      <c r="BL171" s="512">
        <f>IFERROR(__xludf.DUMMYFUNCTION("""COMPUTED_VALUE"""),46111.6666666666)</f>
        <v/>
      </c>
      <c r="BM171" s="513">
        <f>IFERROR(__xludf.DUMMYFUNCTION("""COMPUTED_VALUE"""),414.58)</f>
        <v/>
      </c>
      <c r="BO171" s="512">
        <f>IFERROR(__xludf.DUMMYFUNCTION("""COMPUTED_VALUE"""),46111.6666666666)</f>
        <v/>
      </c>
      <c r="BP171" s="513">
        <f>IFERROR(__xludf.DUMMYFUNCTION("""COMPUTED_VALUE"""),91.64)</f>
        <v/>
      </c>
    </row>
    <row r="172">
      <c r="A172" s="512">
        <f>IFERROR(__xludf.DUMMYFUNCTION("""COMPUTED_VALUE"""),46112.6666666666)</f>
        <v/>
      </c>
      <c r="B172" s="513">
        <f>IFERROR(__xludf.DUMMYFUNCTION("""COMPUTED_VALUE"""),650.34)</f>
        <v/>
      </c>
      <c r="D172" s="512">
        <f>IFERROR(__xludf.DUMMYFUNCTION("""COMPUTED_VALUE"""),46112.6666666666)</f>
        <v/>
      </c>
      <c r="E172" s="513">
        <f>IFERROR(__xludf.DUMMYFUNCTION("""COMPUTED_VALUE"""),88.7)</f>
        <v/>
      </c>
      <c r="G172" s="512" t="n"/>
      <c r="H172" s="513" t="n"/>
      <c r="J172" s="512">
        <f>IFERROR(__xludf.DUMMYFUNCTION("""COMPUTED_VALUE"""),46112.6666666666)</f>
        <v/>
      </c>
      <c r="K172" s="513">
        <f>IFERROR(__xludf.DUMMYFUNCTION("""COMPUTED_VALUE"""),84.44)</f>
        <v/>
      </c>
      <c r="M172" s="512">
        <f>IFERROR(__xludf.DUMMYFUNCTION("""COMPUTED_VALUE"""),46112.6666666666)</f>
        <v/>
      </c>
      <c r="N172" s="513">
        <f>IFERROR(__xludf.DUMMYFUNCTION("""COMPUTED_VALUE"""),248)</f>
        <v/>
      </c>
      <c r="P172" s="512">
        <f>IFERROR(__xludf.DUMMYFUNCTION("""COMPUTED_VALUE"""),46112.6666666666)</f>
        <v/>
      </c>
      <c r="Q172" s="513">
        <f>IFERROR(__xludf.DUMMYFUNCTION("""COMPUTED_VALUE"""),82.43)</f>
        <v/>
      </c>
      <c r="S172" s="512">
        <f>IFERROR(__xludf.DUMMYFUNCTION("""COMPUTED_VALUE"""),45383.6666666666)</f>
        <v/>
      </c>
      <c r="T172" s="513">
        <f>IFERROR(__xludf.DUMMYFUNCTION("""COMPUTED_VALUE"""),170.03)</f>
        <v/>
      </c>
      <c r="V172" s="512">
        <f>IFERROR(__xludf.DUMMYFUNCTION("""COMPUTED_VALUE"""),46112.6666666666)</f>
        <v/>
      </c>
      <c r="W172" s="513">
        <f>IFERROR(__xludf.DUMMYFUNCTION("""COMPUTED_VALUE"""),28.95)</f>
        <v/>
      </c>
      <c r="Y172" s="512">
        <f>IFERROR(__xludf.DUMMYFUNCTION("""COMPUTED_VALUE"""),46112.6666666666)</f>
        <v/>
      </c>
      <c r="Z172" s="513">
        <f>IFERROR(__xludf.DUMMYFUNCTION("""COMPUTED_VALUE"""),73.64)</f>
        <v/>
      </c>
      <c r="AB172" s="512">
        <f>IFERROR(__xludf.DUMMYFUNCTION("""COMPUTED_VALUE"""),46112.6666666666)</f>
        <v/>
      </c>
      <c r="AC172" s="513">
        <f>IFERROR(__xludf.DUMMYFUNCTION("""COMPUTED_VALUE"""),54.05)</f>
        <v/>
      </c>
      <c r="AE172" s="512">
        <f>IFERROR(__xludf.DUMMYFUNCTION("""COMPUTED_VALUE"""),46112.6666666666)</f>
        <v/>
      </c>
      <c r="AF172" s="513">
        <f>IFERROR(__xludf.DUMMYFUNCTION("""COMPUTED_VALUE"""),93.93)</f>
        <v/>
      </c>
      <c r="AH172" s="512">
        <f>IFERROR(__xludf.DUMMYFUNCTION("""COMPUTED_VALUE"""),46112.6666666666)</f>
        <v/>
      </c>
      <c r="AI172" s="513">
        <f>IFERROR(__xludf.DUMMYFUNCTION("""COMPUTED_VALUE"""),21.95)</f>
        <v/>
      </c>
      <c r="AK172" s="512">
        <f>IFERROR(__xludf.DUMMYFUNCTION("""COMPUTED_VALUE"""),46112.6666666666)</f>
        <v/>
      </c>
      <c r="AL172" s="513">
        <f>IFERROR(__xludf.DUMMYFUNCTION("""COMPUTED_VALUE"""),79.56)</f>
        <v/>
      </c>
      <c r="AN172" s="512">
        <f>IFERROR(__xludf.DUMMYFUNCTION("""COMPUTED_VALUE"""),46112.6666666666)</f>
        <v/>
      </c>
      <c r="AO172" s="513">
        <f>IFERROR(__xludf.DUMMYFUNCTION("""COMPUTED_VALUE"""),110.36)</f>
        <v/>
      </c>
      <c r="AQ172" s="512">
        <f>IFERROR(__xludf.DUMMYFUNCTION("""COMPUTED_VALUE"""),46112.6666666666)</f>
        <v/>
      </c>
      <c r="AR172" s="513">
        <f>IFERROR(__xludf.DUMMYFUNCTION("""COMPUTED_VALUE"""),97.13)</f>
        <v/>
      </c>
      <c r="AT172" s="512">
        <f>IFERROR(__xludf.DUMMYFUNCTION("""COMPUTED_VALUE"""),46112.6666666666)</f>
        <v/>
      </c>
      <c r="AU172" s="513">
        <f>IFERROR(__xludf.DUMMYFUNCTION("""COMPUTED_VALUE"""),56.79)</f>
        <v/>
      </c>
      <c r="AW172" s="512">
        <f>IFERROR(__xludf.DUMMYFUNCTION("""COMPUTED_VALUE"""),46112.6666666666)</f>
        <v/>
      </c>
      <c r="AX172" s="513">
        <f>IFERROR(__xludf.DUMMYFUNCTION("""COMPUTED_VALUE"""),99.27)</f>
        <v/>
      </c>
      <c r="AZ172" s="512">
        <f>IFERROR(__xludf.DUMMYFUNCTION("""COMPUTED_VALUE"""),46112.6666666666)</f>
        <v/>
      </c>
      <c r="BA172" s="513">
        <f>IFERROR(__xludf.DUMMYFUNCTION("""COMPUTED_VALUE"""),108.99)</f>
        <v/>
      </c>
      <c r="BC172" s="512">
        <f>IFERROR(__xludf.DUMMYFUNCTION("""COMPUTED_VALUE"""),46112.6666666666)</f>
        <v/>
      </c>
      <c r="BD172" s="513">
        <f>IFERROR(__xludf.DUMMYFUNCTION("""COMPUTED_VALUE"""),95.44)</f>
        <v/>
      </c>
      <c r="BF172" s="512">
        <f>IFERROR(__xludf.DUMMYFUNCTION("""COMPUTED_VALUE"""),46112.6666666666)</f>
        <v/>
      </c>
      <c r="BG172" s="513">
        <f>IFERROR(__xludf.DUMMYFUNCTION("""COMPUTED_VALUE"""),82.57)</f>
        <v/>
      </c>
      <c r="BI172" s="512">
        <f>IFERROR(__xludf.DUMMYFUNCTION("""COMPUTED_VALUE"""),46112.6666666666)</f>
        <v/>
      </c>
      <c r="BJ172" s="513">
        <f>IFERROR(__xludf.DUMMYFUNCTION("""COMPUTED_VALUE"""),86.69)</f>
        <v/>
      </c>
      <c r="BL172" s="512">
        <f>IFERROR(__xludf.DUMMYFUNCTION("""COMPUTED_VALUE"""),46112.6666666666)</f>
        <v/>
      </c>
      <c r="BM172" s="513">
        <f>IFERROR(__xludf.DUMMYFUNCTION("""COMPUTED_VALUE"""),430.29)</f>
        <v/>
      </c>
      <c r="BO172" s="512">
        <f>IFERROR(__xludf.DUMMYFUNCTION("""COMPUTED_VALUE"""),46112.6666666666)</f>
        <v/>
      </c>
      <c r="BP172" s="513">
        <f>IFERROR(__xludf.DUMMYFUNCTION("""COMPUTED_VALUE"""),91.64)</f>
        <v/>
      </c>
    </row>
    <row r="173">
      <c r="A173" s="512">
        <f>IFERROR(__xludf.DUMMYFUNCTION("""COMPUTED_VALUE"""),46113.6666666666)</f>
        <v/>
      </c>
      <c r="B173" s="513">
        <f>IFERROR(__xludf.DUMMYFUNCTION("""COMPUTED_VALUE"""),655.24)</f>
        <v/>
      </c>
      <c r="D173" s="512">
        <f>IFERROR(__xludf.DUMMYFUNCTION("""COMPUTED_VALUE"""),46113.6666666666)</f>
        <v/>
      </c>
      <c r="E173" s="513">
        <f>IFERROR(__xludf.DUMMYFUNCTION("""COMPUTED_VALUE"""),89.02)</f>
        <v/>
      </c>
      <c r="G173" s="512" t="n"/>
      <c r="H173" s="513" t="n"/>
      <c r="J173" s="512">
        <f>IFERROR(__xludf.DUMMYFUNCTION("""COMPUTED_VALUE"""),46113.6666666666)</f>
        <v/>
      </c>
      <c r="K173" s="513">
        <f>IFERROR(__xludf.DUMMYFUNCTION("""COMPUTED_VALUE"""),86.48)</f>
        <v/>
      </c>
      <c r="M173" s="512">
        <f>IFERROR(__xludf.DUMMYFUNCTION("""COMPUTED_VALUE"""),46113.6666666666)</f>
        <v/>
      </c>
      <c r="N173" s="513">
        <f>IFERROR(__xludf.DUMMYFUNCTION("""COMPUTED_VALUE"""),249.56)</f>
        <v/>
      </c>
      <c r="P173" s="512">
        <f>IFERROR(__xludf.DUMMYFUNCTION("""COMPUTED_VALUE"""),46113.6666666666)</f>
        <v/>
      </c>
      <c r="Q173" s="513">
        <f>IFERROR(__xludf.DUMMYFUNCTION("""COMPUTED_VALUE"""),83.62)</f>
        <v/>
      </c>
      <c r="S173" s="512">
        <f>IFERROR(__xludf.DUMMYFUNCTION("""COMPUTED_VALUE"""),45384.6666666666)</f>
        <v/>
      </c>
      <c r="T173" s="513">
        <f>IFERROR(__xludf.DUMMYFUNCTION("""COMPUTED_VALUE"""),168.84)</f>
        <v/>
      </c>
      <c r="V173" s="512">
        <f>IFERROR(__xludf.DUMMYFUNCTION("""COMPUTED_VALUE"""),46113.6666666666)</f>
        <v/>
      </c>
      <c r="W173" s="513">
        <f>IFERROR(__xludf.DUMMYFUNCTION("""COMPUTED_VALUE"""),28.68)</f>
        <v/>
      </c>
      <c r="Y173" s="512">
        <f>IFERROR(__xludf.DUMMYFUNCTION("""COMPUTED_VALUE"""),46113.6666666666)</f>
        <v/>
      </c>
      <c r="Z173" s="513">
        <f>IFERROR(__xludf.DUMMYFUNCTION("""COMPUTED_VALUE"""),73.42)</f>
        <v/>
      </c>
      <c r="AB173" s="512">
        <f>IFERROR(__xludf.DUMMYFUNCTION("""COMPUTED_VALUE"""),46113.6666666666)</f>
        <v/>
      </c>
      <c r="AC173" s="513">
        <f>IFERROR(__xludf.DUMMYFUNCTION("""COMPUTED_VALUE"""),54.21)</f>
        <v/>
      </c>
      <c r="AE173" s="512">
        <f>IFERROR(__xludf.DUMMYFUNCTION("""COMPUTED_VALUE"""),46113.6666666666)</f>
        <v/>
      </c>
      <c r="AF173" s="513">
        <f>IFERROR(__xludf.DUMMYFUNCTION("""COMPUTED_VALUE"""),93.86)</f>
        <v/>
      </c>
      <c r="AH173" s="512">
        <f>IFERROR(__xludf.DUMMYFUNCTION("""COMPUTED_VALUE"""),46113.6666666666)</f>
        <v/>
      </c>
      <c r="AI173" s="513">
        <f>IFERROR(__xludf.DUMMYFUNCTION("""COMPUTED_VALUE"""),21.96)</f>
        <v/>
      </c>
      <c r="AK173" s="512">
        <f>IFERROR(__xludf.DUMMYFUNCTION("""COMPUTED_VALUE"""),46113.6666666666)</f>
        <v/>
      </c>
      <c r="AL173" s="513">
        <f>IFERROR(__xludf.DUMMYFUNCTION("""COMPUTED_VALUE"""),79.37)</f>
        <v/>
      </c>
      <c r="AN173" s="512">
        <f>IFERROR(__xludf.DUMMYFUNCTION("""COMPUTED_VALUE"""),46113.6666666666)</f>
        <v/>
      </c>
      <c r="AO173" s="513">
        <f>IFERROR(__xludf.DUMMYFUNCTION("""COMPUTED_VALUE"""),110.36)</f>
        <v/>
      </c>
      <c r="AQ173" s="512">
        <f>IFERROR(__xludf.DUMMYFUNCTION("""COMPUTED_VALUE"""),46113.6666666666)</f>
        <v/>
      </c>
      <c r="AR173" s="513">
        <f>IFERROR(__xludf.DUMMYFUNCTION("""COMPUTED_VALUE"""),98.61)</f>
        <v/>
      </c>
      <c r="AT173" s="512">
        <f>IFERROR(__xludf.DUMMYFUNCTION("""COMPUTED_VALUE"""),46113.6666666666)</f>
        <v/>
      </c>
      <c r="AU173" s="513">
        <f>IFERROR(__xludf.DUMMYFUNCTION("""COMPUTED_VALUE"""),57.23)</f>
        <v/>
      </c>
      <c r="AW173" s="512">
        <f>IFERROR(__xludf.DUMMYFUNCTION("""COMPUTED_VALUE"""),46113.6666666666)</f>
        <v/>
      </c>
      <c r="AX173" s="513">
        <f>IFERROR(__xludf.DUMMYFUNCTION("""COMPUTED_VALUE"""),99)</f>
        <v/>
      </c>
      <c r="AZ173" s="512">
        <f>IFERROR(__xludf.DUMMYFUNCTION("""COMPUTED_VALUE"""),46113.6666666666)</f>
        <v/>
      </c>
      <c r="BA173" s="513">
        <f>IFERROR(__xludf.DUMMYFUNCTION("""COMPUTED_VALUE"""),108.66)</f>
        <v/>
      </c>
      <c r="BC173" s="512">
        <f>IFERROR(__xludf.DUMMYFUNCTION("""COMPUTED_VALUE"""),46113.6666666666)</f>
        <v/>
      </c>
      <c r="BD173" s="513">
        <f>IFERROR(__xludf.DUMMYFUNCTION("""COMPUTED_VALUE"""),95.04)</f>
        <v/>
      </c>
      <c r="BF173" s="512">
        <f>IFERROR(__xludf.DUMMYFUNCTION("""COMPUTED_VALUE"""),46113.6666666666)</f>
        <v/>
      </c>
      <c r="BG173" s="513">
        <f>IFERROR(__xludf.DUMMYFUNCTION("""COMPUTED_VALUE"""),82.32)</f>
        <v/>
      </c>
      <c r="BI173" s="512">
        <f>IFERROR(__xludf.DUMMYFUNCTION("""COMPUTED_VALUE"""),46113.6666666666)</f>
        <v/>
      </c>
      <c r="BJ173" s="513">
        <f>IFERROR(__xludf.DUMMYFUNCTION("""COMPUTED_VALUE"""),86.26)</f>
        <v/>
      </c>
      <c r="BL173" s="512">
        <f>IFERROR(__xludf.DUMMYFUNCTION("""COMPUTED_VALUE"""),46113.6666666666)</f>
        <v/>
      </c>
      <c r="BM173" s="513">
        <f>IFERROR(__xludf.DUMMYFUNCTION("""COMPUTED_VALUE"""),437.82)</f>
        <v/>
      </c>
      <c r="BO173" s="512">
        <f>IFERROR(__xludf.DUMMYFUNCTION("""COMPUTED_VALUE"""),46113.6666666666)</f>
        <v/>
      </c>
      <c r="BP173" s="513">
        <f>IFERROR(__xludf.DUMMYFUNCTION("""COMPUTED_VALUE"""),91.4)</f>
        <v/>
      </c>
    </row>
    <row r="174">
      <c r="A174" s="512">
        <f>IFERROR(__xludf.DUMMYFUNCTION("""COMPUTED_VALUE"""),46114.6666666666)</f>
        <v/>
      </c>
      <c r="B174" s="513">
        <f>IFERROR(__xludf.DUMMYFUNCTION("""COMPUTED_VALUE"""),655.83)</f>
        <v/>
      </c>
      <c r="D174" s="512">
        <f>IFERROR(__xludf.DUMMYFUNCTION("""COMPUTED_VALUE"""),46114.6666666666)</f>
        <v/>
      </c>
      <c r="E174" s="513">
        <f>IFERROR(__xludf.DUMMYFUNCTION("""COMPUTED_VALUE"""),90.23)</f>
        <v/>
      </c>
      <c r="G174" s="512" t="n"/>
      <c r="H174" s="513" t="n"/>
      <c r="J174" s="512">
        <f>IFERROR(__xludf.DUMMYFUNCTION("""COMPUTED_VALUE"""),46114.6666666666)</f>
        <v/>
      </c>
      <c r="K174" s="513">
        <f>IFERROR(__xludf.DUMMYFUNCTION("""COMPUTED_VALUE"""),85.29)</f>
        <v/>
      </c>
      <c r="M174" s="512">
        <f>IFERROR(__xludf.DUMMYFUNCTION("""COMPUTED_VALUE"""),46114.6666666666)</f>
        <v/>
      </c>
      <c r="N174" s="513">
        <f>IFERROR(__xludf.DUMMYFUNCTION("""COMPUTED_VALUE"""),251.29)</f>
        <v/>
      </c>
      <c r="P174" s="512">
        <f>IFERROR(__xludf.DUMMYFUNCTION("""COMPUTED_VALUE"""),46114.6666666666)</f>
        <v/>
      </c>
      <c r="Q174" s="513">
        <f>IFERROR(__xludf.DUMMYFUNCTION("""COMPUTED_VALUE"""),83.22)</f>
        <v/>
      </c>
      <c r="S174" s="512">
        <f>IFERROR(__xludf.DUMMYFUNCTION("""COMPUTED_VALUE"""),45385.6666666666)</f>
        <v/>
      </c>
      <c r="T174" s="513">
        <f>IFERROR(__xludf.DUMMYFUNCTION("""COMPUTED_VALUE"""),169.65)</f>
        <v/>
      </c>
      <c r="V174" s="512">
        <f>IFERROR(__xludf.DUMMYFUNCTION("""COMPUTED_VALUE"""),46114.6666666666)</f>
        <v/>
      </c>
      <c r="W174" s="513">
        <f>IFERROR(__xludf.DUMMYFUNCTION("""COMPUTED_VALUE"""),29.33)</f>
        <v/>
      </c>
      <c r="Y174" s="512">
        <f>IFERROR(__xludf.DUMMYFUNCTION("""COMPUTED_VALUE"""),46114.6666666666)</f>
        <v/>
      </c>
      <c r="Z174" s="513">
        <f>IFERROR(__xludf.DUMMYFUNCTION("""COMPUTED_VALUE"""),73.58)</f>
        <v/>
      </c>
      <c r="AB174" s="512">
        <f>IFERROR(__xludf.DUMMYFUNCTION("""COMPUTED_VALUE"""),46114.6666666666)</f>
        <v/>
      </c>
      <c r="AC174" s="513">
        <f>IFERROR(__xludf.DUMMYFUNCTION("""COMPUTED_VALUE"""),53.82)</f>
        <v/>
      </c>
      <c r="AE174" s="512">
        <f>IFERROR(__xludf.DUMMYFUNCTION("""COMPUTED_VALUE"""),46114.6666666666)</f>
        <v/>
      </c>
      <c r="AF174" s="513">
        <f>IFERROR(__xludf.DUMMYFUNCTION("""COMPUTED_VALUE"""),93.97)</f>
        <v/>
      </c>
      <c r="AH174" s="512">
        <f>IFERROR(__xludf.DUMMYFUNCTION("""COMPUTED_VALUE"""),46114.6666666666)</f>
        <v/>
      </c>
      <c r="AI174" s="513">
        <f>IFERROR(__xludf.DUMMYFUNCTION("""COMPUTED_VALUE"""),21.88)</f>
        <v/>
      </c>
      <c r="AK174" s="512">
        <f>IFERROR(__xludf.DUMMYFUNCTION("""COMPUTED_VALUE"""),46114.6666666666)</f>
        <v/>
      </c>
      <c r="AL174" s="513">
        <f>IFERROR(__xludf.DUMMYFUNCTION("""COMPUTED_VALUE"""),79.56)</f>
        <v/>
      </c>
      <c r="AN174" s="512">
        <f>IFERROR(__xludf.DUMMYFUNCTION("""COMPUTED_VALUE"""),46114.6666666666)</f>
        <v/>
      </c>
      <c r="AO174" s="513">
        <f>IFERROR(__xludf.DUMMYFUNCTION("""COMPUTED_VALUE"""),110.81)</f>
        <v/>
      </c>
      <c r="AQ174" s="512">
        <f>IFERROR(__xludf.DUMMYFUNCTION("""COMPUTED_VALUE"""),46114.6666666666)</f>
        <v/>
      </c>
      <c r="AR174" s="513">
        <f>IFERROR(__xludf.DUMMYFUNCTION("""COMPUTED_VALUE"""),98)</f>
        <v/>
      </c>
      <c r="AT174" s="512">
        <f>IFERROR(__xludf.DUMMYFUNCTION("""COMPUTED_VALUE"""),46114.6666666666)</f>
        <v/>
      </c>
      <c r="AU174" s="513">
        <f>IFERROR(__xludf.DUMMYFUNCTION("""COMPUTED_VALUE"""),56.59)</f>
        <v/>
      </c>
      <c r="AW174" s="512">
        <f>IFERROR(__xludf.DUMMYFUNCTION("""COMPUTED_VALUE"""),46114.6666666666)</f>
        <v/>
      </c>
      <c r="AX174" s="513">
        <f>IFERROR(__xludf.DUMMYFUNCTION("""COMPUTED_VALUE"""),99.23)</f>
        <v/>
      </c>
      <c r="AZ174" s="512">
        <f>IFERROR(__xludf.DUMMYFUNCTION("""COMPUTED_VALUE"""),46114.6666666666)</f>
        <v/>
      </c>
      <c r="BA174" s="513">
        <f>IFERROR(__xludf.DUMMYFUNCTION("""COMPUTED_VALUE"""),109.12)</f>
        <v/>
      </c>
      <c r="BC174" s="512">
        <f>IFERROR(__xludf.DUMMYFUNCTION("""COMPUTED_VALUE"""),46114.6666666666)</f>
        <v/>
      </c>
      <c r="BD174" s="513">
        <f>IFERROR(__xludf.DUMMYFUNCTION("""COMPUTED_VALUE"""),95.26)</f>
        <v/>
      </c>
      <c r="BF174" s="512">
        <f>IFERROR(__xludf.DUMMYFUNCTION("""COMPUTED_VALUE"""),46114.6666666666)</f>
        <v/>
      </c>
      <c r="BG174" s="513">
        <f>IFERROR(__xludf.DUMMYFUNCTION("""COMPUTED_VALUE"""),82.36)</f>
        <v/>
      </c>
      <c r="BI174" s="512">
        <f>IFERROR(__xludf.DUMMYFUNCTION("""COMPUTED_VALUE"""),46114.6666666666)</f>
        <v/>
      </c>
      <c r="BJ174" s="513">
        <f>IFERROR(__xludf.DUMMYFUNCTION("""COMPUTED_VALUE"""),86.79)</f>
        <v/>
      </c>
      <c r="BL174" s="512">
        <f>IFERROR(__xludf.DUMMYFUNCTION("""COMPUTED_VALUE"""),46114.6666666666)</f>
        <v/>
      </c>
      <c r="BM174" s="513">
        <f>IFERROR(__xludf.DUMMYFUNCTION("""COMPUTED_VALUE"""),429.41)</f>
        <v/>
      </c>
      <c r="BO174" s="512">
        <f>IFERROR(__xludf.DUMMYFUNCTION("""COMPUTED_VALUE"""),46114.6666666666)</f>
        <v/>
      </c>
      <c r="BP174" s="513">
        <f>IFERROR(__xludf.DUMMYFUNCTION("""COMPUTED_VALUE"""),91.42)</f>
        <v/>
      </c>
    </row>
    <row r="175">
      <c r="A175" s="512">
        <f>IFERROR(__xludf.DUMMYFUNCTION("""COMPUTED_VALUE"""),46118.6666666666)</f>
        <v/>
      </c>
      <c r="B175" s="513">
        <f>IFERROR(__xludf.DUMMYFUNCTION("""COMPUTED_VALUE"""),658.93)</f>
        <v/>
      </c>
      <c r="D175" s="512">
        <f>IFERROR(__xludf.DUMMYFUNCTION("""COMPUTED_VALUE"""),46118.6666666666)</f>
        <v/>
      </c>
      <c r="E175" s="513">
        <f>IFERROR(__xludf.DUMMYFUNCTION("""COMPUTED_VALUE"""),90.36)</f>
        <v/>
      </c>
      <c r="G175" s="512" t="n"/>
      <c r="H175" s="513" t="n"/>
      <c r="J175" s="512">
        <f>IFERROR(__xludf.DUMMYFUNCTION("""COMPUTED_VALUE"""),46118.6666666666)</f>
        <v/>
      </c>
      <c r="K175" s="513">
        <f>IFERROR(__xludf.DUMMYFUNCTION("""COMPUTED_VALUE"""),85.57)</f>
        <v/>
      </c>
      <c r="M175" s="512">
        <f>IFERROR(__xludf.DUMMYFUNCTION("""COMPUTED_VALUE"""),46118.6666666666)</f>
        <v/>
      </c>
      <c r="N175" s="513">
        <f>IFERROR(__xludf.DUMMYFUNCTION("""COMPUTED_VALUE"""),252.36)</f>
        <v/>
      </c>
      <c r="P175" s="512">
        <f>IFERROR(__xludf.DUMMYFUNCTION("""COMPUTED_VALUE"""),46118.6666666666)</f>
        <v/>
      </c>
      <c r="Q175" s="513">
        <f>IFERROR(__xludf.DUMMYFUNCTION("""COMPUTED_VALUE"""),83.78)</f>
        <v/>
      </c>
      <c r="S175" s="512">
        <f>IFERROR(__xludf.DUMMYFUNCTION("""COMPUTED_VALUE"""),45386.6666666666)</f>
        <v/>
      </c>
      <c r="T175" s="513">
        <f>IFERROR(__xludf.DUMMYFUNCTION("""COMPUTED_VALUE"""),168.82)</f>
        <v/>
      </c>
      <c r="V175" s="512">
        <f>IFERROR(__xludf.DUMMYFUNCTION("""COMPUTED_VALUE"""),46118.6666666666)</f>
        <v/>
      </c>
      <c r="W175" s="513">
        <f>IFERROR(__xludf.DUMMYFUNCTION("""COMPUTED_VALUE"""),29.48)</f>
        <v/>
      </c>
      <c r="Y175" s="512">
        <f>IFERROR(__xludf.DUMMYFUNCTION("""COMPUTED_VALUE"""),46118.6666666666)</f>
        <v/>
      </c>
      <c r="Z175" s="513">
        <f>IFERROR(__xludf.DUMMYFUNCTION("""COMPUTED_VALUE"""),73.47)</f>
        <v/>
      </c>
      <c r="AB175" s="512">
        <f>IFERROR(__xludf.DUMMYFUNCTION("""COMPUTED_VALUE"""),46118.6666666666)</f>
        <v/>
      </c>
      <c r="AC175" s="513">
        <f>IFERROR(__xludf.DUMMYFUNCTION("""COMPUTED_VALUE"""),54.01)</f>
        <v/>
      </c>
      <c r="AE175" s="512">
        <f>IFERROR(__xludf.DUMMYFUNCTION("""COMPUTED_VALUE"""),46118.6666666666)</f>
        <v/>
      </c>
      <c r="AF175" s="513">
        <f>IFERROR(__xludf.DUMMYFUNCTION("""COMPUTED_VALUE"""),93.94)</f>
        <v/>
      </c>
      <c r="AH175" s="512">
        <f>IFERROR(__xludf.DUMMYFUNCTION("""COMPUTED_VALUE"""),46118.6666666666)</f>
        <v/>
      </c>
      <c r="AI175" s="513">
        <f>IFERROR(__xludf.DUMMYFUNCTION("""COMPUTED_VALUE"""),21.86)</f>
        <v/>
      </c>
      <c r="AK175" s="512">
        <f>IFERROR(__xludf.DUMMYFUNCTION("""COMPUTED_VALUE"""),46118.6666666666)</f>
        <v/>
      </c>
      <c r="AL175" s="513">
        <f>IFERROR(__xludf.DUMMYFUNCTION("""COMPUTED_VALUE"""),79.7)</f>
        <v/>
      </c>
      <c r="AN175" s="512">
        <f>IFERROR(__xludf.DUMMYFUNCTION("""COMPUTED_VALUE"""),46118.6666666666)</f>
        <v/>
      </c>
      <c r="AO175" s="513">
        <f>IFERROR(__xludf.DUMMYFUNCTION("""COMPUTED_VALUE"""),110.76)</f>
        <v/>
      </c>
      <c r="AQ175" s="512">
        <f>IFERROR(__xludf.DUMMYFUNCTION("""COMPUTED_VALUE"""),46118.6666666666)</f>
        <v/>
      </c>
      <c r="AR175" s="513">
        <f>IFERROR(__xludf.DUMMYFUNCTION("""COMPUTED_VALUE"""),98.49)</f>
        <v/>
      </c>
      <c r="AT175" s="512">
        <f>IFERROR(__xludf.DUMMYFUNCTION("""COMPUTED_VALUE"""),46118.6666666666)</f>
        <v/>
      </c>
      <c r="AU175" s="513">
        <f>IFERROR(__xludf.DUMMYFUNCTION("""COMPUTED_VALUE"""),57.11)</f>
        <v/>
      </c>
      <c r="AW175" s="512">
        <f>IFERROR(__xludf.DUMMYFUNCTION("""COMPUTED_VALUE"""),46118.6666666666)</f>
        <v/>
      </c>
      <c r="AX175" s="513">
        <f>IFERROR(__xludf.DUMMYFUNCTION("""COMPUTED_VALUE"""),99.05)</f>
        <v/>
      </c>
      <c r="AZ175" s="512">
        <f>IFERROR(__xludf.DUMMYFUNCTION("""COMPUTED_VALUE"""),46118.6666666666)</f>
        <v/>
      </c>
      <c r="BA175" s="513">
        <f>IFERROR(__xludf.DUMMYFUNCTION("""COMPUTED_VALUE"""),108.95)</f>
        <v/>
      </c>
      <c r="BC175" s="512">
        <f>IFERROR(__xludf.DUMMYFUNCTION("""COMPUTED_VALUE"""),46118.6666666666)</f>
        <v/>
      </c>
      <c r="BD175" s="513">
        <f>IFERROR(__xludf.DUMMYFUNCTION("""COMPUTED_VALUE"""),95.01)</f>
        <v/>
      </c>
      <c r="BF175" s="512">
        <f>IFERROR(__xludf.DUMMYFUNCTION("""COMPUTED_VALUE"""),46118.6666666666)</f>
        <v/>
      </c>
      <c r="BG175" s="513">
        <f>IFERROR(__xludf.DUMMYFUNCTION("""COMPUTED_VALUE"""),82.28)</f>
        <v/>
      </c>
      <c r="BI175" s="512">
        <f>IFERROR(__xludf.DUMMYFUNCTION("""COMPUTED_VALUE"""),46118.6666666666)</f>
        <v/>
      </c>
      <c r="BJ175" s="513">
        <f>IFERROR(__xludf.DUMMYFUNCTION("""COMPUTED_VALUE"""),86.65)</f>
        <v/>
      </c>
      <c r="BL175" s="512">
        <f>IFERROR(__xludf.DUMMYFUNCTION("""COMPUTED_VALUE"""),46118.6666666666)</f>
        <v/>
      </c>
      <c r="BM175" s="513">
        <f>IFERROR(__xludf.DUMMYFUNCTION("""COMPUTED_VALUE"""),427.65)</f>
        <v/>
      </c>
      <c r="BO175" s="512">
        <f>IFERROR(__xludf.DUMMYFUNCTION("""COMPUTED_VALUE"""),46118.6666666666)</f>
        <v/>
      </c>
      <c r="BP175" s="513">
        <f>IFERROR(__xludf.DUMMYFUNCTION("""COMPUTED_VALUE"""),91.44)</f>
        <v/>
      </c>
    </row>
    <row r="176">
      <c r="A176" s="512">
        <f>IFERROR(__xludf.DUMMYFUNCTION("""COMPUTED_VALUE"""),46119.6666666666)</f>
        <v/>
      </c>
      <c r="B176" s="513">
        <f>IFERROR(__xludf.DUMMYFUNCTION("""COMPUTED_VALUE"""),659.22)</f>
        <v/>
      </c>
      <c r="D176" s="512">
        <f>IFERROR(__xludf.DUMMYFUNCTION("""COMPUTED_VALUE"""),46119.6666666666)</f>
        <v/>
      </c>
      <c r="E176" s="513">
        <f>IFERROR(__xludf.DUMMYFUNCTION("""COMPUTED_VALUE"""),90.49)</f>
        <v/>
      </c>
      <c r="G176" s="512" t="n"/>
      <c r="H176" s="513" t="n"/>
      <c r="J176" s="512">
        <f>IFERROR(__xludf.DUMMYFUNCTION("""COMPUTED_VALUE"""),46119.6666666666)</f>
        <v/>
      </c>
      <c r="K176" s="513">
        <f>IFERROR(__xludf.DUMMYFUNCTION("""COMPUTED_VALUE"""),85.51)</f>
        <v/>
      </c>
      <c r="M176" s="512">
        <f>IFERROR(__xludf.DUMMYFUNCTION("""COMPUTED_VALUE"""),46119.6666666666)</f>
        <v/>
      </c>
      <c r="N176" s="513">
        <f>IFERROR(__xludf.DUMMYFUNCTION("""COMPUTED_VALUE"""),252.91)</f>
        <v/>
      </c>
      <c r="P176" s="512">
        <f>IFERROR(__xludf.DUMMYFUNCTION("""COMPUTED_VALUE"""),46119.6666666666)</f>
        <v/>
      </c>
      <c r="Q176" s="513">
        <f>IFERROR(__xludf.DUMMYFUNCTION("""COMPUTED_VALUE"""),83.53)</f>
        <v/>
      </c>
      <c r="S176" s="512">
        <f>IFERROR(__xludf.DUMMYFUNCTION("""COMPUTED_VALUE"""),45387.6666666666)</f>
        <v/>
      </c>
      <c r="T176" s="513">
        <f>IFERROR(__xludf.DUMMYFUNCTION("""COMPUTED_VALUE"""),169.58)</f>
        <v/>
      </c>
      <c r="V176" s="512">
        <f>IFERROR(__xludf.DUMMYFUNCTION("""COMPUTED_VALUE"""),46119.6666666666)</f>
        <v/>
      </c>
      <c r="W176" s="513">
        <f>IFERROR(__xludf.DUMMYFUNCTION("""COMPUTED_VALUE"""),29.37)</f>
        <v/>
      </c>
      <c r="Y176" s="512">
        <f>IFERROR(__xludf.DUMMYFUNCTION("""COMPUTED_VALUE"""),46119.6666666666)</f>
        <v/>
      </c>
      <c r="Z176" s="513">
        <f>IFERROR(__xludf.DUMMYFUNCTION("""COMPUTED_VALUE"""),73.58)</f>
        <v/>
      </c>
      <c r="AB176" s="512">
        <f>IFERROR(__xludf.DUMMYFUNCTION("""COMPUTED_VALUE"""),46119.6666666666)</f>
        <v/>
      </c>
      <c r="AC176" s="513">
        <f>IFERROR(__xludf.DUMMYFUNCTION("""COMPUTED_VALUE"""),54.09)</f>
        <v/>
      </c>
      <c r="AE176" s="512">
        <f>IFERROR(__xludf.DUMMYFUNCTION("""COMPUTED_VALUE"""),46119.6666666666)</f>
        <v/>
      </c>
      <c r="AF176" s="513">
        <f>IFERROR(__xludf.DUMMYFUNCTION("""COMPUTED_VALUE"""),93.99)</f>
        <v/>
      </c>
      <c r="AH176" s="512">
        <f>IFERROR(__xludf.DUMMYFUNCTION("""COMPUTED_VALUE"""),46119.6666666666)</f>
        <v/>
      </c>
      <c r="AI176" s="513">
        <f>IFERROR(__xludf.DUMMYFUNCTION("""COMPUTED_VALUE"""),21.93)</f>
        <v/>
      </c>
      <c r="AK176" s="512">
        <f>IFERROR(__xludf.DUMMYFUNCTION("""COMPUTED_VALUE"""),46119.6666666666)</f>
        <v/>
      </c>
      <c r="AL176" s="513">
        <f>IFERROR(__xludf.DUMMYFUNCTION("""COMPUTED_VALUE"""),79.72)</f>
        <v/>
      </c>
      <c r="AN176" s="512">
        <f>IFERROR(__xludf.DUMMYFUNCTION("""COMPUTED_VALUE"""),46119.6666666666)</f>
        <v/>
      </c>
      <c r="AO176" s="513">
        <f>IFERROR(__xludf.DUMMYFUNCTION("""COMPUTED_VALUE"""),110.89)</f>
        <v/>
      </c>
      <c r="AQ176" s="512">
        <f>IFERROR(__xludf.DUMMYFUNCTION("""COMPUTED_VALUE"""),46119.6666666666)</f>
        <v/>
      </c>
      <c r="AR176" s="513">
        <f>IFERROR(__xludf.DUMMYFUNCTION("""COMPUTED_VALUE"""),98.35)</f>
        <v/>
      </c>
      <c r="AT176" s="512">
        <f>IFERROR(__xludf.DUMMYFUNCTION("""COMPUTED_VALUE"""),46119.6666666666)</f>
        <v/>
      </c>
      <c r="AU176" s="513">
        <f>IFERROR(__xludf.DUMMYFUNCTION("""COMPUTED_VALUE"""),57.31)</f>
        <v/>
      </c>
      <c r="AW176" s="512">
        <f>IFERROR(__xludf.DUMMYFUNCTION("""COMPUTED_VALUE"""),46119.6666666666)</f>
        <v/>
      </c>
      <c r="AX176" s="513">
        <f>IFERROR(__xludf.DUMMYFUNCTION("""COMPUTED_VALUE"""),99.17)</f>
        <v/>
      </c>
      <c r="AZ176" s="512">
        <f>IFERROR(__xludf.DUMMYFUNCTION("""COMPUTED_VALUE"""),46119.6666666666)</f>
        <v/>
      </c>
      <c r="BA176" s="513">
        <f>IFERROR(__xludf.DUMMYFUNCTION("""COMPUTED_VALUE"""),109.07)</f>
        <v/>
      </c>
      <c r="BC176" s="512">
        <f>IFERROR(__xludf.DUMMYFUNCTION("""COMPUTED_VALUE"""),46119.6666666666)</f>
        <v/>
      </c>
      <c r="BD176" s="513">
        <f>IFERROR(__xludf.DUMMYFUNCTION("""COMPUTED_VALUE"""),95.25)</f>
        <v/>
      </c>
      <c r="BF176" s="512">
        <f>IFERROR(__xludf.DUMMYFUNCTION("""COMPUTED_VALUE"""),46119.6666666666)</f>
        <v/>
      </c>
      <c r="BG176" s="513">
        <f>IFERROR(__xludf.DUMMYFUNCTION("""COMPUTED_VALUE"""),82.34)</f>
        <v/>
      </c>
      <c r="BI176" s="512">
        <f>IFERROR(__xludf.DUMMYFUNCTION("""COMPUTED_VALUE"""),46119.6666666666)</f>
        <v/>
      </c>
      <c r="BJ176" s="513">
        <f>IFERROR(__xludf.DUMMYFUNCTION("""COMPUTED_VALUE"""),86.64)</f>
        <v/>
      </c>
      <c r="BL176" s="512">
        <f>IFERROR(__xludf.DUMMYFUNCTION("""COMPUTED_VALUE"""),46119.6666666666)</f>
        <v/>
      </c>
      <c r="BM176" s="513">
        <f>IFERROR(__xludf.DUMMYFUNCTION("""COMPUTED_VALUE"""),431.81)</f>
        <v/>
      </c>
      <c r="BO176" s="512">
        <f>IFERROR(__xludf.DUMMYFUNCTION("""COMPUTED_VALUE"""),46119.6666666666)</f>
        <v/>
      </c>
      <c r="BP176" s="513">
        <f>IFERROR(__xludf.DUMMYFUNCTION("""COMPUTED_VALUE"""),91.45)</f>
        <v/>
      </c>
    </row>
    <row r="177">
      <c r="A177" s="512">
        <f>IFERROR(__xludf.DUMMYFUNCTION("""COMPUTED_VALUE"""),46120.6666666666)</f>
        <v/>
      </c>
      <c r="B177" s="513">
        <f>IFERROR(__xludf.DUMMYFUNCTION("""COMPUTED_VALUE"""),676.01)</f>
        <v/>
      </c>
      <c r="D177" s="512">
        <f>IFERROR(__xludf.DUMMYFUNCTION("""COMPUTED_VALUE"""),46120.6666666666)</f>
        <v/>
      </c>
      <c r="E177" s="513">
        <f>IFERROR(__xludf.DUMMYFUNCTION("""COMPUTED_VALUE"""),92.12)</f>
        <v/>
      </c>
      <c r="G177" s="512" t="n"/>
      <c r="H177" s="513" t="n"/>
      <c r="J177" s="512">
        <f>IFERROR(__xludf.DUMMYFUNCTION("""COMPUTED_VALUE"""),46120.6666666666)</f>
        <v/>
      </c>
      <c r="K177" s="513">
        <f>IFERROR(__xludf.DUMMYFUNCTION("""COMPUTED_VALUE"""),89.41)</f>
        <v/>
      </c>
      <c r="M177" s="512">
        <f>IFERROR(__xludf.DUMMYFUNCTION("""COMPUTED_VALUE"""),46120.6666666666)</f>
        <v/>
      </c>
      <c r="N177" s="513">
        <f>IFERROR(__xludf.DUMMYFUNCTION("""COMPUTED_VALUE"""),260.47)</f>
        <v/>
      </c>
      <c r="P177" s="512">
        <f>IFERROR(__xludf.DUMMYFUNCTION("""COMPUTED_VALUE"""),46120.6666666666)</f>
        <v/>
      </c>
      <c r="Q177" s="513">
        <f>IFERROR(__xludf.DUMMYFUNCTION("""COMPUTED_VALUE"""),86.74)</f>
        <v/>
      </c>
      <c r="S177" s="512">
        <f>IFERROR(__xludf.DUMMYFUNCTION("""COMPUTED_VALUE"""),45390.6666666666)</f>
        <v/>
      </c>
      <c r="T177" s="513">
        <f>IFERROR(__xludf.DUMMYFUNCTION("""COMPUTED_VALUE"""),168.45)</f>
        <v/>
      </c>
      <c r="V177" s="512">
        <f>IFERROR(__xludf.DUMMYFUNCTION("""COMPUTED_VALUE"""),46120.6666666666)</f>
        <v/>
      </c>
      <c r="W177" s="513">
        <f>IFERROR(__xludf.DUMMYFUNCTION("""COMPUTED_VALUE"""),28.56)</f>
        <v/>
      </c>
      <c r="Y177" s="512">
        <f>IFERROR(__xludf.DUMMYFUNCTION("""COMPUTED_VALUE"""),46120.6666666666)</f>
        <v/>
      </c>
      <c r="Z177" s="513">
        <f>IFERROR(__xludf.DUMMYFUNCTION("""COMPUTED_VALUE"""),73.72)</f>
        <v/>
      </c>
      <c r="AB177" s="512">
        <f>IFERROR(__xludf.DUMMYFUNCTION("""COMPUTED_VALUE"""),46120.6666666666)</f>
        <v/>
      </c>
      <c r="AC177" s="513">
        <f>IFERROR(__xludf.DUMMYFUNCTION("""COMPUTED_VALUE"""),56.5)</f>
        <v/>
      </c>
      <c r="AE177" s="512">
        <f>IFERROR(__xludf.DUMMYFUNCTION("""COMPUTED_VALUE"""),46120.6666666666)</f>
        <v/>
      </c>
      <c r="AF177" s="513">
        <f>IFERROR(__xludf.DUMMYFUNCTION("""COMPUTED_VALUE"""),95.11)</f>
        <v/>
      </c>
      <c r="AH177" s="512">
        <f>IFERROR(__xludf.DUMMYFUNCTION("""COMPUTED_VALUE"""),46120.6666666666)</f>
        <v/>
      </c>
      <c r="AI177" s="513">
        <f>IFERROR(__xludf.DUMMYFUNCTION("""COMPUTED_VALUE"""),22.25)</f>
        <v/>
      </c>
      <c r="AK177" s="512">
        <f>IFERROR(__xludf.DUMMYFUNCTION("""COMPUTED_VALUE"""),46120.6666666666)</f>
        <v/>
      </c>
      <c r="AL177" s="513">
        <f>IFERROR(__xludf.DUMMYFUNCTION("""COMPUTED_VALUE"""),80.19)</f>
        <v/>
      </c>
      <c r="AN177" s="512">
        <f>IFERROR(__xludf.DUMMYFUNCTION("""COMPUTED_VALUE"""),46120.6666666666)</f>
        <v/>
      </c>
      <c r="AO177" s="513">
        <f>IFERROR(__xludf.DUMMYFUNCTION("""COMPUTED_VALUE"""),110.91)</f>
        <v/>
      </c>
      <c r="AQ177" s="512">
        <f>IFERROR(__xludf.DUMMYFUNCTION("""COMPUTED_VALUE"""),46120.6666666666)</f>
        <v/>
      </c>
      <c r="AR177" s="513">
        <f>IFERROR(__xludf.DUMMYFUNCTION("""COMPUTED_VALUE"""),102.19)</f>
        <v/>
      </c>
      <c r="AT177" s="512">
        <f>IFERROR(__xludf.DUMMYFUNCTION("""COMPUTED_VALUE"""),46120.6666666666)</f>
        <v/>
      </c>
      <c r="AU177" s="513">
        <f>IFERROR(__xludf.DUMMYFUNCTION("""COMPUTED_VALUE"""),60.44)</f>
        <v/>
      </c>
      <c r="AW177" s="512">
        <f>IFERROR(__xludf.DUMMYFUNCTION("""COMPUTED_VALUE"""),46120.6666666666)</f>
        <v/>
      </c>
      <c r="AX177" s="513">
        <f>IFERROR(__xludf.DUMMYFUNCTION("""COMPUTED_VALUE"""),99.43)</f>
        <v/>
      </c>
      <c r="AZ177" s="512">
        <f>IFERROR(__xludf.DUMMYFUNCTION("""COMPUTED_VALUE"""),46120.6666666666)</f>
        <v/>
      </c>
      <c r="BA177" s="513">
        <f>IFERROR(__xludf.DUMMYFUNCTION("""COMPUTED_VALUE"""),109.49)</f>
        <v/>
      </c>
      <c r="BC177" s="512">
        <f>IFERROR(__xludf.DUMMYFUNCTION("""COMPUTED_VALUE"""),46120.6666666666)</f>
        <v/>
      </c>
      <c r="BD177" s="513">
        <f>IFERROR(__xludf.DUMMYFUNCTION("""COMPUTED_VALUE"""),95.46)</f>
        <v/>
      </c>
      <c r="BF177" s="512">
        <f>IFERROR(__xludf.DUMMYFUNCTION("""COMPUTED_VALUE"""),46120.6666666666)</f>
        <v/>
      </c>
      <c r="BG177" s="513">
        <f>IFERROR(__xludf.DUMMYFUNCTION("""COMPUTED_VALUE"""),82.42)</f>
        <v/>
      </c>
      <c r="BI177" s="512">
        <f>IFERROR(__xludf.DUMMYFUNCTION("""COMPUTED_VALUE"""),46120.6666666666)</f>
        <v/>
      </c>
      <c r="BJ177" s="513">
        <f>IFERROR(__xludf.DUMMYFUNCTION("""COMPUTED_VALUE"""),86.92)</f>
        <v/>
      </c>
      <c r="BL177" s="512">
        <f>IFERROR(__xludf.DUMMYFUNCTION("""COMPUTED_VALUE"""),46120.6666666666)</f>
        <v/>
      </c>
      <c r="BM177" s="513">
        <f>IFERROR(__xludf.DUMMYFUNCTION("""COMPUTED_VALUE"""),434.53)</f>
        <v/>
      </c>
      <c r="BO177" s="512">
        <f>IFERROR(__xludf.DUMMYFUNCTION("""COMPUTED_VALUE"""),46120.6666666666)</f>
        <v/>
      </c>
      <c r="BP177" s="513">
        <f>IFERROR(__xludf.DUMMYFUNCTION("""COMPUTED_VALUE"""),91.45)</f>
        <v/>
      </c>
    </row>
    <row r="178">
      <c r="A178" s="512">
        <f>IFERROR(__xludf.DUMMYFUNCTION("""COMPUTED_VALUE"""),46121.6666666666)</f>
        <v/>
      </c>
      <c r="B178" s="513">
        <f>IFERROR(__xludf.DUMMYFUNCTION("""COMPUTED_VALUE"""),679.91)</f>
        <v/>
      </c>
      <c r="D178" s="512">
        <f>IFERROR(__xludf.DUMMYFUNCTION("""COMPUTED_VALUE"""),46121.6666666666)</f>
        <v/>
      </c>
      <c r="E178" s="513">
        <f>IFERROR(__xludf.DUMMYFUNCTION("""COMPUTED_VALUE"""),92.78)</f>
        <v/>
      </c>
      <c r="G178" s="512" t="n"/>
      <c r="H178" s="513" t="n"/>
      <c r="J178" s="512">
        <f>IFERROR(__xludf.DUMMYFUNCTION("""COMPUTED_VALUE"""),46121.6666666666)</f>
        <v/>
      </c>
      <c r="K178" s="513">
        <f>IFERROR(__xludf.DUMMYFUNCTION("""COMPUTED_VALUE"""),88.22)</f>
        <v/>
      </c>
      <c r="M178" s="512">
        <f>IFERROR(__xludf.DUMMYFUNCTION("""COMPUTED_VALUE"""),46121.6666666666)</f>
        <v/>
      </c>
      <c r="N178" s="513">
        <f>IFERROR(__xludf.DUMMYFUNCTION("""COMPUTED_VALUE"""),261.96)</f>
        <v/>
      </c>
      <c r="P178" s="512">
        <f>IFERROR(__xludf.DUMMYFUNCTION("""COMPUTED_VALUE"""),46121.6666666666)</f>
        <v/>
      </c>
      <c r="Q178" s="513">
        <f>IFERROR(__xludf.DUMMYFUNCTION("""COMPUTED_VALUE"""),86.76)</f>
        <v/>
      </c>
      <c r="S178" s="512">
        <f>IFERROR(__xludf.DUMMYFUNCTION("""COMPUTED_VALUE"""),45391.6666666666)</f>
        <v/>
      </c>
      <c r="T178" s="513">
        <f>IFERROR(__xludf.DUMMYFUNCTION("""COMPUTED_VALUE"""),169.67)</f>
        <v/>
      </c>
      <c r="V178" s="512">
        <f>IFERROR(__xludf.DUMMYFUNCTION("""COMPUTED_VALUE"""),46121.6666666666)</f>
        <v/>
      </c>
      <c r="W178" s="513">
        <f>IFERROR(__xludf.DUMMYFUNCTION("""COMPUTED_VALUE"""),28.71)</f>
        <v/>
      </c>
      <c r="Y178" s="512">
        <f>IFERROR(__xludf.DUMMYFUNCTION("""COMPUTED_VALUE"""),46121.6666666666)</f>
        <v/>
      </c>
      <c r="Z178" s="513">
        <f>IFERROR(__xludf.DUMMYFUNCTION("""COMPUTED_VALUE"""),73.75)</f>
        <v/>
      </c>
      <c r="AB178" s="512">
        <f>IFERROR(__xludf.DUMMYFUNCTION("""COMPUTED_VALUE"""),46121.6666666666)</f>
        <v/>
      </c>
      <c r="AC178" s="513">
        <f>IFERROR(__xludf.DUMMYFUNCTION("""COMPUTED_VALUE"""),56.44)</f>
        <v/>
      </c>
      <c r="AE178" s="512">
        <f>IFERROR(__xludf.DUMMYFUNCTION("""COMPUTED_VALUE"""),46121.6666666666)</f>
        <v/>
      </c>
      <c r="AF178" s="513">
        <f>IFERROR(__xludf.DUMMYFUNCTION("""COMPUTED_VALUE"""),95.51)</f>
        <v/>
      </c>
      <c r="AH178" s="512">
        <f>IFERROR(__xludf.DUMMYFUNCTION("""COMPUTED_VALUE"""),46121.6666666666)</f>
        <v/>
      </c>
      <c r="AI178" s="513">
        <f>IFERROR(__xludf.DUMMYFUNCTION("""COMPUTED_VALUE"""),22.22)</f>
        <v/>
      </c>
      <c r="AK178" s="512">
        <f>IFERROR(__xludf.DUMMYFUNCTION("""COMPUTED_VALUE"""),46121.6666666666)</f>
        <v/>
      </c>
      <c r="AL178" s="513">
        <f>IFERROR(__xludf.DUMMYFUNCTION("""COMPUTED_VALUE"""),80.28)</f>
        <v/>
      </c>
      <c r="AN178" s="512">
        <f>IFERROR(__xludf.DUMMYFUNCTION("""COMPUTED_VALUE"""),46121.6666666666)</f>
        <v/>
      </c>
      <c r="AO178" s="513">
        <f>IFERROR(__xludf.DUMMYFUNCTION("""COMPUTED_VALUE"""),110.96)</f>
        <v/>
      </c>
      <c r="AQ178" s="512">
        <f>IFERROR(__xludf.DUMMYFUNCTION("""COMPUTED_VALUE"""),46121.6666666666)</f>
        <v/>
      </c>
      <c r="AR178" s="513">
        <f>IFERROR(__xludf.DUMMYFUNCTION("""COMPUTED_VALUE"""),101.95)</f>
        <v/>
      </c>
      <c r="AT178" s="512">
        <f>IFERROR(__xludf.DUMMYFUNCTION("""COMPUTED_VALUE"""),46121.6666666666)</f>
        <v/>
      </c>
      <c r="AU178" s="513">
        <f>IFERROR(__xludf.DUMMYFUNCTION("""COMPUTED_VALUE"""),60.28)</f>
        <v/>
      </c>
      <c r="AW178" s="512">
        <f>IFERROR(__xludf.DUMMYFUNCTION("""COMPUTED_VALUE"""),46121.6666666666)</f>
        <v/>
      </c>
      <c r="AX178" s="513">
        <f>IFERROR(__xludf.DUMMYFUNCTION("""COMPUTED_VALUE"""),99.49)</f>
        <v/>
      </c>
      <c r="AZ178" s="512">
        <f>IFERROR(__xludf.DUMMYFUNCTION("""COMPUTED_VALUE"""),46121.6666666666)</f>
        <v/>
      </c>
      <c r="BA178" s="513">
        <f>IFERROR(__xludf.DUMMYFUNCTION("""COMPUTED_VALUE"""),109.49)</f>
        <v/>
      </c>
      <c r="BC178" s="512">
        <f>IFERROR(__xludf.DUMMYFUNCTION("""COMPUTED_VALUE"""),46121.6666666666)</f>
        <v/>
      </c>
      <c r="BD178" s="513">
        <f>IFERROR(__xludf.DUMMYFUNCTION("""COMPUTED_VALUE"""),95.43)</f>
        <v/>
      </c>
      <c r="BF178" s="512">
        <f>IFERROR(__xludf.DUMMYFUNCTION("""COMPUTED_VALUE"""),46121.6666666666)</f>
        <v/>
      </c>
      <c r="BG178" s="513">
        <f>IFERROR(__xludf.DUMMYFUNCTION("""COMPUTED_VALUE"""),82.44)</f>
        <v/>
      </c>
      <c r="BI178" s="512">
        <f>IFERROR(__xludf.DUMMYFUNCTION("""COMPUTED_VALUE"""),46121.6666666666)</f>
        <v/>
      </c>
      <c r="BJ178" s="513">
        <f>IFERROR(__xludf.DUMMYFUNCTION("""COMPUTED_VALUE"""),86.7)</f>
        <v/>
      </c>
      <c r="BL178" s="512">
        <f>IFERROR(__xludf.DUMMYFUNCTION("""COMPUTED_VALUE"""),46121.6666666666)</f>
        <v/>
      </c>
      <c r="BM178" s="513">
        <f>IFERROR(__xludf.DUMMYFUNCTION("""COMPUTED_VALUE"""),437.91)</f>
        <v/>
      </c>
      <c r="BO178" s="512">
        <f>IFERROR(__xludf.DUMMYFUNCTION("""COMPUTED_VALUE"""),46121.6666666666)</f>
        <v/>
      </c>
      <c r="BP178" s="513">
        <f>IFERROR(__xludf.DUMMYFUNCTION("""COMPUTED_VALUE"""),91.46)</f>
        <v/>
      </c>
    </row>
    <row r="179">
      <c r="A179" s="512">
        <f>IFERROR(__xludf.DUMMYFUNCTION("""COMPUTED_VALUE"""),46122.6666666666)</f>
        <v/>
      </c>
      <c r="B179" s="513">
        <f>IFERROR(__xludf.DUMMYFUNCTION("""COMPUTED_VALUE"""),679.46)</f>
        <v/>
      </c>
      <c r="D179" s="512">
        <f>IFERROR(__xludf.DUMMYFUNCTION("""COMPUTED_VALUE"""),46122.6666666666)</f>
        <v/>
      </c>
      <c r="E179" s="513">
        <f>IFERROR(__xludf.DUMMYFUNCTION("""COMPUTED_VALUE"""),92.98)</f>
        <v/>
      </c>
      <c r="G179" s="512" t="n"/>
      <c r="H179" s="513" t="n"/>
      <c r="J179" s="512">
        <f>IFERROR(__xludf.DUMMYFUNCTION("""COMPUTED_VALUE"""),46122.6666666666)</f>
        <v/>
      </c>
      <c r="K179" s="513">
        <f>IFERROR(__xludf.DUMMYFUNCTION("""COMPUTED_VALUE"""),88.13)</f>
        <v/>
      </c>
      <c r="M179" s="512">
        <f>IFERROR(__xludf.DUMMYFUNCTION("""COMPUTED_VALUE"""),46122.6666666666)</f>
        <v/>
      </c>
      <c r="N179" s="513">
        <f>IFERROR(__xludf.DUMMYFUNCTION("""COMPUTED_VALUE"""),261.3)</f>
        <v/>
      </c>
      <c r="P179" s="512">
        <f>IFERROR(__xludf.DUMMYFUNCTION("""COMPUTED_VALUE"""),46122.6666666666)</f>
        <v/>
      </c>
      <c r="Q179" s="513">
        <f>IFERROR(__xludf.DUMMYFUNCTION("""COMPUTED_VALUE"""),87.06)</f>
        <v/>
      </c>
      <c r="S179" s="512">
        <f>IFERROR(__xludf.DUMMYFUNCTION("""COMPUTED_VALUE"""),45392.6666666666)</f>
        <v/>
      </c>
      <c r="T179" s="513">
        <f>IFERROR(__xludf.DUMMYFUNCTION("""COMPUTED_VALUE"""),167.78)</f>
        <v/>
      </c>
      <c r="V179" s="512">
        <f>IFERROR(__xludf.DUMMYFUNCTION("""COMPUTED_VALUE"""),46122.6666666666)</f>
        <v/>
      </c>
      <c r="W179" s="513">
        <f>IFERROR(__xludf.DUMMYFUNCTION("""COMPUTED_VALUE"""),28.5)</f>
        <v/>
      </c>
      <c r="Y179" s="512">
        <f>IFERROR(__xludf.DUMMYFUNCTION("""COMPUTED_VALUE"""),46122.6666666666)</f>
        <v/>
      </c>
      <c r="Z179" s="513">
        <f>IFERROR(__xludf.DUMMYFUNCTION("""COMPUTED_VALUE"""),73.64)</f>
        <v/>
      </c>
      <c r="AB179" s="512">
        <f>IFERROR(__xludf.DUMMYFUNCTION("""COMPUTED_VALUE"""),46122.6666666666)</f>
        <v/>
      </c>
      <c r="AC179" s="513">
        <f>IFERROR(__xludf.DUMMYFUNCTION("""COMPUTED_VALUE"""),56.75)</f>
        <v/>
      </c>
      <c r="AE179" s="512">
        <f>IFERROR(__xludf.DUMMYFUNCTION("""COMPUTED_VALUE"""),46122.6666666666)</f>
        <v/>
      </c>
      <c r="AF179" s="513">
        <f>IFERROR(__xludf.DUMMYFUNCTION("""COMPUTED_VALUE"""),95.5)</f>
        <v/>
      </c>
      <c r="AH179" s="512">
        <f>IFERROR(__xludf.DUMMYFUNCTION("""COMPUTED_VALUE"""),46122.6666666666)</f>
        <v/>
      </c>
      <c r="AI179" s="513">
        <f>IFERROR(__xludf.DUMMYFUNCTION("""COMPUTED_VALUE"""),22.17)</f>
        <v/>
      </c>
      <c r="AK179" s="512">
        <f>IFERROR(__xludf.DUMMYFUNCTION("""COMPUTED_VALUE"""),46122.6666666666)</f>
        <v/>
      </c>
      <c r="AL179" s="513">
        <f>IFERROR(__xludf.DUMMYFUNCTION("""COMPUTED_VALUE"""),79.96)</f>
        <v/>
      </c>
      <c r="AN179" s="512">
        <f>IFERROR(__xludf.DUMMYFUNCTION("""COMPUTED_VALUE"""),46122.6666666666)</f>
        <v/>
      </c>
      <c r="AO179" s="513">
        <f>IFERROR(__xludf.DUMMYFUNCTION("""COMPUTED_VALUE"""),111.02)</f>
        <v/>
      </c>
      <c r="AQ179" s="512">
        <f>IFERROR(__xludf.DUMMYFUNCTION("""COMPUTED_VALUE"""),46122.6666666666)</f>
        <v/>
      </c>
      <c r="AR179" s="513">
        <f>IFERROR(__xludf.DUMMYFUNCTION("""COMPUTED_VALUE"""),102.18)</f>
        <v/>
      </c>
      <c r="AT179" s="512">
        <f>IFERROR(__xludf.DUMMYFUNCTION("""COMPUTED_VALUE"""),46122.6666666666)</f>
        <v/>
      </c>
      <c r="AU179" s="513">
        <f>IFERROR(__xludf.DUMMYFUNCTION("""COMPUTED_VALUE"""),60.56)</f>
        <v/>
      </c>
      <c r="AW179" s="512">
        <f>IFERROR(__xludf.DUMMYFUNCTION("""COMPUTED_VALUE"""),46122.6666666666)</f>
        <v/>
      </c>
      <c r="AX179" s="513">
        <f>IFERROR(__xludf.DUMMYFUNCTION("""COMPUTED_VALUE"""),99.32)</f>
        <v/>
      </c>
      <c r="AZ179" s="512">
        <f>IFERROR(__xludf.DUMMYFUNCTION("""COMPUTED_VALUE"""),46122.6666666666)</f>
        <v/>
      </c>
      <c r="BA179" s="513">
        <f>IFERROR(__xludf.DUMMYFUNCTION("""COMPUTED_VALUE"""),109.2)</f>
        <v/>
      </c>
      <c r="BC179" s="512">
        <f>IFERROR(__xludf.DUMMYFUNCTION("""COMPUTED_VALUE"""),46122.6666666666)</f>
        <v/>
      </c>
      <c r="BD179" s="513">
        <f>IFERROR(__xludf.DUMMYFUNCTION("""COMPUTED_VALUE"""),95.27)</f>
        <v/>
      </c>
      <c r="BF179" s="512">
        <f>IFERROR(__xludf.DUMMYFUNCTION("""COMPUTED_VALUE"""),46122.6666666666)</f>
        <v/>
      </c>
      <c r="BG179" s="513">
        <f>IFERROR(__xludf.DUMMYFUNCTION("""COMPUTED_VALUE"""),82.41)</f>
        <v/>
      </c>
      <c r="BI179" s="512">
        <f>IFERROR(__xludf.DUMMYFUNCTION("""COMPUTED_VALUE"""),46122.6666666666)</f>
        <v/>
      </c>
      <c r="BJ179" s="513">
        <f>IFERROR(__xludf.DUMMYFUNCTION("""COMPUTED_VALUE"""),86.49)</f>
        <v/>
      </c>
      <c r="BL179" s="512">
        <f>IFERROR(__xludf.DUMMYFUNCTION("""COMPUTED_VALUE"""),46122.6666666666)</f>
        <v/>
      </c>
      <c r="BM179" s="513">
        <f>IFERROR(__xludf.DUMMYFUNCTION("""COMPUTED_VALUE"""),437.13)</f>
        <v/>
      </c>
      <c r="BO179" s="512">
        <f>IFERROR(__xludf.DUMMYFUNCTION("""COMPUTED_VALUE"""),46122.6666666666)</f>
        <v/>
      </c>
      <c r="BP179" s="513">
        <f>IFERROR(__xludf.DUMMYFUNCTION("""COMPUTED_VALUE"""),91.49)</f>
        <v/>
      </c>
    </row>
    <row r="180">
      <c r="A180" s="512">
        <f>IFERROR(__xludf.DUMMYFUNCTION("""COMPUTED_VALUE"""),46125.6666666666)</f>
        <v/>
      </c>
      <c r="B180" s="513">
        <f>IFERROR(__xludf.DUMMYFUNCTION("""COMPUTED_VALUE"""),686.1)</f>
        <v/>
      </c>
      <c r="D180" s="512">
        <f>IFERROR(__xludf.DUMMYFUNCTION("""COMPUTED_VALUE"""),46125.6666666666)</f>
        <v/>
      </c>
      <c r="E180" s="513">
        <f>IFERROR(__xludf.DUMMYFUNCTION("""COMPUTED_VALUE"""),93.33)</f>
        <v/>
      </c>
      <c r="G180" s="512" t="n"/>
      <c r="H180" s="513" t="n"/>
      <c r="J180" s="512">
        <f>IFERROR(__xludf.DUMMYFUNCTION("""COMPUTED_VALUE"""),46125.6666666666)</f>
        <v/>
      </c>
      <c r="K180" s="513">
        <f>IFERROR(__xludf.DUMMYFUNCTION("""COMPUTED_VALUE"""),88.35)</f>
        <v/>
      </c>
      <c r="M180" s="512">
        <f>IFERROR(__xludf.DUMMYFUNCTION("""COMPUTED_VALUE"""),46125.6666666666)</f>
        <v/>
      </c>
      <c r="N180" s="513">
        <f>IFERROR(__xludf.DUMMYFUNCTION("""COMPUTED_VALUE"""),265.07)</f>
        <v/>
      </c>
      <c r="P180" s="512">
        <f>IFERROR(__xludf.DUMMYFUNCTION("""COMPUTED_VALUE"""),46125.6666666666)</f>
        <v/>
      </c>
      <c r="Q180" s="513">
        <f>IFERROR(__xludf.DUMMYFUNCTION("""COMPUTED_VALUE"""),87.64)</f>
        <v/>
      </c>
      <c r="S180" s="512">
        <f>IFERROR(__xludf.DUMMYFUNCTION("""COMPUTED_VALUE"""),45393.6666666666)</f>
        <v/>
      </c>
      <c r="T180" s="513">
        <f>IFERROR(__xludf.DUMMYFUNCTION("""COMPUTED_VALUE"""),175.04)</f>
        <v/>
      </c>
      <c r="V180" s="512">
        <f>IFERROR(__xludf.DUMMYFUNCTION("""COMPUTED_VALUE"""),46125.6666666666)</f>
        <v/>
      </c>
      <c r="W180" s="513">
        <f>IFERROR(__xludf.DUMMYFUNCTION("""COMPUTED_VALUE"""),28.96)</f>
        <v/>
      </c>
      <c r="Y180" s="512">
        <f>IFERROR(__xludf.DUMMYFUNCTION("""COMPUTED_VALUE"""),46125.6666666666)</f>
        <v/>
      </c>
      <c r="Z180" s="513">
        <f>IFERROR(__xludf.DUMMYFUNCTION("""COMPUTED_VALUE"""),73.8)</f>
        <v/>
      </c>
      <c r="AB180" s="512">
        <f>IFERROR(__xludf.DUMMYFUNCTION("""COMPUTED_VALUE"""),46125.6666666666)</f>
        <v/>
      </c>
      <c r="AC180" s="513">
        <f>IFERROR(__xludf.DUMMYFUNCTION("""COMPUTED_VALUE"""),57.18)</f>
        <v/>
      </c>
      <c r="AE180" s="512">
        <f>IFERROR(__xludf.DUMMYFUNCTION("""COMPUTED_VALUE"""),46125.6666666666)</f>
        <v/>
      </c>
      <c r="AF180" s="513">
        <f>IFERROR(__xludf.DUMMYFUNCTION("""COMPUTED_VALUE"""),96.03)</f>
        <v/>
      </c>
      <c r="AH180" s="512">
        <f>IFERROR(__xludf.DUMMYFUNCTION("""COMPUTED_VALUE"""),46125.6666666666)</f>
        <v/>
      </c>
      <c r="AI180" s="513">
        <f>IFERROR(__xludf.DUMMYFUNCTION("""COMPUTED_VALUE"""),22.21)</f>
        <v/>
      </c>
      <c r="AK180" s="512">
        <f>IFERROR(__xludf.DUMMYFUNCTION("""COMPUTED_VALUE"""),46125.6666666666)</f>
        <v/>
      </c>
      <c r="AL180" s="513">
        <f>IFERROR(__xludf.DUMMYFUNCTION("""COMPUTED_VALUE"""),80.26)</f>
        <v/>
      </c>
      <c r="AN180" s="512">
        <f>IFERROR(__xludf.DUMMYFUNCTION("""COMPUTED_VALUE"""),46125.6666666666)</f>
        <v/>
      </c>
      <c r="AO180" s="513">
        <f>IFERROR(__xludf.DUMMYFUNCTION("""COMPUTED_VALUE"""),111.28)</f>
        <v/>
      </c>
      <c r="AQ180" s="512">
        <f>IFERROR(__xludf.DUMMYFUNCTION("""COMPUTED_VALUE"""),46125.6666666666)</f>
        <v/>
      </c>
      <c r="AR180" s="513">
        <f>IFERROR(__xludf.DUMMYFUNCTION("""COMPUTED_VALUE"""),102.81)</f>
        <v/>
      </c>
      <c r="AT180" s="512">
        <f>IFERROR(__xludf.DUMMYFUNCTION("""COMPUTED_VALUE"""),46125.6666666666)</f>
        <v/>
      </c>
      <c r="AU180" s="513">
        <f>IFERROR(__xludf.DUMMYFUNCTION("""COMPUTED_VALUE"""),61.07)</f>
        <v/>
      </c>
      <c r="AW180" s="512">
        <f>IFERROR(__xludf.DUMMYFUNCTION("""COMPUTED_VALUE"""),46125.6666666666)</f>
        <v/>
      </c>
      <c r="AX180" s="513">
        <f>IFERROR(__xludf.DUMMYFUNCTION("""COMPUTED_VALUE"""),99.52)</f>
        <v/>
      </c>
      <c r="AZ180" s="512">
        <f>IFERROR(__xludf.DUMMYFUNCTION("""COMPUTED_VALUE"""),46125.6666666666)</f>
        <v/>
      </c>
      <c r="BA180" s="513">
        <f>IFERROR(__xludf.DUMMYFUNCTION("""COMPUTED_VALUE"""),109.62)</f>
        <v/>
      </c>
      <c r="BC180" s="512">
        <f>IFERROR(__xludf.DUMMYFUNCTION("""COMPUTED_VALUE"""),46125.6666666666)</f>
        <v/>
      </c>
      <c r="BD180" s="513">
        <f>IFERROR(__xludf.DUMMYFUNCTION("""COMPUTED_VALUE"""),95.48)</f>
        <v/>
      </c>
      <c r="BF180" s="512">
        <f>IFERROR(__xludf.DUMMYFUNCTION("""COMPUTED_VALUE"""),46125.6666666666)</f>
        <v/>
      </c>
      <c r="BG180" s="513">
        <f>IFERROR(__xludf.DUMMYFUNCTION("""COMPUTED_VALUE"""),82.47)</f>
        <v/>
      </c>
      <c r="BI180" s="512">
        <f>IFERROR(__xludf.DUMMYFUNCTION("""COMPUTED_VALUE"""),46125.6666666666)</f>
        <v/>
      </c>
      <c r="BJ180" s="513">
        <f>IFERROR(__xludf.DUMMYFUNCTION("""COMPUTED_VALUE"""),86.75)</f>
        <v/>
      </c>
      <c r="BL180" s="512">
        <f>IFERROR(__xludf.DUMMYFUNCTION("""COMPUTED_VALUE"""),46125.6666666666)</f>
        <v/>
      </c>
      <c r="BM180" s="513">
        <f>IFERROR(__xludf.DUMMYFUNCTION("""COMPUTED_VALUE"""),435.36)</f>
        <v/>
      </c>
      <c r="BO180" s="512">
        <f>IFERROR(__xludf.DUMMYFUNCTION("""COMPUTED_VALUE"""),46125.6666666666)</f>
        <v/>
      </c>
      <c r="BP180" s="513">
        <f>IFERROR(__xludf.DUMMYFUNCTION("""COMPUTED_VALUE"""),91.49)</f>
        <v/>
      </c>
    </row>
    <row r="181">
      <c r="A181" s="512">
        <f>IFERROR(__xludf.DUMMYFUNCTION("""COMPUTED_VALUE"""),46126.6666666666)</f>
        <v/>
      </c>
      <c r="B181" s="513">
        <f>IFERROR(__xludf.DUMMYFUNCTION("""COMPUTED_VALUE"""),694.46)</f>
        <v/>
      </c>
      <c r="D181" s="512">
        <f>IFERROR(__xludf.DUMMYFUNCTION("""COMPUTED_VALUE"""),46126.6666666666)</f>
        <v/>
      </c>
      <c r="E181" s="513">
        <f>IFERROR(__xludf.DUMMYFUNCTION("""COMPUTED_VALUE"""),94.22)</f>
        <v/>
      </c>
      <c r="G181" s="512" t="n"/>
      <c r="H181" s="513" t="n"/>
      <c r="J181" s="512">
        <f>IFERROR(__xludf.DUMMYFUNCTION("""COMPUTED_VALUE"""),46126.6666666666)</f>
        <v/>
      </c>
      <c r="K181" s="513">
        <f>IFERROR(__xludf.DUMMYFUNCTION("""COMPUTED_VALUE"""),89.41)</f>
        <v/>
      </c>
      <c r="M181" s="512">
        <f>IFERROR(__xludf.DUMMYFUNCTION("""COMPUTED_VALUE"""),46126.6666666666)</f>
        <v/>
      </c>
      <c r="N181" s="513">
        <f>IFERROR(__xludf.DUMMYFUNCTION("""COMPUTED_VALUE"""),268.72)</f>
        <v/>
      </c>
      <c r="P181" s="512">
        <f>IFERROR(__xludf.DUMMYFUNCTION("""COMPUTED_VALUE"""),46126.6666666666)</f>
        <v/>
      </c>
      <c r="Q181" s="513">
        <f>IFERROR(__xludf.DUMMYFUNCTION("""COMPUTED_VALUE"""),88.37)</f>
        <v/>
      </c>
      <c r="S181" s="512">
        <f>IFERROR(__xludf.DUMMYFUNCTION("""COMPUTED_VALUE"""),45394.6666666666)</f>
        <v/>
      </c>
      <c r="T181" s="513">
        <f>IFERROR(__xludf.DUMMYFUNCTION("""COMPUTED_VALUE"""),176.55)</f>
        <v/>
      </c>
      <c r="V181" s="512">
        <f>IFERROR(__xludf.DUMMYFUNCTION("""COMPUTED_VALUE"""),46126.6666666666)</f>
        <v/>
      </c>
      <c r="W181" s="513">
        <f>IFERROR(__xludf.DUMMYFUNCTION("""COMPUTED_VALUE"""),28.84)</f>
        <v/>
      </c>
      <c r="Y181" s="512">
        <f>IFERROR(__xludf.DUMMYFUNCTION("""COMPUTED_VALUE"""),46126.6666666666)</f>
        <v/>
      </c>
      <c r="Z181" s="513">
        <f>IFERROR(__xludf.DUMMYFUNCTION("""COMPUTED_VALUE"""),73.98)</f>
        <v/>
      </c>
      <c r="AB181" s="512">
        <f>IFERROR(__xludf.DUMMYFUNCTION("""COMPUTED_VALUE"""),46126.6666666666)</f>
        <v/>
      </c>
      <c r="AC181" s="513">
        <f>IFERROR(__xludf.DUMMYFUNCTION("""COMPUTED_VALUE"""),57.98)</f>
        <v/>
      </c>
      <c r="AE181" s="512">
        <f>IFERROR(__xludf.DUMMYFUNCTION("""COMPUTED_VALUE"""),46126.6666666666)</f>
        <v/>
      </c>
      <c r="AF181" s="513">
        <f>IFERROR(__xludf.DUMMYFUNCTION("""COMPUTED_VALUE"""),96.46)</f>
        <v/>
      </c>
      <c r="AH181" s="512">
        <f>IFERROR(__xludf.DUMMYFUNCTION("""COMPUTED_VALUE"""),46126.6666666666)</f>
        <v/>
      </c>
      <c r="AI181" s="513">
        <f>IFERROR(__xludf.DUMMYFUNCTION("""COMPUTED_VALUE"""),22.38)</f>
        <v/>
      </c>
      <c r="AK181" s="512">
        <f>IFERROR(__xludf.DUMMYFUNCTION("""COMPUTED_VALUE"""),46126.6666666666)</f>
        <v/>
      </c>
      <c r="AL181" s="513">
        <f>IFERROR(__xludf.DUMMYFUNCTION("""COMPUTED_VALUE"""),80.5)</f>
        <v/>
      </c>
      <c r="AN181" s="512">
        <f>IFERROR(__xludf.DUMMYFUNCTION("""COMPUTED_VALUE"""),46126.6666666666)</f>
        <v/>
      </c>
      <c r="AO181" s="513">
        <f>IFERROR(__xludf.DUMMYFUNCTION("""COMPUTED_VALUE"""),111.53)</f>
        <v/>
      </c>
      <c r="AQ181" s="512">
        <f>IFERROR(__xludf.DUMMYFUNCTION("""COMPUTED_VALUE"""),46126.6666666666)</f>
        <v/>
      </c>
      <c r="AR181" s="513">
        <f>IFERROR(__xludf.DUMMYFUNCTION("""COMPUTED_VALUE"""),103.64)</f>
        <v/>
      </c>
      <c r="AT181" s="512">
        <f>IFERROR(__xludf.DUMMYFUNCTION("""COMPUTED_VALUE"""),46126.6666666666)</f>
        <v/>
      </c>
      <c r="AU181" s="513">
        <f>IFERROR(__xludf.DUMMYFUNCTION("""COMPUTED_VALUE"""),62.24)</f>
        <v/>
      </c>
      <c r="AW181" s="512">
        <f>IFERROR(__xludf.DUMMYFUNCTION("""COMPUTED_VALUE"""),46126.6666666666)</f>
        <v/>
      </c>
      <c r="AX181" s="513">
        <f>IFERROR(__xludf.DUMMYFUNCTION("""COMPUTED_VALUE"""),99.78)</f>
        <v/>
      </c>
      <c r="AZ181" s="512">
        <f>IFERROR(__xludf.DUMMYFUNCTION("""COMPUTED_VALUE"""),46126.6666666666)</f>
        <v/>
      </c>
      <c r="BA181" s="513">
        <f>IFERROR(__xludf.DUMMYFUNCTION("""COMPUTED_VALUE"""),109.98)</f>
        <v/>
      </c>
      <c r="BC181" s="512">
        <f>IFERROR(__xludf.DUMMYFUNCTION("""COMPUTED_VALUE"""),46126.6666666666)</f>
        <v/>
      </c>
      <c r="BD181" s="513">
        <f>IFERROR(__xludf.DUMMYFUNCTION("""COMPUTED_VALUE"""),95.79)</f>
        <v/>
      </c>
      <c r="BF181" s="512">
        <f>IFERROR(__xludf.DUMMYFUNCTION("""COMPUTED_VALUE"""),46126.6666666666)</f>
        <v/>
      </c>
      <c r="BG181" s="513">
        <f>IFERROR(__xludf.DUMMYFUNCTION("""COMPUTED_VALUE"""),82.53)</f>
        <v/>
      </c>
      <c r="BI181" s="512">
        <f>IFERROR(__xludf.DUMMYFUNCTION("""COMPUTED_VALUE"""),46126.6666666666)</f>
        <v/>
      </c>
      <c r="BJ181" s="513">
        <f>IFERROR(__xludf.DUMMYFUNCTION("""COMPUTED_VALUE"""),87.21)</f>
        <v/>
      </c>
      <c r="BL181" s="512">
        <f>IFERROR(__xludf.DUMMYFUNCTION("""COMPUTED_VALUE"""),46126.6666666666)</f>
        <v/>
      </c>
      <c r="BM181" s="513">
        <f>IFERROR(__xludf.DUMMYFUNCTION("""COMPUTED_VALUE"""),445.09)</f>
        <v/>
      </c>
      <c r="BO181" s="512">
        <f>IFERROR(__xludf.DUMMYFUNCTION("""COMPUTED_VALUE"""),46126.6666666666)</f>
        <v/>
      </c>
      <c r="BP181" s="513">
        <f>IFERROR(__xludf.DUMMYFUNCTION("""COMPUTED_VALUE"""),91.5)</f>
        <v/>
      </c>
    </row>
    <row r="182">
      <c r="A182" s="512">
        <f>IFERROR(__xludf.DUMMYFUNCTION("""COMPUTED_VALUE"""),46127.6666666666)</f>
        <v/>
      </c>
      <c r="B182" s="513">
        <f>IFERROR(__xludf.DUMMYFUNCTION("""COMPUTED_VALUE"""),699.94)</f>
        <v/>
      </c>
      <c r="D182" s="512">
        <f>IFERROR(__xludf.DUMMYFUNCTION("""COMPUTED_VALUE"""),46127.6666666666)</f>
        <v/>
      </c>
      <c r="E182" s="513">
        <f>IFERROR(__xludf.DUMMYFUNCTION("""COMPUTED_VALUE"""),94.29)</f>
        <v/>
      </c>
      <c r="G182" s="512" t="n"/>
      <c r="H182" s="513" t="n"/>
      <c r="J182" s="512">
        <f>IFERROR(__xludf.DUMMYFUNCTION("""COMPUTED_VALUE"""),46127.6666666666)</f>
        <v/>
      </c>
      <c r="K182" s="513">
        <f>IFERROR(__xludf.DUMMYFUNCTION("""COMPUTED_VALUE"""),89.07)</f>
        <v/>
      </c>
      <c r="M182" s="512">
        <f>IFERROR(__xludf.DUMMYFUNCTION("""COMPUTED_VALUE"""),46127.6666666666)</f>
        <v/>
      </c>
      <c r="N182" s="513">
        <f>IFERROR(__xludf.DUMMYFUNCTION("""COMPUTED_VALUE"""),269.39)</f>
        <v/>
      </c>
      <c r="P182" s="512">
        <f>IFERROR(__xludf.DUMMYFUNCTION("""COMPUTED_VALUE"""),46127.6666666666)</f>
        <v/>
      </c>
      <c r="Q182" s="513">
        <f>IFERROR(__xludf.DUMMYFUNCTION("""COMPUTED_VALUE"""),88.03)</f>
        <v/>
      </c>
      <c r="S182" s="512">
        <f>IFERROR(__xludf.DUMMYFUNCTION("""COMPUTED_VALUE"""),45397.6666666666)</f>
        <v/>
      </c>
      <c r="T182" s="513">
        <f>IFERROR(__xludf.DUMMYFUNCTION("""COMPUTED_VALUE"""),172.69)</f>
        <v/>
      </c>
      <c r="V182" s="512">
        <f>IFERROR(__xludf.DUMMYFUNCTION("""COMPUTED_VALUE"""),46127.6666666666)</f>
        <v/>
      </c>
      <c r="W182" s="513">
        <f>IFERROR(__xludf.DUMMYFUNCTION("""COMPUTED_VALUE"""),28.89)</f>
        <v/>
      </c>
      <c r="Y182" s="512">
        <f>IFERROR(__xludf.DUMMYFUNCTION("""COMPUTED_VALUE"""),46127.6666666666)</f>
        <v/>
      </c>
      <c r="Z182" s="513">
        <f>IFERROR(__xludf.DUMMYFUNCTION("""COMPUTED_VALUE"""),73.88)</f>
        <v/>
      </c>
      <c r="AB182" s="512">
        <f>IFERROR(__xludf.DUMMYFUNCTION("""COMPUTED_VALUE"""),46127.6666666666)</f>
        <v/>
      </c>
      <c r="AC182" s="513">
        <f>IFERROR(__xludf.DUMMYFUNCTION("""COMPUTED_VALUE"""),58.09)</f>
        <v/>
      </c>
      <c r="AE182" s="512">
        <f>IFERROR(__xludf.DUMMYFUNCTION("""COMPUTED_VALUE"""),46127.6666666666)</f>
        <v/>
      </c>
      <c r="AF182" s="513">
        <f>IFERROR(__xludf.DUMMYFUNCTION("""COMPUTED_VALUE"""),96.25)</f>
        <v/>
      </c>
      <c r="AH182" s="512">
        <f>IFERROR(__xludf.DUMMYFUNCTION("""COMPUTED_VALUE"""),46127.6666666666)</f>
        <v/>
      </c>
      <c r="AI182" s="513">
        <f>IFERROR(__xludf.DUMMYFUNCTION("""COMPUTED_VALUE"""),22.34)</f>
        <v/>
      </c>
      <c r="AK182" s="512">
        <f>IFERROR(__xludf.DUMMYFUNCTION("""COMPUTED_VALUE"""),46127.6666666666)</f>
        <v/>
      </c>
      <c r="AL182" s="513">
        <f>IFERROR(__xludf.DUMMYFUNCTION("""COMPUTED_VALUE"""),80.46)</f>
        <v/>
      </c>
      <c r="AN182" s="512">
        <f>IFERROR(__xludf.DUMMYFUNCTION("""COMPUTED_VALUE"""),46127.6666666666)</f>
        <v/>
      </c>
      <c r="AO182" s="513">
        <f>IFERROR(__xludf.DUMMYFUNCTION("""COMPUTED_VALUE"""),111.43)</f>
        <v/>
      </c>
      <c r="AQ182" s="512">
        <f>IFERROR(__xludf.DUMMYFUNCTION("""COMPUTED_VALUE"""),46127.6666666666)</f>
        <v/>
      </c>
      <c r="AR182" s="513">
        <f>IFERROR(__xludf.DUMMYFUNCTION("""COMPUTED_VALUE"""),103.31)</f>
        <v/>
      </c>
      <c r="AT182" s="512">
        <f>IFERROR(__xludf.DUMMYFUNCTION("""COMPUTED_VALUE"""),46127.6666666666)</f>
        <v/>
      </c>
      <c r="AU182" s="513">
        <f>IFERROR(__xludf.DUMMYFUNCTION("""COMPUTED_VALUE"""),62.2)</f>
        <v/>
      </c>
      <c r="AW182" s="512">
        <f>IFERROR(__xludf.DUMMYFUNCTION("""COMPUTED_VALUE"""),46127.6666666666)</f>
        <v/>
      </c>
      <c r="AX182" s="513">
        <f>IFERROR(__xludf.DUMMYFUNCTION("""COMPUTED_VALUE"""),99.62)</f>
        <v/>
      </c>
      <c r="AZ182" s="512">
        <f>IFERROR(__xludf.DUMMYFUNCTION("""COMPUTED_VALUE"""),46127.6666666666)</f>
        <v/>
      </c>
      <c r="BA182" s="513">
        <f>IFERROR(__xludf.DUMMYFUNCTION("""COMPUTED_VALUE"""),109.94)</f>
        <v/>
      </c>
      <c r="BC182" s="512">
        <f>IFERROR(__xludf.DUMMYFUNCTION("""COMPUTED_VALUE"""),46127.6666666666)</f>
        <v/>
      </c>
      <c r="BD182" s="513">
        <f>IFERROR(__xludf.DUMMYFUNCTION("""COMPUTED_VALUE"""),95.58)</f>
        <v/>
      </c>
      <c r="BF182" s="512">
        <f>IFERROR(__xludf.DUMMYFUNCTION("""COMPUTED_VALUE"""),46127.6666666666)</f>
        <v/>
      </c>
      <c r="BG182" s="513">
        <f>IFERROR(__xludf.DUMMYFUNCTION("""COMPUTED_VALUE"""),82.51)</f>
        <v/>
      </c>
      <c r="BI182" s="512">
        <f>IFERROR(__xludf.DUMMYFUNCTION("""COMPUTED_VALUE"""),46127.6666666666)</f>
        <v/>
      </c>
      <c r="BJ182" s="513">
        <f>IFERROR(__xludf.DUMMYFUNCTION("""COMPUTED_VALUE"""),86.83)</f>
        <v/>
      </c>
      <c r="BL182" s="512">
        <f>IFERROR(__xludf.DUMMYFUNCTION("""COMPUTED_VALUE"""),46127.6666666666)</f>
        <v/>
      </c>
      <c r="BM182" s="513">
        <f>IFERROR(__xludf.DUMMYFUNCTION("""COMPUTED_VALUE"""),440.46)</f>
        <v/>
      </c>
      <c r="BO182" s="512">
        <f>IFERROR(__xludf.DUMMYFUNCTION("""COMPUTED_VALUE"""),46127.6666666666)</f>
        <v/>
      </c>
      <c r="BP182" s="513">
        <f>IFERROR(__xludf.DUMMYFUNCTION("""COMPUTED_VALUE"""),91.51)</f>
        <v/>
      </c>
    </row>
    <row r="183">
      <c r="A183" s="512">
        <f>IFERROR(__xludf.DUMMYFUNCTION("""COMPUTED_VALUE"""),46128.6666666666)</f>
        <v/>
      </c>
      <c r="B183" s="513">
        <f>IFERROR(__xludf.DUMMYFUNCTION("""COMPUTED_VALUE"""),701.66)</f>
        <v/>
      </c>
      <c r="D183" s="512">
        <f>IFERROR(__xludf.DUMMYFUNCTION("""COMPUTED_VALUE"""),46128.6666666666)</f>
        <v/>
      </c>
      <c r="E183" s="513">
        <f>IFERROR(__xludf.DUMMYFUNCTION("""COMPUTED_VALUE"""),95.16)</f>
        <v/>
      </c>
      <c r="G183" s="512" t="n"/>
      <c r="H183" s="513" t="n"/>
      <c r="J183" s="512">
        <f>IFERROR(__xludf.DUMMYFUNCTION("""COMPUTED_VALUE"""),46128.6666666666)</f>
        <v/>
      </c>
      <c r="K183" s="513">
        <f>IFERROR(__xludf.DUMMYFUNCTION("""COMPUTED_VALUE"""),89.41)</f>
        <v/>
      </c>
      <c r="M183" s="512">
        <f>IFERROR(__xludf.DUMMYFUNCTION("""COMPUTED_VALUE"""),46128.6666666666)</f>
        <v/>
      </c>
      <c r="N183" s="513">
        <f>IFERROR(__xludf.DUMMYFUNCTION("""COMPUTED_VALUE"""),269.95)</f>
        <v/>
      </c>
      <c r="P183" s="512">
        <f>IFERROR(__xludf.DUMMYFUNCTION("""COMPUTED_VALUE"""),46128.6666666666)</f>
        <v/>
      </c>
      <c r="Q183" s="513">
        <f>IFERROR(__xludf.DUMMYFUNCTION("""COMPUTED_VALUE"""),87.71)</f>
        <v/>
      </c>
      <c r="S183" s="512">
        <f>IFERROR(__xludf.DUMMYFUNCTION("""COMPUTED_VALUE"""),45398.6666666666)</f>
        <v/>
      </c>
      <c r="T183" s="513">
        <f>IFERROR(__xludf.DUMMYFUNCTION("""COMPUTED_VALUE"""),169.38)</f>
        <v/>
      </c>
      <c r="V183" s="512">
        <f>IFERROR(__xludf.DUMMYFUNCTION("""COMPUTED_VALUE"""),46128.6666666666)</f>
        <v/>
      </c>
      <c r="W183" s="513">
        <f>IFERROR(__xludf.DUMMYFUNCTION("""COMPUTED_VALUE"""),29.11)</f>
        <v/>
      </c>
      <c r="Y183" s="512">
        <f>IFERROR(__xludf.DUMMYFUNCTION("""COMPUTED_VALUE"""),46128.6666666666)</f>
        <v/>
      </c>
      <c r="Z183" s="513">
        <f>IFERROR(__xludf.DUMMYFUNCTION("""COMPUTED_VALUE"""),73.77)</f>
        <v/>
      </c>
      <c r="AB183" s="512">
        <f>IFERROR(__xludf.DUMMYFUNCTION("""COMPUTED_VALUE"""),46128.6666666666)</f>
        <v/>
      </c>
      <c r="AC183" s="513">
        <f>IFERROR(__xludf.DUMMYFUNCTION("""COMPUTED_VALUE"""),58.21)</f>
        <v/>
      </c>
      <c r="AE183" s="512">
        <f>IFERROR(__xludf.DUMMYFUNCTION("""COMPUTED_VALUE"""),46128.6666666666)</f>
        <v/>
      </c>
      <c r="AF183" s="513">
        <f>IFERROR(__xludf.DUMMYFUNCTION("""COMPUTED_VALUE"""),95.95)</f>
        <v/>
      </c>
      <c r="AH183" s="512">
        <f>IFERROR(__xludf.DUMMYFUNCTION("""COMPUTED_VALUE"""),46128.6666666666)</f>
        <v/>
      </c>
      <c r="AI183" s="513">
        <f>IFERROR(__xludf.DUMMYFUNCTION("""COMPUTED_VALUE"""),22.27)</f>
        <v/>
      </c>
      <c r="AK183" s="512">
        <f>IFERROR(__xludf.DUMMYFUNCTION("""COMPUTED_VALUE"""),46128.6666666666)</f>
        <v/>
      </c>
      <c r="AL183" s="513">
        <f>IFERROR(__xludf.DUMMYFUNCTION("""COMPUTED_VALUE"""),80.35)</f>
        <v/>
      </c>
      <c r="AN183" s="512">
        <f>IFERROR(__xludf.DUMMYFUNCTION("""COMPUTED_VALUE"""),46128.6666666666)</f>
        <v/>
      </c>
      <c r="AO183" s="513">
        <f>IFERROR(__xludf.DUMMYFUNCTION("""COMPUTED_VALUE"""),111.19)</f>
        <v/>
      </c>
      <c r="AQ183" s="512">
        <f>IFERROR(__xludf.DUMMYFUNCTION("""COMPUTED_VALUE"""),46128.6666666666)</f>
        <v/>
      </c>
      <c r="AR183" s="513">
        <f>IFERROR(__xludf.DUMMYFUNCTION("""COMPUTED_VALUE"""),103.01)</f>
        <v/>
      </c>
      <c r="AT183" s="512">
        <f>IFERROR(__xludf.DUMMYFUNCTION("""COMPUTED_VALUE"""),46128.6666666666)</f>
        <v/>
      </c>
      <c r="AU183" s="513">
        <f>IFERROR(__xludf.DUMMYFUNCTION("""COMPUTED_VALUE"""),62.45)</f>
        <v/>
      </c>
      <c r="AW183" s="512">
        <f>IFERROR(__xludf.DUMMYFUNCTION("""COMPUTED_VALUE"""),46128.6666666666)</f>
        <v/>
      </c>
      <c r="AX183" s="513">
        <f>IFERROR(__xludf.DUMMYFUNCTION("""COMPUTED_VALUE"""),99.48)</f>
        <v/>
      </c>
      <c r="AZ183" s="512">
        <f>IFERROR(__xludf.DUMMYFUNCTION("""COMPUTED_VALUE"""),46128.6666666666)</f>
        <v/>
      </c>
      <c r="BA183" s="513">
        <f>IFERROR(__xludf.DUMMYFUNCTION("""COMPUTED_VALUE"""),109.43)</f>
        <v/>
      </c>
      <c r="BC183" s="512">
        <f>IFERROR(__xludf.DUMMYFUNCTION("""COMPUTED_VALUE"""),46128.6666666666)</f>
        <v/>
      </c>
      <c r="BD183" s="513">
        <f>IFERROR(__xludf.DUMMYFUNCTION("""COMPUTED_VALUE"""),95.41)</f>
        <v/>
      </c>
      <c r="BF183" s="512">
        <f>IFERROR(__xludf.DUMMYFUNCTION("""COMPUTED_VALUE"""),46128.6666666666)</f>
        <v/>
      </c>
      <c r="BG183" s="513">
        <f>IFERROR(__xludf.DUMMYFUNCTION("""COMPUTED_VALUE"""),82.48)</f>
        <v/>
      </c>
      <c r="BI183" s="512">
        <f>IFERROR(__xludf.DUMMYFUNCTION("""COMPUTED_VALUE"""),46128.6666666666)</f>
        <v/>
      </c>
      <c r="BJ183" s="513">
        <f>IFERROR(__xludf.DUMMYFUNCTION("""COMPUTED_VALUE"""),86.28)</f>
        <v/>
      </c>
      <c r="BL183" s="512">
        <f>IFERROR(__xludf.DUMMYFUNCTION("""COMPUTED_VALUE"""),46128.6666666666)</f>
        <v/>
      </c>
      <c r="BM183" s="513">
        <f>IFERROR(__xludf.DUMMYFUNCTION("""COMPUTED_VALUE"""),440.08)</f>
        <v/>
      </c>
      <c r="BO183" s="512">
        <f>IFERROR(__xludf.DUMMYFUNCTION("""COMPUTED_VALUE"""),46128.6666666666)</f>
        <v/>
      </c>
      <c r="BP183" s="513">
        <f>IFERROR(__xludf.DUMMYFUNCTION("""COMPUTED_VALUE"""),91.52)</f>
        <v/>
      </c>
    </row>
    <row r="184">
      <c r="A184" s="512">
        <f>IFERROR(__xludf.DUMMYFUNCTION("""COMPUTED_VALUE"""),46129.6666666666)</f>
        <v/>
      </c>
      <c r="B184" s="513">
        <f>IFERROR(__xludf.DUMMYFUNCTION("""COMPUTED_VALUE"""),710.14)</f>
        <v/>
      </c>
      <c r="D184" s="512">
        <f>IFERROR(__xludf.DUMMYFUNCTION("""COMPUTED_VALUE"""),46129.6666666666)</f>
        <v/>
      </c>
      <c r="E184" s="513">
        <f>IFERROR(__xludf.DUMMYFUNCTION("""COMPUTED_VALUE"""),96.68)</f>
        <v/>
      </c>
      <c r="G184" s="512" t="n"/>
      <c r="H184" s="513" t="n"/>
      <c r="J184" s="512">
        <f>IFERROR(__xludf.DUMMYFUNCTION("""COMPUTED_VALUE"""),46129.6666666666)</f>
        <v/>
      </c>
      <c r="K184" s="513">
        <f>IFERROR(__xludf.DUMMYFUNCTION("""COMPUTED_VALUE"""),90.19)</f>
        <v/>
      </c>
      <c r="M184" s="512">
        <f>IFERROR(__xludf.DUMMYFUNCTION("""COMPUTED_VALUE"""),46129.6666666666)</f>
        <v/>
      </c>
      <c r="N184" s="513">
        <f>IFERROR(__xludf.DUMMYFUNCTION("""COMPUTED_VALUE"""),275.78)</f>
        <v/>
      </c>
      <c r="P184" s="512">
        <f>IFERROR(__xludf.DUMMYFUNCTION("""COMPUTED_VALUE"""),46129.6666666666)</f>
        <v/>
      </c>
      <c r="Q184" s="513">
        <f>IFERROR(__xludf.DUMMYFUNCTION("""COMPUTED_VALUE"""),89.07)</f>
        <v/>
      </c>
      <c r="S184" s="512">
        <f>IFERROR(__xludf.DUMMYFUNCTION("""COMPUTED_VALUE"""),45399.6666666666)</f>
        <v/>
      </c>
      <c r="T184" s="513">
        <f>IFERROR(__xludf.DUMMYFUNCTION("""COMPUTED_VALUE"""),168)</f>
        <v/>
      </c>
      <c r="V184" s="512">
        <f>IFERROR(__xludf.DUMMYFUNCTION("""COMPUTED_VALUE"""),46129.6666666666)</f>
        <v/>
      </c>
      <c r="W184" s="513">
        <f>IFERROR(__xludf.DUMMYFUNCTION("""COMPUTED_VALUE"""),28.29)</f>
        <v/>
      </c>
      <c r="Y184" s="512">
        <f>IFERROR(__xludf.DUMMYFUNCTION("""COMPUTED_VALUE"""),46129.6666666666)</f>
        <v/>
      </c>
      <c r="Z184" s="513">
        <f>IFERROR(__xludf.DUMMYFUNCTION("""COMPUTED_VALUE"""),74.06)</f>
        <v/>
      </c>
      <c r="AB184" s="512">
        <f>IFERROR(__xludf.DUMMYFUNCTION("""COMPUTED_VALUE"""),46129.6666666666)</f>
        <v/>
      </c>
      <c r="AC184" s="513">
        <f>IFERROR(__xludf.DUMMYFUNCTION("""COMPUTED_VALUE"""),59.18)</f>
        <v/>
      </c>
      <c r="AE184" s="512">
        <f>IFERROR(__xludf.DUMMYFUNCTION("""COMPUTED_VALUE"""),46129.6666666666)</f>
        <v/>
      </c>
      <c r="AF184" s="513">
        <f>IFERROR(__xludf.DUMMYFUNCTION("""COMPUTED_VALUE"""),96.67)</f>
        <v/>
      </c>
      <c r="AH184" s="512">
        <f>IFERROR(__xludf.DUMMYFUNCTION("""COMPUTED_VALUE"""),46129.6666666666)</f>
        <v/>
      </c>
      <c r="AI184" s="513">
        <f>IFERROR(__xludf.DUMMYFUNCTION("""COMPUTED_VALUE"""),22.42)</f>
        <v/>
      </c>
      <c r="AK184" s="512">
        <f>IFERROR(__xludf.DUMMYFUNCTION("""COMPUTED_VALUE"""),46129.6666666666)</f>
        <v/>
      </c>
      <c r="AL184" s="513">
        <f>IFERROR(__xludf.DUMMYFUNCTION("""COMPUTED_VALUE"""),80.65)</f>
        <v/>
      </c>
      <c r="AN184" s="512">
        <f>IFERROR(__xludf.DUMMYFUNCTION("""COMPUTED_VALUE"""),46129.6666666666)</f>
        <v/>
      </c>
      <c r="AO184" s="513">
        <f>IFERROR(__xludf.DUMMYFUNCTION("""COMPUTED_VALUE"""),111.48)</f>
        <v/>
      </c>
      <c r="AQ184" s="512">
        <f>IFERROR(__xludf.DUMMYFUNCTION("""COMPUTED_VALUE"""),46129.6666666666)</f>
        <v/>
      </c>
      <c r="AR184" s="513">
        <f>IFERROR(__xludf.DUMMYFUNCTION("""COMPUTED_VALUE"""),104.32)</f>
        <v/>
      </c>
      <c r="AT184" s="512">
        <f>IFERROR(__xludf.DUMMYFUNCTION("""COMPUTED_VALUE"""),46129.6666666666)</f>
        <v/>
      </c>
      <c r="AU184" s="513">
        <f>IFERROR(__xludf.DUMMYFUNCTION("""COMPUTED_VALUE"""),63.64)</f>
        <v/>
      </c>
      <c r="AW184" s="512">
        <f>IFERROR(__xludf.DUMMYFUNCTION("""COMPUTED_VALUE"""),46129.6666666666)</f>
        <v/>
      </c>
      <c r="AX184" s="513">
        <f>IFERROR(__xludf.DUMMYFUNCTION("""COMPUTED_VALUE"""),99.85)</f>
        <v/>
      </c>
      <c r="AZ184" s="512">
        <f>IFERROR(__xludf.DUMMYFUNCTION("""COMPUTED_VALUE"""),46129.6666666666)</f>
        <v/>
      </c>
      <c r="BA184" s="513">
        <f>IFERROR(__xludf.DUMMYFUNCTION("""COMPUTED_VALUE"""),110.04)</f>
        <v/>
      </c>
      <c r="BC184" s="512">
        <f>IFERROR(__xludf.DUMMYFUNCTION("""COMPUTED_VALUE"""),46129.6666666666)</f>
        <v/>
      </c>
      <c r="BD184" s="513">
        <f>IFERROR(__xludf.DUMMYFUNCTION("""COMPUTED_VALUE"""),95.93)</f>
        <v/>
      </c>
      <c r="BF184" s="512">
        <f>IFERROR(__xludf.DUMMYFUNCTION("""COMPUTED_VALUE"""),46129.6666666666)</f>
        <v/>
      </c>
      <c r="BG184" s="513">
        <f>IFERROR(__xludf.DUMMYFUNCTION("""COMPUTED_VALUE"""),82.64)</f>
        <v/>
      </c>
      <c r="BI184" s="512">
        <f>IFERROR(__xludf.DUMMYFUNCTION("""COMPUTED_VALUE"""),46129.6666666666)</f>
        <v/>
      </c>
      <c r="BJ184" s="513">
        <f>IFERROR(__xludf.DUMMYFUNCTION("""COMPUTED_VALUE"""),87.07)</f>
        <v/>
      </c>
      <c r="BL184" s="512">
        <f>IFERROR(__xludf.DUMMYFUNCTION("""COMPUTED_VALUE"""),46129.6666666666)</f>
        <v/>
      </c>
      <c r="BM184" s="513">
        <f>IFERROR(__xludf.DUMMYFUNCTION("""COMPUTED_VALUE"""),445.93)</f>
        <v/>
      </c>
      <c r="BO184" s="512">
        <f>IFERROR(__xludf.DUMMYFUNCTION("""COMPUTED_VALUE"""),46129.6666666666)</f>
        <v/>
      </c>
      <c r="BP184" s="513">
        <f>IFERROR(__xludf.DUMMYFUNCTION("""COMPUTED_VALUE"""),91.55)</f>
        <v/>
      </c>
    </row>
    <row r="185">
      <c r="A185" s="512">
        <f>IFERROR(__xludf.DUMMYFUNCTION("""COMPUTED_VALUE"""),46132.6666666666)</f>
        <v/>
      </c>
      <c r="B185" s="513">
        <f>IFERROR(__xludf.DUMMYFUNCTION("""COMPUTED_VALUE"""),708.72)</f>
        <v/>
      </c>
      <c r="D185" s="512">
        <f>IFERROR(__xludf.DUMMYFUNCTION("""COMPUTED_VALUE"""),46132.6666666666)</f>
        <v/>
      </c>
      <c r="E185" s="513">
        <f>IFERROR(__xludf.DUMMYFUNCTION("""COMPUTED_VALUE"""),97.03)</f>
        <v/>
      </c>
      <c r="G185" s="512" t="n"/>
      <c r="H185" s="513" t="n"/>
      <c r="J185" s="512">
        <f>IFERROR(__xludf.DUMMYFUNCTION("""COMPUTED_VALUE"""),46132.6666666666)</f>
        <v/>
      </c>
      <c r="K185" s="513">
        <f>IFERROR(__xludf.DUMMYFUNCTION("""COMPUTED_VALUE"""),89.33)</f>
        <v/>
      </c>
      <c r="M185" s="512">
        <f>IFERROR(__xludf.DUMMYFUNCTION("""COMPUTED_VALUE"""),46132.6666666666)</f>
        <v/>
      </c>
      <c r="N185" s="513">
        <f>IFERROR(__xludf.DUMMYFUNCTION("""COMPUTED_VALUE"""),277.35)</f>
        <v/>
      </c>
      <c r="P185" s="512">
        <f>IFERROR(__xludf.DUMMYFUNCTION("""COMPUTED_VALUE"""),46132.6666666666)</f>
        <v/>
      </c>
      <c r="Q185" s="513">
        <f>IFERROR(__xludf.DUMMYFUNCTION("""COMPUTED_VALUE"""),88.84)</f>
        <v/>
      </c>
      <c r="S185" s="512">
        <f>IFERROR(__xludf.DUMMYFUNCTION("""COMPUTED_VALUE"""),45400.6666666666)</f>
        <v/>
      </c>
      <c r="T185" s="513">
        <f>IFERROR(__xludf.DUMMYFUNCTION("""COMPUTED_VALUE"""),167.04)</f>
        <v/>
      </c>
      <c r="V185" s="512">
        <f>IFERROR(__xludf.DUMMYFUNCTION("""COMPUTED_VALUE"""),46132.6666666666)</f>
        <v/>
      </c>
      <c r="W185" s="513">
        <f>IFERROR(__xludf.DUMMYFUNCTION("""COMPUTED_VALUE"""),28.67)</f>
        <v/>
      </c>
      <c r="Y185" s="512">
        <f>IFERROR(__xludf.DUMMYFUNCTION("""COMPUTED_VALUE"""),46132.6666666666)</f>
        <v/>
      </c>
      <c r="Z185" s="513">
        <f>IFERROR(__xludf.DUMMYFUNCTION("""COMPUTED_VALUE"""),74.01)</f>
        <v/>
      </c>
      <c r="AB185" s="512">
        <f>IFERROR(__xludf.DUMMYFUNCTION("""COMPUTED_VALUE"""),46132.6666666666)</f>
        <v/>
      </c>
      <c r="AC185" s="513">
        <f>IFERROR(__xludf.DUMMYFUNCTION("""COMPUTED_VALUE"""),58.91)</f>
        <v/>
      </c>
      <c r="AE185" s="512">
        <f>IFERROR(__xludf.DUMMYFUNCTION("""COMPUTED_VALUE"""),46132.6666666666)</f>
        <v/>
      </c>
      <c r="AF185" s="513">
        <f>IFERROR(__xludf.DUMMYFUNCTION("""COMPUTED_VALUE"""),96.59)</f>
        <v/>
      </c>
      <c r="AH185" s="512">
        <f>IFERROR(__xludf.DUMMYFUNCTION("""COMPUTED_VALUE"""),46132.6666666666)</f>
        <v/>
      </c>
      <c r="AI185" s="513">
        <f>IFERROR(__xludf.DUMMYFUNCTION("""COMPUTED_VALUE"""),22.45)</f>
        <v/>
      </c>
      <c r="AK185" s="512">
        <f>IFERROR(__xludf.DUMMYFUNCTION("""COMPUTED_VALUE"""),46132.6666666666)</f>
        <v/>
      </c>
      <c r="AL185" s="513">
        <f>IFERROR(__xludf.DUMMYFUNCTION("""COMPUTED_VALUE"""),80.58)</f>
        <v/>
      </c>
      <c r="AN185" s="512">
        <f>IFERROR(__xludf.DUMMYFUNCTION("""COMPUTED_VALUE"""),46132.6666666666)</f>
        <v/>
      </c>
      <c r="AO185" s="513">
        <f>IFERROR(__xludf.DUMMYFUNCTION("""COMPUTED_VALUE"""),111.41)</f>
        <v/>
      </c>
      <c r="AQ185" s="512">
        <f>IFERROR(__xludf.DUMMYFUNCTION("""COMPUTED_VALUE"""),46132.6666666666)</f>
        <v/>
      </c>
      <c r="AR185" s="513">
        <f>IFERROR(__xludf.DUMMYFUNCTION("""COMPUTED_VALUE"""),103.91)</f>
        <v/>
      </c>
      <c r="AT185" s="512">
        <f>IFERROR(__xludf.DUMMYFUNCTION("""COMPUTED_VALUE"""),46132.6666666666)</f>
        <v/>
      </c>
      <c r="AU185" s="513">
        <f>IFERROR(__xludf.DUMMYFUNCTION("""COMPUTED_VALUE"""),63.18)</f>
        <v/>
      </c>
      <c r="AW185" s="512">
        <f>IFERROR(__xludf.DUMMYFUNCTION("""COMPUTED_VALUE"""),46132.6666666666)</f>
        <v/>
      </c>
      <c r="AX185" s="513">
        <f>IFERROR(__xludf.DUMMYFUNCTION("""COMPUTED_VALUE"""),99.84)</f>
        <v/>
      </c>
      <c r="AZ185" s="512">
        <f>IFERROR(__xludf.DUMMYFUNCTION("""COMPUTED_VALUE"""),46132.6666666666)</f>
        <v/>
      </c>
      <c r="BA185" s="513">
        <f>IFERROR(__xludf.DUMMYFUNCTION("""COMPUTED_VALUE"""),110.03)</f>
        <v/>
      </c>
      <c r="BC185" s="512">
        <f>IFERROR(__xludf.DUMMYFUNCTION("""COMPUTED_VALUE"""),46132.6666666666)</f>
        <v/>
      </c>
      <c r="BD185" s="513">
        <f>IFERROR(__xludf.DUMMYFUNCTION("""COMPUTED_VALUE"""),95.84)</f>
        <v/>
      </c>
      <c r="BF185" s="512">
        <f>IFERROR(__xludf.DUMMYFUNCTION("""COMPUTED_VALUE"""),46132.6666666666)</f>
        <v/>
      </c>
      <c r="BG185" s="513">
        <f>IFERROR(__xludf.DUMMYFUNCTION("""COMPUTED_VALUE"""),82.6)</f>
        <v/>
      </c>
      <c r="BI185" s="512">
        <f>IFERROR(__xludf.DUMMYFUNCTION("""COMPUTED_VALUE"""),46132.6666666666)</f>
        <v/>
      </c>
      <c r="BJ185" s="513">
        <f>IFERROR(__xludf.DUMMYFUNCTION("""COMPUTED_VALUE"""),87.05)</f>
        <v/>
      </c>
      <c r="BL185" s="512">
        <f>IFERROR(__xludf.DUMMYFUNCTION("""COMPUTED_VALUE"""),46132.6666666666)</f>
        <v/>
      </c>
      <c r="BM185" s="513">
        <f>IFERROR(__xludf.DUMMYFUNCTION("""COMPUTED_VALUE"""),442.09)</f>
        <v/>
      </c>
      <c r="BO185" s="512">
        <f>IFERROR(__xludf.DUMMYFUNCTION("""COMPUTED_VALUE"""),46132.6666666666)</f>
        <v/>
      </c>
      <c r="BP185" s="513">
        <f>IFERROR(__xludf.DUMMYFUNCTION("""COMPUTED_VALUE"""),91.56)</f>
        <v/>
      </c>
    </row>
    <row r="186">
      <c r="A186" s="512">
        <f>IFERROR(__xludf.DUMMYFUNCTION("""COMPUTED_VALUE"""),46133.6666666666)</f>
        <v/>
      </c>
      <c r="B186" s="513">
        <f>IFERROR(__xludf.DUMMYFUNCTION("""COMPUTED_VALUE"""),704.08)</f>
        <v/>
      </c>
      <c r="D186" s="512">
        <f>IFERROR(__xludf.DUMMYFUNCTION("""COMPUTED_VALUE"""),46133.6666666666)</f>
        <v/>
      </c>
      <c r="E186" s="513">
        <f>IFERROR(__xludf.DUMMYFUNCTION("""COMPUTED_VALUE"""),95.31)</f>
        <v/>
      </c>
      <c r="G186" s="512" t="n"/>
      <c r="H186" s="513" t="n"/>
      <c r="J186" s="512">
        <f>IFERROR(__xludf.DUMMYFUNCTION("""COMPUTED_VALUE"""),46133.6666666666)</f>
        <v/>
      </c>
      <c r="K186" s="513">
        <f>IFERROR(__xludf.DUMMYFUNCTION("""COMPUTED_VALUE"""),87.14)</f>
        <v/>
      </c>
      <c r="M186" s="512">
        <f>IFERROR(__xludf.DUMMYFUNCTION("""COMPUTED_VALUE"""),46133.6666666666)</f>
        <v/>
      </c>
      <c r="N186" s="513">
        <f>IFERROR(__xludf.DUMMYFUNCTION("""COMPUTED_VALUE"""),274.51)</f>
        <v/>
      </c>
      <c r="P186" s="512">
        <f>IFERROR(__xludf.DUMMYFUNCTION("""COMPUTED_VALUE"""),46133.6666666666)</f>
        <v/>
      </c>
      <c r="Q186" s="513">
        <f>IFERROR(__xludf.DUMMYFUNCTION("""COMPUTED_VALUE"""),86.9)</f>
        <v/>
      </c>
      <c r="S186" s="512">
        <f>IFERROR(__xludf.DUMMYFUNCTION("""COMPUTED_VALUE"""),45401.6666666666)</f>
        <v/>
      </c>
      <c r="T186" s="513">
        <f>IFERROR(__xludf.DUMMYFUNCTION("""COMPUTED_VALUE"""),165)</f>
        <v/>
      </c>
      <c r="V186" s="512">
        <f>IFERROR(__xludf.DUMMYFUNCTION("""COMPUTED_VALUE"""),46133.6666666666)</f>
        <v/>
      </c>
      <c r="W186" s="513">
        <f>IFERROR(__xludf.DUMMYFUNCTION("""COMPUTED_VALUE"""),29.21)</f>
        <v/>
      </c>
      <c r="Y186" s="512">
        <f>IFERROR(__xludf.DUMMYFUNCTION("""COMPUTED_VALUE"""),46133.6666666666)</f>
        <v/>
      </c>
      <c r="Z186" s="513">
        <f>IFERROR(__xludf.DUMMYFUNCTION("""COMPUTED_VALUE"""),73.78)</f>
        <v/>
      </c>
      <c r="AB186" s="512">
        <f>IFERROR(__xludf.DUMMYFUNCTION("""COMPUTED_VALUE"""),46133.6666666666)</f>
        <v/>
      </c>
      <c r="AC186" s="513">
        <f>IFERROR(__xludf.DUMMYFUNCTION("""COMPUTED_VALUE"""),58.2)</f>
        <v/>
      </c>
      <c r="AE186" s="512">
        <f>IFERROR(__xludf.DUMMYFUNCTION("""COMPUTED_VALUE"""),46133.6666666666)</f>
        <v/>
      </c>
      <c r="AF186" s="513">
        <f>IFERROR(__xludf.DUMMYFUNCTION("""COMPUTED_VALUE"""),96.13)</f>
        <v/>
      </c>
      <c r="AH186" s="512">
        <f>IFERROR(__xludf.DUMMYFUNCTION("""COMPUTED_VALUE"""),46133.6666666666)</f>
        <v/>
      </c>
      <c r="AI186" s="513">
        <f>IFERROR(__xludf.DUMMYFUNCTION("""COMPUTED_VALUE"""),22.24)</f>
        <v/>
      </c>
      <c r="AK186" s="512">
        <f>IFERROR(__xludf.DUMMYFUNCTION("""COMPUTED_VALUE"""),46133.6666666666)</f>
        <v/>
      </c>
      <c r="AL186" s="513">
        <f>IFERROR(__xludf.DUMMYFUNCTION("""COMPUTED_VALUE"""),80.37)</f>
        <v/>
      </c>
      <c r="AN186" s="512">
        <f>IFERROR(__xludf.DUMMYFUNCTION("""COMPUTED_VALUE"""),46133.6666666666)</f>
        <v/>
      </c>
      <c r="AO186" s="513">
        <f>IFERROR(__xludf.DUMMYFUNCTION("""COMPUTED_VALUE"""),111.22)</f>
        <v/>
      </c>
      <c r="AQ186" s="512">
        <f>IFERROR(__xludf.DUMMYFUNCTION("""COMPUTED_VALUE"""),46133.6666666666)</f>
        <v/>
      </c>
      <c r="AR186" s="513">
        <f>IFERROR(__xludf.DUMMYFUNCTION("""COMPUTED_VALUE"""),101.63)</f>
        <v/>
      </c>
      <c r="AT186" s="512">
        <f>IFERROR(__xludf.DUMMYFUNCTION("""COMPUTED_VALUE"""),46133.6666666666)</f>
        <v/>
      </c>
      <c r="AU186" s="513">
        <f>IFERROR(__xludf.DUMMYFUNCTION("""COMPUTED_VALUE"""),62.25)</f>
        <v/>
      </c>
      <c r="AW186" s="512">
        <f>IFERROR(__xludf.DUMMYFUNCTION("""COMPUTED_VALUE"""),46133.6666666666)</f>
        <v/>
      </c>
      <c r="AX186" s="513">
        <f>IFERROR(__xludf.DUMMYFUNCTION("""COMPUTED_VALUE"""),99.47)</f>
        <v/>
      </c>
      <c r="AZ186" s="512">
        <f>IFERROR(__xludf.DUMMYFUNCTION("""COMPUTED_VALUE"""),46133.6666666666)</f>
        <v/>
      </c>
      <c r="BA186" s="513">
        <f>IFERROR(__xludf.DUMMYFUNCTION("""COMPUTED_VALUE"""),109.61)</f>
        <v/>
      </c>
      <c r="BC186" s="512">
        <f>IFERROR(__xludf.DUMMYFUNCTION("""COMPUTED_VALUE"""),46133.6666666666)</f>
        <v/>
      </c>
      <c r="BD186" s="513">
        <f>IFERROR(__xludf.DUMMYFUNCTION("""COMPUTED_VALUE"""),95.42)</f>
        <v/>
      </c>
      <c r="BF186" s="512">
        <f>IFERROR(__xludf.DUMMYFUNCTION("""COMPUTED_VALUE"""),46133.6666666666)</f>
        <v/>
      </c>
      <c r="BG186" s="513">
        <f>IFERROR(__xludf.DUMMYFUNCTION("""COMPUTED_VALUE"""),82.48)</f>
        <v/>
      </c>
      <c r="BI186" s="512">
        <f>IFERROR(__xludf.DUMMYFUNCTION("""COMPUTED_VALUE"""),46133.6666666666)</f>
        <v/>
      </c>
      <c r="BJ186" s="513">
        <f>IFERROR(__xludf.DUMMYFUNCTION("""COMPUTED_VALUE"""),86.57)</f>
        <v/>
      </c>
      <c r="BL186" s="512">
        <f>IFERROR(__xludf.DUMMYFUNCTION("""COMPUTED_VALUE"""),46133.6666666666)</f>
        <v/>
      </c>
      <c r="BM186" s="513">
        <f>IFERROR(__xludf.DUMMYFUNCTION("""COMPUTED_VALUE"""),429.57)</f>
        <v/>
      </c>
      <c r="BO186" s="512">
        <f>IFERROR(__xludf.DUMMYFUNCTION("""COMPUTED_VALUE"""),46133.6666666666)</f>
        <v/>
      </c>
      <c r="BP186" s="513">
        <f>IFERROR(__xludf.DUMMYFUNCTION("""COMPUTED_VALUE"""),91.57)</f>
        <v/>
      </c>
    </row>
    <row r="187">
      <c r="A187" s="512">
        <f>IFERROR(__xludf.DUMMYFUNCTION("""COMPUTED_VALUE"""),46134.6666666666)</f>
        <v/>
      </c>
      <c r="B187" s="513">
        <f>IFERROR(__xludf.DUMMYFUNCTION("""COMPUTED_VALUE"""),711.21)</f>
        <v/>
      </c>
      <c r="D187" s="512">
        <f>IFERROR(__xludf.DUMMYFUNCTION("""COMPUTED_VALUE"""),46134.6666666666)</f>
        <v/>
      </c>
      <c r="E187" s="513">
        <f>IFERROR(__xludf.DUMMYFUNCTION("""COMPUTED_VALUE"""),94.52)</f>
        <v/>
      </c>
      <c r="G187" s="512" t="n"/>
      <c r="H187" s="513" t="n"/>
      <c r="J187" s="512">
        <f>IFERROR(__xludf.DUMMYFUNCTION("""COMPUTED_VALUE"""),46134.6666666666)</f>
        <v/>
      </c>
      <c r="K187" s="513">
        <f>IFERROR(__xludf.DUMMYFUNCTION("""COMPUTED_VALUE"""),87.76)</f>
        <v/>
      </c>
      <c r="M187" s="512">
        <f>IFERROR(__xludf.DUMMYFUNCTION("""COMPUTED_VALUE"""),46134.6666666666)</f>
        <v/>
      </c>
      <c r="N187" s="513">
        <f>IFERROR(__xludf.DUMMYFUNCTION("""COMPUTED_VALUE"""),276.48)</f>
        <v/>
      </c>
      <c r="P187" s="512">
        <f>IFERROR(__xludf.DUMMYFUNCTION("""COMPUTED_VALUE"""),46134.6666666666)</f>
        <v/>
      </c>
      <c r="Q187" s="513">
        <f>IFERROR(__xludf.DUMMYFUNCTION("""COMPUTED_VALUE"""),87.14)</f>
        <v/>
      </c>
      <c r="S187" s="512">
        <f>IFERROR(__xludf.DUMMYFUNCTION("""COMPUTED_VALUE"""),45404.6666666666)</f>
        <v/>
      </c>
      <c r="T187" s="513">
        <f>IFERROR(__xludf.DUMMYFUNCTION("""COMPUTED_VALUE"""),165.84)</f>
        <v/>
      </c>
      <c r="V187" s="512">
        <f>IFERROR(__xludf.DUMMYFUNCTION("""COMPUTED_VALUE"""),46134.6666666666)</f>
        <v/>
      </c>
      <c r="W187" s="513">
        <f>IFERROR(__xludf.DUMMYFUNCTION("""COMPUTED_VALUE"""),29.51)</f>
        <v/>
      </c>
      <c r="Y187" s="512">
        <f>IFERROR(__xludf.DUMMYFUNCTION("""COMPUTED_VALUE"""),46134.6666666666)</f>
        <v/>
      </c>
      <c r="Z187" s="513">
        <f>IFERROR(__xludf.DUMMYFUNCTION("""COMPUTED_VALUE"""),73.86)</f>
        <v/>
      </c>
      <c r="AB187" s="512">
        <f>IFERROR(__xludf.DUMMYFUNCTION("""COMPUTED_VALUE"""),46134.6666666666)</f>
        <v/>
      </c>
      <c r="AC187" s="513">
        <f>IFERROR(__xludf.DUMMYFUNCTION("""COMPUTED_VALUE"""),58.76)</f>
        <v/>
      </c>
      <c r="AE187" s="512">
        <f>IFERROR(__xludf.DUMMYFUNCTION("""COMPUTED_VALUE"""),46134.6666666666)</f>
        <v/>
      </c>
      <c r="AF187" s="513">
        <f>IFERROR(__xludf.DUMMYFUNCTION("""COMPUTED_VALUE"""),96.38)</f>
        <v/>
      </c>
      <c r="AH187" s="512">
        <f>IFERROR(__xludf.DUMMYFUNCTION("""COMPUTED_VALUE"""),46134.6666666666)</f>
        <v/>
      </c>
      <c r="AI187" s="513">
        <f>IFERROR(__xludf.DUMMYFUNCTION("""COMPUTED_VALUE"""),22.25)</f>
        <v/>
      </c>
      <c r="AK187" s="512">
        <f>IFERROR(__xludf.DUMMYFUNCTION("""COMPUTED_VALUE"""),46134.6666666666)</f>
        <v/>
      </c>
      <c r="AL187" s="513">
        <f>IFERROR(__xludf.DUMMYFUNCTION("""COMPUTED_VALUE"""),80.5)</f>
        <v/>
      </c>
      <c r="AN187" s="512">
        <f>IFERROR(__xludf.DUMMYFUNCTION("""COMPUTED_VALUE"""),46134.6666666666)</f>
        <v/>
      </c>
      <c r="AO187" s="513">
        <f>IFERROR(__xludf.DUMMYFUNCTION("""COMPUTED_VALUE"""),111.39)</f>
        <v/>
      </c>
      <c r="AQ187" s="512">
        <f>IFERROR(__xludf.DUMMYFUNCTION("""COMPUTED_VALUE"""),46134.6666666666)</f>
        <v/>
      </c>
      <c r="AR187" s="513">
        <f>IFERROR(__xludf.DUMMYFUNCTION("""COMPUTED_VALUE"""),101.97)</f>
        <v/>
      </c>
      <c r="AT187" s="512">
        <f>IFERROR(__xludf.DUMMYFUNCTION("""COMPUTED_VALUE"""),46134.6666666666)</f>
        <v/>
      </c>
      <c r="AU187" s="513">
        <f>IFERROR(__xludf.DUMMYFUNCTION("""COMPUTED_VALUE"""),63.38)</f>
        <v/>
      </c>
      <c r="AW187" s="512">
        <f>IFERROR(__xludf.DUMMYFUNCTION("""COMPUTED_VALUE"""),46134.6666666666)</f>
        <v/>
      </c>
      <c r="AX187" s="513">
        <f>IFERROR(__xludf.DUMMYFUNCTION("""COMPUTED_VALUE"""),99.61)</f>
        <v/>
      </c>
      <c r="AZ187" s="512">
        <f>IFERROR(__xludf.DUMMYFUNCTION("""COMPUTED_VALUE"""),46134.6666666666)</f>
        <v/>
      </c>
      <c r="BA187" s="513">
        <f>IFERROR(__xludf.DUMMYFUNCTION("""COMPUTED_VALUE"""),109.82)</f>
        <v/>
      </c>
      <c r="BC187" s="512">
        <f>IFERROR(__xludf.DUMMYFUNCTION("""COMPUTED_VALUE"""),46134.6666666666)</f>
        <v/>
      </c>
      <c r="BD187" s="513">
        <f>IFERROR(__xludf.DUMMYFUNCTION("""COMPUTED_VALUE"""),95.52)</f>
        <v/>
      </c>
      <c r="BF187" s="512">
        <f>IFERROR(__xludf.DUMMYFUNCTION("""COMPUTED_VALUE"""),46134.6666666666)</f>
        <v/>
      </c>
      <c r="BG187" s="513">
        <f>IFERROR(__xludf.DUMMYFUNCTION("""COMPUTED_VALUE"""),82.52)</f>
        <v/>
      </c>
      <c r="BI187" s="512">
        <f>IFERROR(__xludf.DUMMYFUNCTION("""COMPUTED_VALUE"""),46134.6666666666)</f>
        <v/>
      </c>
      <c r="BJ187" s="513">
        <f>IFERROR(__xludf.DUMMYFUNCTION("""COMPUTED_VALUE"""),86.74)</f>
        <v/>
      </c>
      <c r="BL187" s="512">
        <f>IFERROR(__xludf.DUMMYFUNCTION("""COMPUTED_VALUE"""),46134.6666666666)</f>
        <v/>
      </c>
      <c r="BM187" s="513">
        <f>IFERROR(__xludf.DUMMYFUNCTION("""COMPUTED_VALUE"""),435.26)</f>
        <v/>
      </c>
      <c r="BO187" s="512">
        <f>IFERROR(__xludf.DUMMYFUNCTION("""COMPUTED_VALUE"""),46134.6666666666)</f>
        <v/>
      </c>
      <c r="BP187" s="513">
        <f>IFERROR(__xludf.DUMMYFUNCTION("""COMPUTED_VALUE"""),91.57)</f>
        <v/>
      </c>
    </row>
    <row r="188">
      <c r="A188" s="512">
        <f>IFERROR(__xludf.DUMMYFUNCTION("""COMPUTED_VALUE"""),46135.6666666666)</f>
        <v/>
      </c>
      <c r="B188" s="513">
        <f>IFERROR(__xludf.DUMMYFUNCTION("""COMPUTED_VALUE"""),708.45)</f>
        <v/>
      </c>
      <c r="D188" s="512">
        <f>IFERROR(__xludf.DUMMYFUNCTION("""COMPUTED_VALUE"""),46135.6666666666)</f>
        <v/>
      </c>
      <c r="E188" s="513">
        <f>IFERROR(__xludf.DUMMYFUNCTION("""COMPUTED_VALUE"""),95.49)</f>
        <v/>
      </c>
      <c r="G188" s="512" t="n"/>
      <c r="H188" s="513" t="n"/>
      <c r="J188" s="512">
        <f>IFERROR(__xludf.DUMMYFUNCTION("""COMPUTED_VALUE"""),46135.6666666666)</f>
        <v/>
      </c>
      <c r="K188" s="513">
        <f>IFERROR(__xludf.DUMMYFUNCTION("""COMPUTED_VALUE"""),87.07)</f>
        <v/>
      </c>
      <c r="M188" s="512">
        <f>IFERROR(__xludf.DUMMYFUNCTION("""COMPUTED_VALUE"""),46135.6666666666)</f>
        <v/>
      </c>
      <c r="N188" s="513">
        <f>IFERROR(__xludf.DUMMYFUNCTION("""COMPUTED_VALUE"""),275.52)</f>
        <v/>
      </c>
      <c r="P188" s="512">
        <f>IFERROR(__xludf.DUMMYFUNCTION("""COMPUTED_VALUE"""),46135.6666666666)</f>
        <v/>
      </c>
      <c r="Q188" s="513">
        <f>IFERROR(__xludf.DUMMYFUNCTION("""COMPUTED_VALUE"""),86.47)</f>
        <v/>
      </c>
      <c r="S188" s="512">
        <f>IFERROR(__xludf.DUMMYFUNCTION("""COMPUTED_VALUE"""),45405.6666666666)</f>
        <v/>
      </c>
      <c r="T188" s="513">
        <f>IFERROR(__xludf.DUMMYFUNCTION("""COMPUTED_VALUE"""),166.9)</f>
        <v/>
      </c>
      <c r="V188" s="512">
        <f>IFERROR(__xludf.DUMMYFUNCTION("""COMPUTED_VALUE"""),46135.6666666666)</f>
        <v/>
      </c>
      <c r="W188" s="513">
        <f>IFERROR(__xludf.DUMMYFUNCTION("""COMPUTED_VALUE"""),29.89)</f>
        <v/>
      </c>
      <c r="Y188" s="512">
        <f>IFERROR(__xludf.DUMMYFUNCTION("""COMPUTED_VALUE"""),46135.6666666666)</f>
        <v/>
      </c>
      <c r="Z188" s="513">
        <f>IFERROR(__xludf.DUMMYFUNCTION("""COMPUTED_VALUE"""),73.73)</f>
        <v/>
      </c>
      <c r="AB188" s="512">
        <f>IFERROR(__xludf.DUMMYFUNCTION("""COMPUTED_VALUE"""),46135.6666666666)</f>
        <v/>
      </c>
      <c r="AC188" s="513">
        <f>IFERROR(__xludf.DUMMYFUNCTION("""COMPUTED_VALUE"""),57.92)</f>
        <v/>
      </c>
      <c r="AE188" s="512">
        <f>IFERROR(__xludf.DUMMYFUNCTION("""COMPUTED_VALUE"""),46135.6666666666)</f>
        <v/>
      </c>
      <c r="AF188" s="513">
        <f>IFERROR(__xludf.DUMMYFUNCTION("""COMPUTED_VALUE"""),95.93)</f>
        <v/>
      </c>
      <c r="AH188" s="512">
        <f>IFERROR(__xludf.DUMMYFUNCTION("""COMPUTED_VALUE"""),46135.6666666666)</f>
        <v/>
      </c>
      <c r="AI188" s="513">
        <f>IFERROR(__xludf.DUMMYFUNCTION("""COMPUTED_VALUE"""),22.17)</f>
        <v/>
      </c>
      <c r="AK188" s="512">
        <f>IFERROR(__xludf.DUMMYFUNCTION("""COMPUTED_VALUE"""),46135.6666666666)</f>
        <v/>
      </c>
      <c r="AL188" s="513">
        <f>IFERROR(__xludf.DUMMYFUNCTION("""COMPUTED_VALUE"""),80.37)</f>
        <v/>
      </c>
      <c r="AN188" s="512">
        <f>IFERROR(__xludf.DUMMYFUNCTION("""COMPUTED_VALUE"""),46135.6666666666)</f>
        <v/>
      </c>
      <c r="AO188" s="513">
        <f>IFERROR(__xludf.DUMMYFUNCTION("""COMPUTED_VALUE"""),111.57)</f>
        <v/>
      </c>
      <c r="AQ188" s="512">
        <f>IFERROR(__xludf.DUMMYFUNCTION("""COMPUTED_VALUE"""),46135.6666666666)</f>
        <v/>
      </c>
      <c r="AR188" s="513">
        <f>IFERROR(__xludf.DUMMYFUNCTION("""COMPUTED_VALUE"""),101.24)</f>
        <v/>
      </c>
      <c r="AT188" s="512">
        <f>IFERROR(__xludf.DUMMYFUNCTION("""COMPUTED_VALUE"""),46135.6666666666)</f>
        <v/>
      </c>
      <c r="AU188" s="513">
        <f>IFERROR(__xludf.DUMMYFUNCTION("""COMPUTED_VALUE"""),62.35)</f>
        <v/>
      </c>
      <c r="AW188" s="512">
        <f>IFERROR(__xludf.DUMMYFUNCTION("""COMPUTED_VALUE"""),46135.6666666666)</f>
        <v/>
      </c>
      <c r="AX188" s="513">
        <f>IFERROR(__xludf.DUMMYFUNCTION("""COMPUTED_VALUE"""),99.45)</f>
        <v/>
      </c>
      <c r="AZ188" s="512">
        <f>IFERROR(__xludf.DUMMYFUNCTION("""COMPUTED_VALUE"""),46135.6666666666)</f>
        <v/>
      </c>
      <c r="BA188" s="513">
        <f>IFERROR(__xludf.DUMMYFUNCTION("""COMPUTED_VALUE"""),109.52)</f>
        <v/>
      </c>
      <c r="BC188" s="512">
        <f>IFERROR(__xludf.DUMMYFUNCTION("""COMPUTED_VALUE"""),46135.6666666666)</f>
        <v/>
      </c>
      <c r="BD188" s="513">
        <f>IFERROR(__xludf.DUMMYFUNCTION("""COMPUTED_VALUE"""),95.37)</f>
        <v/>
      </c>
      <c r="BF188" s="512">
        <f>IFERROR(__xludf.DUMMYFUNCTION("""COMPUTED_VALUE"""),46135.6666666666)</f>
        <v/>
      </c>
      <c r="BG188" s="513">
        <f>IFERROR(__xludf.DUMMYFUNCTION("""COMPUTED_VALUE"""),82.48)</f>
        <v/>
      </c>
      <c r="BI188" s="512">
        <f>IFERROR(__xludf.DUMMYFUNCTION("""COMPUTED_VALUE"""),46135.6666666666)</f>
        <v/>
      </c>
      <c r="BJ188" s="513">
        <f>IFERROR(__xludf.DUMMYFUNCTION("""COMPUTED_VALUE"""),86.55)</f>
        <v/>
      </c>
      <c r="BL188" s="512">
        <f>IFERROR(__xludf.DUMMYFUNCTION("""COMPUTED_VALUE"""),46135.6666666666)</f>
        <v/>
      </c>
      <c r="BM188" s="513">
        <f>IFERROR(__xludf.DUMMYFUNCTION("""COMPUTED_VALUE"""),431.04)</f>
        <v/>
      </c>
      <c r="BO188" s="512">
        <f>IFERROR(__xludf.DUMMYFUNCTION("""COMPUTED_VALUE"""),46135.6666666666)</f>
        <v/>
      </c>
      <c r="BP188" s="513">
        <f>IFERROR(__xludf.DUMMYFUNCTION("""COMPUTED_VALUE"""),91.59)</f>
        <v/>
      </c>
    </row>
    <row r="189">
      <c r="A189" s="512">
        <f>IFERROR(__xludf.DUMMYFUNCTION("""COMPUTED_VALUE"""),46136.6666666666)</f>
        <v/>
      </c>
      <c r="B189" s="513">
        <f>IFERROR(__xludf.DUMMYFUNCTION("""COMPUTED_VALUE"""),713.94)</f>
        <v/>
      </c>
      <c r="D189" s="512">
        <f>IFERROR(__xludf.DUMMYFUNCTION("""COMPUTED_VALUE"""),46136.6666666666)</f>
        <v/>
      </c>
      <c r="E189" s="513">
        <f>IFERROR(__xludf.DUMMYFUNCTION("""COMPUTED_VALUE"""),95.3)</f>
        <v/>
      </c>
      <c r="G189" s="512" t="n"/>
      <c r="H189" s="513" t="n"/>
      <c r="J189" s="512">
        <f>IFERROR(__xludf.DUMMYFUNCTION("""COMPUTED_VALUE"""),46136.6666666666)</f>
        <v/>
      </c>
      <c r="K189" s="513">
        <f>IFERROR(__xludf.DUMMYFUNCTION("""COMPUTED_VALUE"""),87.32)</f>
        <v/>
      </c>
      <c r="M189" s="512">
        <f>IFERROR(__xludf.DUMMYFUNCTION("""COMPUTED_VALUE"""),46136.6666666666)</f>
        <v/>
      </c>
      <c r="N189" s="513">
        <f>IFERROR(__xludf.DUMMYFUNCTION("""COMPUTED_VALUE"""),276.65)</f>
        <v/>
      </c>
      <c r="P189" s="512">
        <f>IFERROR(__xludf.DUMMYFUNCTION("""COMPUTED_VALUE"""),46136.6666666666)</f>
        <v/>
      </c>
      <c r="Q189" s="513">
        <f>IFERROR(__xludf.DUMMYFUNCTION("""COMPUTED_VALUE"""),87.05)</f>
        <v/>
      </c>
      <c r="S189" s="512">
        <f>IFERROR(__xludf.DUMMYFUNCTION("""COMPUTED_VALUE"""),45406.6666666666)</f>
        <v/>
      </c>
      <c r="T189" s="513">
        <f>IFERROR(__xludf.DUMMYFUNCTION("""COMPUTED_VALUE"""),169.02)</f>
        <v/>
      </c>
      <c r="V189" s="512">
        <f>IFERROR(__xludf.DUMMYFUNCTION("""COMPUTED_VALUE"""),46136.6666666666)</f>
        <v/>
      </c>
      <c r="W189" s="513">
        <f>IFERROR(__xludf.DUMMYFUNCTION("""COMPUTED_VALUE"""),29.86)</f>
        <v/>
      </c>
      <c r="Y189" s="512">
        <f>IFERROR(__xludf.DUMMYFUNCTION("""COMPUTED_VALUE"""),46136.6666666666)</f>
        <v/>
      </c>
      <c r="Z189" s="513">
        <f>IFERROR(__xludf.DUMMYFUNCTION("""COMPUTED_VALUE"""),73.86)</f>
        <v/>
      </c>
      <c r="AB189" s="512">
        <f>IFERROR(__xludf.DUMMYFUNCTION("""COMPUTED_VALUE"""),46136.6666666666)</f>
        <v/>
      </c>
      <c r="AC189" s="513">
        <f>IFERROR(__xludf.DUMMYFUNCTION("""COMPUTED_VALUE"""),59.02)</f>
        <v/>
      </c>
      <c r="AE189" s="512">
        <f>IFERROR(__xludf.DUMMYFUNCTION("""COMPUTED_VALUE"""),46136.6666666666)</f>
        <v/>
      </c>
      <c r="AF189" s="513">
        <f>IFERROR(__xludf.DUMMYFUNCTION("""COMPUTED_VALUE"""),96.2)</f>
        <v/>
      </c>
      <c r="AH189" s="512">
        <f>IFERROR(__xludf.DUMMYFUNCTION("""COMPUTED_VALUE"""),46136.6666666666)</f>
        <v/>
      </c>
      <c r="AI189" s="513">
        <f>IFERROR(__xludf.DUMMYFUNCTION("""COMPUTED_VALUE"""),22.25)</f>
        <v/>
      </c>
      <c r="AK189" s="512">
        <f>IFERROR(__xludf.DUMMYFUNCTION("""COMPUTED_VALUE"""),46136.6666666666)</f>
        <v/>
      </c>
      <c r="AL189" s="513">
        <f>IFERROR(__xludf.DUMMYFUNCTION("""COMPUTED_VALUE"""),80.48)</f>
        <v/>
      </c>
      <c r="AN189" s="512">
        <f>IFERROR(__xludf.DUMMYFUNCTION("""COMPUTED_VALUE"""),46136.6666666666)</f>
        <v/>
      </c>
      <c r="AO189" s="513">
        <f>IFERROR(__xludf.DUMMYFUNCTION("""COMPUTED_VALUE"""),111.8)</f>
        <v/>
      </c>
      <c r="AQ189" s="512">
        <f>IFERROR(__xludf.DUMMYFUNCTION("""COMPUTED_VALUE"""),46136.6666666666)</f>
        <v/>
      </c>
      <c r="AR189" s="513">
        <f>IFERROR(__xludf.DUMMYFUNCTION("""COMPUTED_VALUE"""),101.77)</f>
        <v/>
      </c>
      <c r="AT189" s="512">
        <f>IFERROR(__xludf.DUMMYFUNCTION("""COMPUTED_VALUE"""),46136.6666666666)</f>
        <v/>
      </c>
      <c r="AU189" s="513">
        <f>IFERROR(__xludf.DUMMYFUNCTION("""COMPUTED_VALUE"""),63.74)</f>
        <v/>
      </c>
      <c r="AW189" s="512">
        <f>IFERROR(__xludf.DUMMYFUNCTION("""COMPUTED_VALUE"""),46136.6666666666)</f>
        <v/>
      </c>
      <c r="AX189" s="513">
        <f>IFERROR(__xludf.DUMMYFUNCTION("""COMPUTED_VALUE"""),99.59)</f>
        <v/>
      </c>
      <c r="AZ189" s="512">
        <f>IFERROR(__xludf.DUMMYFUNCTION("""COMPUTED_VALUE"""),46136.6666666666)</f>
        <v/>
      </c>
      <c r="BA189" s="513">
        <f>IFERROR(__xludf.DUMMYFUNCTION("""COMPUTED_VALUE"""),109.6)</f>
        <v/>
      </c>
      <c r="BC189" s="512">
        <f>IFERROR(__xludf.DUMMYFUNCTION("""COMPUTED_VALUE"""),46136.6666666666)</f>
        <v/>
      </c>
      <c r="BD189" s="513">
        <f>IFERROR(__xludf.DUMMYFUNCTION("""COMPUTED_VALUE"""),95.56)</f>
        <v/>
      </c>
      <c r="BF189" s="512">
        <f>IFERROR(__xludf.DUMMYFUNCTION("""COMPUTED_VALUE"""),46136.6666666666)</f>
        <v/>
      </c>
      <c r="BG189" s="513">
        <f>IFERROR(__xludf.DUMMYFUNCTION("""COMPUTED_VALUE"""),82.57)</f>
        <v/>
      </c>
      <c r="BI189" s="512">
        <f>IFERROR(__xludf.DUMMYFUNCTION("""COMPUTED_VALUE"""),46136.6666666666)</f>
        <v/>
      </c>
      <c r="BJ189" s="513">
        <f>IFERROR(__xludf.DUMMYFUNCTION("""COMPUTED_VALUE"""),86.71)</f>
        <v/>
      </c>
      <c r="BL189" s="512">
        <f>IFERROR(__xludf.DUMMYFUNCTION("""COMPUTED_VALUE"""),46136.6666666666)</f>
        <v/>
      </c>
      <c r="BM189" s="513">
        <f>IFERROR(__xludf.DUMMYFUNCTION("""COMPUTED_VALUE"""),433.25)</f>
        <v/>
      </c>
      <c r="BO189" s="512">
        <f>IFERROR(__xludf.DUMMYFUNCTION("""COMPUTED_VALUE"""),46136.6666666666)</f>
        <v/>
      </c>
      <c r="BP189" s="513">
        <f>IFERROR(__xludf.DUMMYFUNCTION("""COMPUTED_VALUE"""),91.61)</f>
        <v/>
      </c>
    </row>
    <row r="190">
      <c r="A190" s="512">
        <f>IFERROR(__xludf.DUMMYFUNCTION("""COMPUTED_VALUE"""),46139.6666666666)</f>
        <v/>
      </c>
      <c r="B190" s="513">
        <f>IFERROR(__xludf.DUMMYFUNCTION("""COMPUTED_VALUE"""),715.17)</f>
        <v/>
      </c>
      <c r="D190" s="512">
        <f>IFERROR(__xludf.DUMMYFUNCTION("""COMPUTED_VALUE"""),46139.6666666666)</f>
        <v/>
      </c>
      <c r="E190" s="513">
        <f>IFERROR(__xludf.DUMMYFUNCTION("""COMPUTED_VALUE"""),94.78)</f>
        <v/>
      </c>
      <c r="G190" s="512" t="n"/>
      <c r="H190" s="513" t="n"/>
      <c r="J190" s="512">
        <f>IFERROR(__xludf.DUMMYFUNCTION("""COMPUTED_VALUE"""),46139.6666666666)</f>
        <v/>
      </c>
      <c r="K190" s="513">
        <f>IFERROR(__xludf.DUMMYFUNCTION("""COMPUTED_VALUE"""),87.68)</f>
        <v/>
      </c>
      <c r="M190" s="512">
        <f>IFERROR(__xludf.DUMMYFUNCTION("""COMPUTED_VALUE"""),46139.6666666666)</f>
        <v/>
      </c>
      <c r="N190" s="513">
        <f>IFERROR(__xludf.DUMMYFUNCTION("""COMPUTED_VALUE"""),277.14)</f>
        <v/>
      </c>
      <c r="P190" s="512">
        <f>IFERROR(__xludf.DUMMYFUNCTION("""COMPUTED_VALUE"""),46139.6666666666)</f>
        <v/>
      </c>
      <c r="Q190" s="513">
        <f>IFERROR(__xludf.DUMMYFUNCTION("""COMPUTED_VALUE"""),86.55)</f>
        <v/>
      </c>
      <c r="S190" s="512">
        <f>IFERROR(__xludf.DUMMYFUNCTION("""COMPUTED_VALUE"""),45407.6666666666)</f>
        <v/>
      </c>
      <c r="T190" s="513">
        <f>IFERROR(__xludf.DUMMYFUNCTION("""COMPUTED_VALUE"""),169.89)</f>
        <v/>
      </c>
      <c r="V190" s="512">
        <f>IFERROR(__xludf.DUMMYFUNCTION("""COMPUTED_VALUE"""),46139.6666666666)</f>
        <v/>
      </c>
      <c r="W190" s="513">
        <f>IFERROR(__xludf.DUMMYFUNCTION("""COMPUTED_VALUE"""),30.09)</f>
        <v/>
      </c>
      <c r="Y190" s="512">
        <f>IFERROR(__xludf.DUMMYFUNCTION("""COMPUTED_VALUE"""),46139.6666666666)</f>
        <v/>
      </c>
      <c r="Z190" s="513">
        <f>IFERROR(__xludf.DUMMYFUNCTION("""COMPUTED_VALUE"""),73.74)</f>
        <v/>
      </c>
      <c r="AB190" s="512">
        <f>IFERROR(__xludf.DUMMYFUNCTION("""COMPUTED_VALUE"""),46139.6666666666)</f>
        <v/>
      </c>
      <c r="AC190" s="513">
        <f>IFERROR(__xludf.DUMMYFUNCTION("""COMPUTED_VALUE"""),58.73)</f>
        <v/>
      </c>
      <c r="AE190" s="512">
        <f>IFERROR(__xludf.DUMMYFUNCTION("""COMPUTED_VALUE"""),46139.6666666666)</f>
        <v/>
      </c>
      <c r="AF190" s="513">
        <f>IFERROR(__xludf.DUMMYFUNCTION("""COMPUTED_VALUE"""),96.03)</f>
        <v/>
      </c>
      <c r="AH190" s="512">
        <f>IFERROR(__xludf.DUMMYFUNCTION("""COMPUTED_VALUE"""),46139.6666666666)</f>
        <v/>
      </c>
      <c r="AI190" s="513">
        <f>IFERROR(__xludf.DUMMYFUNCTION("""COMPUTED_VALUE"""),22.19)</f>
        <v/>
      </c>
      <c r="AK190" s="512">
        <f>IFERROR(__xludf.DUMMYFUNCTION("""COMPUTED_VALUE"""),46139.6666666666)</f>
        <v/>
      </c>
      <c r="AL190" s="513">
        <f>IFERROR(__xludf.DUMMYFUNCTION("""COMPUTED_VALUE"""),80.51)</f>
        <v/>
      </c>
      <c r="AN190" s="512">
        <f>IFERROR(__xludf.DUMMYFUNCTION("""COMPUTED_VALUE"""),46139.6666666666)</f>
        <v/>
      </c>
      <c r="AO190" s="513">
        <f>IFERROR(__xludf.DUMMYFUNCTION("""COMPUTED_VALUE"""),111.77)</f>
        <v/>
      </c>
      <c r="AQ190" s="512">
        <f>IFERROR(__xludf.DUMMYFUNCTION("""COMPUTED_VALUE"""),46139.6666666666)</f>
        <v/>
      </c>
      <c r="AR190" s="513">
        <f>IFERROR(__xludf.DUMMYFUNCTION("""COMPUTED_VALUE"""),101.38)</f>
        <v/>
      </c>
      <c r="AT190" s="512">
        <f>IFERROR(__xludf.DUMMYFUNCTION("""COMPUTED_VALUE"""),46139.6666666666)</f>
        <v/>
      </c>
      <c r="AU190" s="513">
        <f>IFERROR(__xludf.DUMMYFUNCTION("""COMPUTED_VALUE"""),63.64)</f>
        <v/>
      </c>
      <c r="AW190" s="512">
        <f>IFERROR(__xludf.DUMMYFUNCTION("""COMPUTED_VALUE"""),46139.6666666666)</f>
        <v/>
      </c>
      <c r="AX190" s="513">
        <f>IFERROR(__xludf.DUMMYFUNCTION("""COMPUTED_VALUE"""),99.44)</f>
        <v/>
      </c>
      <c r="AZ190" s="512">
        <f>IFERROR(__xludf.DUMMYFUNCTION("""COMPUTED_VALUE"""),46139.6666666666)</f>
        <v/>
      </c>
      <c r="BA190" s="513">
        <f>IFERROR(__xludf.DUMMYFUNCTION("""COMPUTED_VALUE"""),109.29)</f>
        <v/>
      </c>
      <c r="BC190" s="512">
        <f>IFERROR(__xludf.DUMMYFUNCTION("""COMPUTED_VALUE"""),46139.6666666666)</f>
        <v/>
      </c>
      <c r="BD190" s="513">
        <f>IFERROR(__xludf.DUMMYFUNCTION("""COMPUTED_VALUE"""),95.34)</f>
        <v/>
      </c>
      <c r="BF190" s="512">
        <f>IFERROR(__xludf.DUMMYFUNCTION("""COMPUTED_VALUE"""),46139.6666666666)</f>
        <v/>
      </c>
      <c r="BG190" s="513">
        <f>IFERROR(__xludf.DUMMYFUNCTION("""COMPUTED_VALUE"""),82.55)</f>
        <v/>
      </c>
      <c r="BI190" s="512">
        <f>IFERROR(__xludf.DUMMYFUNCTION("""COMPUTED_VALUE"""),46139.6666666666)</f>
        <v/>
      </c>
      <c r="BJ190" s="513">
        <f>IFERROR(__xludf.DUMMYFUNCTION("""COMPUTED_VALUE"""),86.28)</f>
        <v/>
      </c>
      <c r="BL190" s="512">
        <f>IFERROR(__xludf.DUMMYFUNCTION("""COMPUTED_VALUE"""),46139.6666666666)</f>
        <v/>
      </c>
      <c r="BM190" s="513">
        <f>IFERROR(__xludf.DUMMYFUNCTION("""COMPUTED_VALUE"""),429.89)</f>
        <v/>
      </c>
      <c r="BO190" s="512">
        <f>IFERROR(__xludf.DUMMYFUNCTION("""COMPUTED_VALUE"""),46139.6666666666)</f>
        <v/>
      </c>
      <c r="BP190" s="513">
        <f>IFERROR(__xludf.DUMMYFUNCTION("""COMPUTED_VALUE"""),91.62)</f>
        <v/>
      </c>
    </row>
    <row r="191">
      <c r="A191" s="512">
        <f>IFERROR(__xludf.DUMMYFUNCTION("""COMPUTED_VALUE"""),46140.6666666666)</f>
        <v/>
      </c>
      <c r="B191" s="513">
        <f>IFERROR(__xludf.DUMMYFUNCTION("""COMPUTED_VALUE"""),711.69)</f>
        <v/>
      </c>
      <c r="D191" s="512">
        <f>IFERROR(__xludf.DUMMYFUNCTION("""COMPUTED_VALUE"""),46140.6666666666)</f>
        <v/>
      </c>
      <c r="E191" s="513">
        <f>IFERROR(__xludf.DUMMYFUNCTION("""COMPUTED_VALUE"""),95.65)</f>
        <v/>
      </c>
      <c r="G191" s="512" t="n"/>
      <c r="H191" s="513" t="n"/>
      <c r="J191" s="512">
        <f>IFERROR(__xludf.DUMMYFUNCTION("""COMPUTED_VALUE"""),46140.6666666666)</f>
        <v/>
      </c>
      <c r="K191" s="513">
        <f>IFERROR(__xludf.DUMMYFUNCTION("""COMPUTED_VALUE"""),87.56)</f>
        <v/>
      </c>
      <c r="M191" s="512">
        <f>IFERROR(__xludf.DUMMYFUNCTION("""COMPUTED_VALUE"""),46140.6666666666)</f>
        <v/>
      </c>
      <c r="N191" s="513">
        <f>IFERROR(__xludf.DUMMYFUNCTION("""COMPUTED_VALUE"""),273.91)</f>
        <v/>
      </c>
      <c r="P191" s="512">
        <f>IFERROR(__xludf.DUMMYFUNCTION("""COMPUTED_VALUE"""),46140.6666666666)</f>
        <v/>
      </c>
      <c r="Q191" s="513">
        <f>IFERROR(__xludf.DUMMYFUNCTION("""COMPUTED_VALUE"""),86.16)</f>
        <v/>
      </c>
      <c r="S191" s="512">
        <f>IFERROR(__xludf.DUMMYFUNCTION("""COMPUTED_VALUE"""),45408.6666666666)</f>
        <v/>
      </c>
      <c r="T191" s="513">
        <f>IFERROR(__xludf.DUMMYFUNCTION("""COMPUTED_VALUE"""),169.3)</f>
        <v/>
      </c>
      <c r="V191" s="512">
        <f>IFERROR(__xludf.DUMMYFUNCTION("""COMPUTED_VALUE"""),46140.6666666666)</f>
        <v/>
      </c>
      <c r="W191" s="513">
        <f>IFERROR(__xludf.DUMMYFUNCTION("""COMPUTED_VALUE"""),30.34)</f>
        <v/>
      </c>
      <c r="Y191" s="512">
        <f>IFERROR(__xludf.DUMMYFUNCTION("""COMPUTED_VALUE"""),46140.6666666666)</f>
        <v/>
      </c>
      <c r="Z191" s="513">
        <f>IFERROR(__xludf.DUMMYFUNCTION("""COMPUTED_VALUE"""),73.72)</f>
        <v/>
      </c>
      <c r="AB191" s="512">
        <f>IFERROR(__xludf.DUMMYFUNCTION("""COMPUTED_VALUE"""),46140.6666666666)</f>
        <v/>
      </c>
      <c r="AC191" s="513">
        <f>IFERROR(__xludf.DUMMYFUNCTION("""COMPUTED_VALUE"""),58.32)</f>
        <v/>
      </c>
      <c r="AE191" s="512">
        <f>IFERROR(__xludf.DUMMYFUNCTION("""COMPUTED_VALUE"""),46140.6666666666)</f>
        <v/>
      </c>
      <c r="AF191" s="513">
        <f>IFERROR(__xludf.DUMMYFUNCTION("""COMPUTED_VALUE"""),95.95)</f>
        <v/>
      </c>
      <c r="AH191" s="512">
        <f>IFERROR(__xludf.DUMMYFUNCTION("""COMPUTED_VALUE"""),46140.6666666666)</f>
        <v/>
      </c>
      <c r="AI191" s="513">
        <f>IFERROR(__xludf.DUMMYFUNCTION("""COMPUTED_VALUE"""),22.13)</f>
        <v/>
      </c>
      <c r="AK191" s="512">
        <f>IFERROR(__xludf.DUMMYFUNCTION("""COMPUTED_VALUE"""),46140.6666666666)</f>
        <v/>
      </c>
      <c r="AL191" s="513">
        <f>IFERROR(__xludf.DUMMYFUNCTION("""COMPUTED_VALUE"""),80.4)</f>
        <v/>
      </c>
      <c r="AN191" s="512">
        <f>IFERROR(__xludf.DUMMYFUNCTION("""COMPUTED_VALUE"""),46140.6666666666)</f>
        <v/>
      </c>
      <c r="AO191" s="513">
        <f>IFERROR(__xludf.DUMMYFUNCTION("""COMPUTED_VALUE"""),111.73)</f>
        <v/>
      </c>
      <c r="AQ191" s="512">
        <f>IFERROR(__xludf.DUMMYFUNCTION("""COMPUTED_VALUE"""),46140.6666666666)</f>
        <v/>
      </c>
      <c r="AR191" s="513">
        <f>IFERROR(__xludf.DUMMYFUNCTION("""COMPUTED_VALUE"""),100.96)</f>
        <v/>
      </c>
      <c r="AT191" s="512">
        <f>IFERROR(__xludf.DUMMYFUNCTION("""COMPUTED_VALUE"""),46140.6666666666)</f>
        <v/>
      </c>
      <c r="AU191" s="513">
        <f>IFERROR(__xludf.DUMMYFUNCTION("""COMPUTED_VALUE"""),62.99)</f>
        <v/>
      </c>
      <c r="AW191" s="512">
        <f>IFERROR(__xludf.DUMMYFUNCTION("""COMPUTED_VALUE"""),46140.6666666666)</f>
        <v/>
      </c>
      <c r="AX191" s="513">
        <f>IFERROR(__xludf.DUMMYFUNCTION("""COMPUTED_VALUE"""),99.4)</f>
        <v/>
      </c>
      <c r="AZ191" s="512">
        <f>IFERROR(__xludf.DUMMYFUNCTION("""COMPUTED_VALUE"""),46140.6666666666)</f>
        <v/>
      </c>
      <c r="BA191" s="513">
        <f>IFERROR(__xludf.DUMMYFUNCTION("""COMPUTED_VALUE"""),109.34)</f>
        <v/>
      </c>
      <c r="BC191" s="512">
        <f>IFERROR(__xludf.DUMMYFUNCTION("""COMPUTED_VALUE"""),46140.6666666666)</f>
        <v/>
      </c>
      <c r="BD191" s="513">
        <f>IFERROR(__xludf.DUMMYFUNCTION("""COMPUTED_VALUE"""),95.25)</f>
        <v/>
      </c>
      <c r="BF191" s="512">
        <f>IFERROR(__xludf.DUMMYFUNCTION("""COMPUTED_VALUE"""),46140.6666666666)</f>
        <v/>
      </c>
      <c r="BG191" s="513">
        <f>IFERROR(__xludf.DUMMYFUNCTION("""COMPUTED_VALUE"""),82.5)</f>
        <v/>
      </c>
      <c r="BI191" s="512">
        <f>IFERROR(__xludf.DUMMYFUNCTION("""COMPUTED_VALUE"""),46140.6666666666)</f>
        <v/>
      </c>
      <c r="BJ191" s="513">
        <f>IFERROR(__xludf.DUMMYFUNCTION("""COMPUTED_VALUE"""),86.37)</f>
        <v/>
      </c>
      <c r="BL191" s="512">
        <f>IFERROR(__xludf.DUMMYFUNCTION("""COMPUTED_VALUE"""),46140.6666666666)</f>
        <v/>
      </c>
      <c r="BM191" s="513">
        <f>IFERROR(__xludf.DUMMYFUNCTION("""COMPUTED_VALUE"""),421.91)</f>
        <v/>
      </c>
      <c r="BO191" s="512">
        <f>IFERROR(__xludf.DUMMYFUNCTION("""COMPUTED_VALUE"""),46140.6666666666)</f>
        <v/>
      </c>
      <c r="BP191" s="513">
        <f>IFERROR(__xludf.DUMMYFUNCTION("""COMPUTED_VALUE"""),91.63)</f>
        <v/>
      </c>
    </row>
    <row r="192">
      <c r="A192" s="512">
        <f>IFERROR(__xludf.DUMMYFUNCTION("""COMPUTED_VALUE"""),46141.6666666666)</f>
        <v/>
      </c>
      <c r="B192" s="513">
        <f>IFERROR(__xludf.DUMMYFUNCTION("""COMPUTED_VALUE"""),711.58)</f>
        <v/>
      </c>
      <c r="D192" s="512">
        <f>IFERROR(__xludf.DUMMYFUNCTION("""COMPUTED_VALUE"""),46141.6666666666)</f>
        <v/>
      </c>
      <c r="E192" s="513">
        <f>IFERROR(__xludf.DUMMYFUNCTION("""COMPUTED_VALUE"""),94.9)</f>
        <v/>
      </c>
      <c r="G192" s="512" t="n"/>
      <c r="H192" s="513" t="n"/>
      <c r="J192" s="512">
        <f>IFERROR(__xludf.DUMMYFUNCTION("""COMPUTED_VALUE"""),46141.6666666666)</f>
        <v/>
      </c>
      <c r="K192" s="513">
        <f>IFERROR(__xludf.DUMMYFUNCTION("""COMPUTED_VALUE"""),86.81)</f>
        <v/>
      </c>
      <c r="M192" s="512">
        <f>IFERROR(__xludf.DUMMYFUNCTION("""COMPUTED_VALUE"""),46141.6666666666)</f>
        <v/>
      </c>
      <c r="N192" s="513">
        <f>IFERROR(__xludf.DUMMYFUNCTION("""COMPUTED_VALUE"""),272.08)</f>
        <v/>
      </c>
      <c r="P192" s="512">
        <f>IFERROR(__xludf.DUMMYFUNCTION("""COMPUTED_VALUE"""),46141.6666666666)</f>
        <v/>
      </c>
      <c r="Q192" s="513">
        <f>IFERROR(__xludf.DUMMYFUNCTION("""COMPUTED_VALUE"""),85.14)</f>
        <v/>
      </c>
      <c r="S192" s="512">
        <f>IFERROR(__xludf.DUMMYFUNCTION("""COMPUTED_VALUE"""),45411.6666666666)</f>
        <v/>
      </c>
      <c r="T192" s="513">
        <f>IFERROR(__xludf.DUMMYFUNCTION("""COMPUTED_VALUE"""),173.5)</f>
        <v/>
      </c>
      <c r="V192" s="512">
        <f>IFERROR(__xludf.DUMMYFUNCTION("""COMPUTED_VALUE"""),46141.6666666666)</f>
        <v/>
      </c>
      <c r="W192" s="513">
        <f>IFERROR(__xludf.DUMMYFUNCTION("""COMPUTED_VALUE"""),31.08)</f>
        <v/>
      </c>
      <c r="Y192" s="512">
        <f>IFERROR(__xludf.DUMMYFUNCTION("""COMPUTED_VALUE"""),46141.6666666666)</f>
        <v/>
      </c>
      <c r="Z192" s="513">
        <f>IFERROR(__xludf.DUMMYFUNCTION("""COMPUTED_VALUE"""),73.39)</f>
        <v/>
      </c>
      <c r="AB192" s="512">
        <f>IFERROR(__xludf.DUMMYFUNCTION("""COMPUTED_VALUE"""),46141.6666666666)</f>
        <v/>
      </c>
      <c r="AC192" s="513">
        <f>IFERROR(__xludf.DUMMYFUNCTION("""COMPUTED_VALUE"""),58.08)</f>
        <v/>
      </c>
      <c r="AE192" s="512">
        <f>IFERROR(__xludf.DUMMYFUNCTION("""COMPUTED_VALUE"""),46141.6666666666)</f>
        <v/>
      </c>
      <c r="AF192" s="513">
        <f>IFERROR(__xludf.DUMMYFUNCTION("""COMPUTED_VALUE"""),95.5)</f>
        <v/>
      </c>
      <c r="AH192" s="512">
        <f>IFERROR(__xludf.DUMMYFUNCTION("""COMPUTED_VALUE"""),46141.6666666666)</f>
        <v/>
      </c>
      <c r="AI192" s="513">
        <f>IFERROR(__xludf.DUMMYFUNCTION("""COMPUTED_VALUE"""),21.98)</f>
        <v/>
      </c>
      <c r="AK192" s="512">
        <f>IFERROR(__xludf.DUMMYFUNCTION("""COMPUTED_VALUE"""),46141.6666666666)</f>
        <v/>
      </c>
      <c r="AL192" s="513">
        <f>IFERROR(__xludf.DUMMYFUNCTION("""COMPUTED_VALUE"""),80.13)</f>
        <v/>
      </c>
      <c r="AN192" s="512">
        <f>IFERROR(__xludf.DUMMYFUNCTION("""COMPUTED_VALUE"""),46141.6666666666)</f>
        <v/>
      </c>
      <c r="AO192" s="513">
        <f>IFERROR(__xludf.DUMMYFUNCTION("""COMPUTED_VALUE"""),111.39)</f>
        <v/>
      </c>
      <c r="AQ192" s="512">
        <f>IFERROR(__xludf.DUMMYFUNCTION("""COMPUTED_VALUE"""),46141.6666666666)</f>
        <v/>
      </c>
      <c r="AR192" s="513">
        <f>IFERROR(__xludf.DUMMYFUNCTION("""COMPUTED_VALUE"""),99.93)</f>
        <v/>
      </c>
      <c r="AT192" s="512">
        <f>IFERROR(__xludf.DUMMYFUNCTION("""COMPUTED_VALUE"""),46141.6666666666)</f>
        <v/>
      </c>
      <c r="AU192" s="513">
        <f>IFERROR(__xludf.DUMMYFUNCTION("""COMPUTED_VALUE"""),62.69)</f>
        <v/>
      </c>
      <c r="AW192" s="512">
        <f>IFERROR(__xludf.DUMMYFUNCTION("""COMPUTED_VALUE"""),46141.6666666666)</f>
        <v/>
      </c>
      <c r="AX192" s="513">
        <f>IFERROR(__xludf.DUMMYFUNCTION("""COMPUTED_VALUE"""),98.96)</f>
        <v/>
      </c>
      <c r="AZ192" s="512">
        <f>IFERROR(__xludf.DUMMYFUNCTION("""COMPUTED_VALUE"""),46141.6666666666)</f>
        <v/>
      </c>
      <c r="BA192" s="513">
        <f>IFERROR(__xludf.DUMMYFUNCTION("""COMPUTED_VALUE"""),108.73)</f>
        <v/>
      </c>
      <c r="BC192" s="512">
        <f>IFERROR(__xludf.DUMMYFUNCTION("""COMPUTED_VALUE"""),46141.6666666666)</f>
        <v/>
      </c>
      <c r="BD192" s="513">
        <f>IFERROR(__xludf.DUMMYFUNCTION("""COMPUTED_VALUE"""),94.8)</f>
        <v/>
      </c>
      <c r="BF192" s="512">
        <f>IFERROR(__xludf.DUMMYFUNCTION("""COMPUTED_VALUE"""),46141.6666666666)</f>
        <v/>
      </c>
      <c r="BG192" s="513">
        <f>IFERROR(__xludf.DUMMYFUNCTION("""COMPUTED_VALUE"""),82.39)</f>
        <v/>
      </c>
      <c r="BI192" s="512">
        <f>IFERROR(__xludf.DUMMYFUNCTION("""COMPUTED_VALUE"""),46141.6666666666)</f>
        <v/>
      </c>
      <c r="BJ192" s="513">
        <f>IFERROR(__xludf.DUMMYFUNCTION("""COMPUTED_VALUE"""),85.7)</f>
        <v/>
      </c>
      <c r="BL192" s="512">
        <f>IFERROR(__xludf.DUMMYFUNCTION("""COMPUTED_VALUE"""),46141.6666666666)</f>
        <v/>
      </c>
      <c r="BM192" s="513">
        <f>IFERROR(__xludf.DUMMYFUNCTION("""COMPUTED_VALUE"""),417.41)</f>
        <v/>
      </c>
      <c r="BO192" s="512">
        <f>IFERROR(__xludf.DUMMYFUNCTION("""COMPUTED_VALUE"""),46141.6666666666)</f>
        <v/>
      </c>
      <c r="BP192" s="513">
        <f>IFERROR(__xludf.DUMMYFUNCTION("""COMPUTED_VALUE"""),91.63)</f>
        <v/>
      </c>
    </row>
    <row r="193">
      <c r="A193" s="512">
        <f>IFERROR(__xludf.DUMMYFUNCTION("""COMPUTED_VALUE"""),46142.6666666666)</f>
        <v/>
      </c>
      <c r="B193" s="513">
        <f>IFERROR(__xludf.DUMMYFUNCTION("""COMPUTED_VALUE"""),718.66)</f>
        <v/>
      </c>
      <c r="D193" s="512">
        <f>IFERROR(__xludf.DUMMYFUNCTION("""COMPUTED_VALUE"""),46142.6666666666)</f>
        <v/>
      </c>
      <c r="E193" s="513">
        <f>IFERROR(__xludf.DUMMYFUNCTION("""COMPUTED_VALUE"""),96.33)</f>
        <v/>
      </c>
      <c r="G193" s="512" t="n"/>
      <c r="H193" s="513" t="n"/>
      <c r="J193" s="512">
        <f>IFERROR(__xludf.DUMMYFUNCTION("""COMPUTED_VALUE"""),46142.6666666666)</f>
        <v/>
      </c>
      <c r="K193" s="513">
        <f>IFERROR(__xludf.DUMMYFUNCTION("""COMPUTED_VALUE"""),89.1)</f>
        <v/>
      </c>
      <c r="M193" s="512">
        <f>IFERROR(__xludf.DUMMYFUNCTION("""COMPUTED_VALUE"""),46142.6666666666)</f>
        <v/>
      </c>
      <c r="N193" s="513">
        <f>IFERROR(__xludf.DUMMYFUNCTION("""COMPUTED_VALUE"""),277.97)</f>
        <v/>
      </c>
      <c r="P193" s="512">
        <f>IFERROR(__xludf.DUMMYFUNCTION("""COMPUTED_VALUE"""),46142.6666666666)</f>
        <v/>
      </c>
      <c r="Q193" s="513">
        <f>IFERROR(__xludf.DUMMYFUNCTION("""COMPUTED_VALUE"""),87.14)</f>
        <v/>
      </c>
      <c r="S193" s="512">
        <f>IFERROR(__xludf.DUMMYFUNCTION("""COMPUTED_VALUE"""),45412.6666666666)</f>
        <v/>
      </c>
      <c r="T193" s="513">
        <f>IFERROR(__xludf.DUMMYFUNCTION("""COMPUTED_VALUE"""),170.33)</f>
        <v/>
      </c>
      <c r="V193" s="512">
        <f>IFERROR(__xludf.DUMMYFUNCTION("""COMPUTED_VALUE"""),46142.6666666666)</f>
        <v/>
      </c>
      <c r="W193" s="513">
        <f>IFERROR(__xludf.DUMMYFUNCTION("""COMPUTED_VALUE"""),31.1)</f>
        <v/>
      </c>
      <c r="Y193" s="512">
        <f>IFERROR(__xludf.DUMMYFUNCTION("""COMPUTED_VALUE"""),46142.6666666666)</f>
        <v/>
      </c>
      <c r="Z193" s="513">
        <f>IFERROR(__xludf.DUMMYFUNCTION("""COMPUTED_VALUE"""),73.5)</f>
        <v/>
      </c>
      <c r="AB193" s="512">
        <f>IFERROR(__xludf.DUMMYFUNCTION("""COMPUTED_VALUE"""),46142.6666666666)</f>
        <v/>
      </c>
      <c r="AC193" s="513">
        <f>IFERROR(__xludf.DUMMYFUNCTION("""COMPUTED_VALUE"""),58.93)</f>
        <v/>
      </c>
      <c r="AE193" s="512">
        <f>IFERROR(__xludf.DUMMYFUNCTION("""COMPUTED_VALUE"""),46142.6666666666)</f>
        <v/>
      </c>
      <c r="AF193" s="513">
        <f>IFERROR(__xludf.DUMMYFUNCTION("""COMPUTED_VALUE"""),95.8)</f>
        <v/>
      </c>
      <c r="AH193" s="512">
        <f>IFERROR(__xludf.DUMMYFUNCTION("""COMPUTED_VALUE"""),46142.6666666666)</f>
        <v/>
      </c>
      <c r="AI193" s="513">
        <f>IFERROR(__xludf.DUMMYFUNCTION("""COMPUTED_VALUE"""),22.27)</f>
        <v/>
      </c>
      <c r="AK193" s="512">
        <f>IFERROR(__xludf.DUMMYFUNCTION("""COMPUTED_VALUE"""),46142.6666666666)</f>
        <v/>
      </c>
      <c r="AL193" s="513">
        <f>IFERROR(__xludf.DUMMYFUNCTION("""COMPUTED_VALUE"""),80.38)</f>
        <v/>
      </c>
      <c r="AN193" s="512">
        <f>IFERROR(__xludf.DUMMYFUNCTION("""COMPUTED_VALUE"""),46142.6666666666)</f>
        <v/>
      </c>
      <c r="AO193" s="513">
        <f>IFERROR(__xludf.DUMMYFUNCTION("""COMPUTED_VALUE"""),111.56)</f>
        <v/>
      </c>
      <c r="AQ193" s="512">
        <f>IFERROR(__xludf.DUMMYFUNCTION("""COMPUTED_VALUE"""),46142.6666666666)</f>
        <v/>
      </c>
      <c r="AR193" s="513">
        <f>IFERROR(__xludf.DUMMYFUNCTION("""COMPUTED_VALUE"""),102.32)</f>
        <v/>
      </c>
      <c r="AT193" s="512">
        <f>IFERROR(__xludf.DUMMYFUNCTION("""COMPUTED_VALUE"""),46142.6666666666)</f>
        <v/>
      </c>
      <c r="AU193" s="513">
        <f>IFERROR(__xludf.DUMMYFUNCTION("""COMPUTED_VALUE"""),63.99)</f>
        <v/>
      </c>
      <c r="AW193" s="512">
        <f>IFERROR(__xludf.DUMMYFUNCTION("""COMPUTED_VALUE"""),46142.6666666666)</f>
        <v/>
      </c>
      <c r="AX193" s="513">
        <f>IFERROR(__xludf.DUMMYFUNCTION("""COMPUTED_VALUE"""),99.1)</f>
        <v/>
      </c>
      <c r="AZ193" s="512">
        <f>IFERROR(__xludf.DUMMYFUNCTION("""COMPUTED_VALUE"""),46142.6666666666)</f>
        <v/>
      </c>
      <c r="BA193" s="513">
        <f>IFERROR(__xludf.DUMMYFUNCTION("""COMPUTED_VALUE"""),108.85)</f>
        <v/>
      </c>
      <c r="BC193" s="512">
        <f>IFERROR(__xludf.DUMMYFUNCTION("""COMPUTED_VALUE"""),46142.6666666666)</f>
        <v/>
      </c>
      <c r="BD193" s="513">
        <f>IFERROR(__xludf.DUMMYFUNCTION("""COMPUTED_VALUE"""),94.98)</f>
        <v/>
      </c>
      <c r="BF193" s="512">
        <f>IFERROR(__xludf.DUMMYFUNCTION("""COMPUTED_VALUE"""),46142.6666666666)</f>
        <v/>
      </c>
      <c r="BG193" s="513">
        <f>IFERROR(__xludf.DUMMYFUNCTION("""COMPUTED_VALUE"""),82.48)</f>
        <v/>
      </c>
      <c r="BI193" s="512">
        <f>IFERROR(__xludf.DUMMYFUNCTION("""COMPUTED_VALUE"""),46142.6666666666)</f>
        <v/>
      </c>
      <c r="BJ193" s="513">
        <f>IFERROR(__xludf.DUMMYFUNCTION("""COMPUTED_VALUE"""),85.62)</f>
        <v/>
      </c>
      <c r="BL193" s="512">
        <f>IFERROR(__xludf.DUMMYFUNCTION("""COMPUTED_VALUE"""),46142.6666666666)</f>
        <v/>
      </c>
      <c r="BM193" s="513">
        <f>IFERROR(__xludf.DUMMYFUNCTION("""COMPUTED_VALUE"""),423.66)</f>
        <v/>
      </c>
      <c r="BO193" s="512">
        <f>IFERROR(__xludf.DUMMYFUNCTION("""COMPUTED_VALUE"""),46142.6666666666)</f>
        <v/>
      </c>
      <c r="BP193" s="513">
        <f>IFERROR(__xludf.DUMMYFUNCTION("""COMPUTED_VALUE"""),91.64)</f>
        <v/>
      </c>
    </row>
    <row r="194">
      <c r="A194" s="512">
        <f>IFERROR(__xludf.DUMMYFUNCTION("""COMPUTED_VALUE"""),46143.6666666666)</f>
        <v/>
      </c>
      <c r="B194" s="513">
        <f>IFERROR(__xludf.DUMMYFUNCTION("""COMPUTED_VALUE"""),720.65)</f>
        <v/>
      </c>
      <c r="D194" s="512">
        <f>IFERROR(__xludf.DUMMYFUNCTION("""COMPUTED_VALUE"""),46143.6666666666)</f>
        <v/>
      </c>
      <c r="E194" s="513">
        <f>IFERROR(__xludf.DUMMYFUNCTION("""COMPUTED_VALUE"""),96.06)</f>
        <v/>
      </c>
      <c r="G194" s="512" t="n"/>
      <c r="H194" s="513" t="n"/>
      <c r="J194" s="512">
        <f>IFERROR(__xludf.DUMMYFUNCTION("""COMPUTED_VALUE"""),46143.6666666666)</f>
        <v/>
      </c>
      <c r="K194" s="513">
        <f>IFERROR(__xludf.DUMMYFUNCTION("""COMPUTED_VALUE"""),88.3)</f>
        <v/>
      </c>
      <c r="M194" s="512">
        <f>IFERROR(__xludf.DUMMYFUNCTION("""COMPUTED_VALUE"""),46143.6666666666)</f>
        <v/>
      </c>
      <c r="N194" s="513">
        <f>IFERROR(__xludf.DUMMYFUNCTION("""COMPUTED_VALUE"""),279.28)</f>
        <v/>
      </c>
      <c r="P194" s="512">
        <f>IFERROR(__xludf.DUMMYFUNCTION("""COMPUTED_VALUE"""),46143.6666666666)</f>
        <v/>
      </c>
      <c r="Q194" s="513">
        <f>IFERROR(__xludf.DUMMYFUNCTION("""COMPUTED_VALUE"""),87.15)</f>
        <v/>
      </c>
      <c r="S194" s="512">
        <f>IFERROR(__xludf.DUMMYFUNCTION("""COMPUTED_VALUE"""),45413.6666666666)</f>
        <v/>
      </c>
      <c r="T194" s="513">
        <f>IFERROR(__xludf.DUMMYFUNCTION("""COMPUTED_VALUE"""),169.3)</f>
        <v/>
      </c>
      <c r="V194" s="512">
        <f>IFERROR(__xludf.DUMMYFUNCTION("""COMPUTED_VALUE"""),46143.6666666666)</f>
        <v/>
      </c>
      <c r="W194" s="513">
        <f>IFERROR(__xludf.DUMMYFUNCTION("""COMPUTED_VALUE"""),30.81)</f>
        <v/>
      </c>
      <c r="Y194" s="512">
        <f>IFERROR(__xludf.DUMMYFUNCTION("""COMPUTED_VALUE"""),46143.6666666666)</f>
        <v/>
      </c>
      <c r="Z194" s="513">
        <f>IFERROR(__xludf.DUMMYFUNCTION("""COMPUTED_VALUE"""),73.36)</f>
        <v/>
      </c>
      <c r="AB194" s="512">
        <f>IFERROR(__xludf.DUMMYFUNCTION("""COMPUTED_VALUE"""),46143.6666666666)</f>
        <v/>
      </c>
      <c r="AC194" s="513">
        <f>IFERROR(__xludf.DUMMYFUNCTION("""COMPUTED_VALUE"""),58.99)</f>
        <v/>
      </c>
      <c r="AE194" s="512">
        <f>IFERROR(__xludf.DUMMYFUNCTION("""COMPUTED_VALUE"""),46143.6666666666)</f>
        <v/>
      </c>
      <c r="AF194" s="513">
        <f>IFERROR(__xludf.DUMMYFUNCTION("""COMPUTED_VALUE"""),95.57)</f>
        <v/>
      </c>
      <c r="AH194" s="512">
        <f>IFERROR(__xludf.DUMMYFUNCTION("""COMPUTED_VALUE"""),46143.6666666666)</f>
        <v/>
      </c>
      <c r="AI194" s="513">
        <f>IFERROR(__xludf.DUMMYFUNCTION("""COMPUTED_VALUE"""),22.23)</f>
        <v/>
      </c>
      <c r="AK194" s="512">
        <f>IFERROR(__xludf.DUMMYFUNCTION("""COMPUTED_VALUE"""),46143.6666666666)</f>
        <v/>
      </c>
      <c r="AL194" s="513">
        <f>IFERROR(__xludf.DUMMYFUNCTION("""COMPUTED_VALUE"""),80.06)</f>
        <v/>
      </c>
      <c r="AN194" s="512">
        <f>IFERROR(__xludf.DUMMYFUNCTION("""COMPUTED_VALUE"""),46143.6666666666)</f>
        <v/>
      </c>
      <c r="AO194" s="513">
        <f>IFERROR(__xludf.DUMMYFUNCTION("""COMPUTED_VALUE"""),111.35)</f>
        <v/>
      </c>
      <c r="AQ194" s="512">
        <f>IFERROR(__xludf.DUMMYFUNCTION("""COMPUTED_VALUE"""),46143.6666666666)</f>
        <v/>
      </c>
      <c r="AR194" s="513">
        <f>IFERROR(__xludf.DUMMYFUNCTION("""COMPUTED_VALUE"""),102.1)</f>
        <v/>
      </c>
      <c r="AT194" s="512">
        <f>IFERROR(__xludf.DUMMYFUNCTION("""COMPUTED_VALUE"""),46143.6666666666)</f>
        <v/>
      </c>
      <c r="AU194" s="513">
        <f>IFERROR(__xludf.DUMMYFUNCTION("""COMPUTED_VALUE"""),64.13)</f>
        <v/>
      </c>
      <c r="AW194" s="512">
        <f>IFERROR(__xludf.DUMMYFUNCTION("""COMPUTED_VALUE"""),46143.6666666666)</f>
        <v/>
      </c>
      <c r="AX194" s="513">
        <f>IFERROR(__xludf.DUMMYFUNCTION("""COMPUTED_VALUE"""),98.9)</f>
        <v/>
      </c>
      <c r="AZ194" s="512">
        <f>IFERROR(__xludf.DUMMYFUNCTION("""COMPUTED_VALUE"""),46143.6666666666)</f>
        <v/>
      </c>
      <c r="BA194" s="513">
        <f>IFERROR(__xludf.DUMMYFUNCTION("""COMPUTED_VALUE"""),108.6)</f>
        <v/>
      </c>
      <c r="BC194" s="512">
        <f>IFERROR(__xludf.DUMMYFUNCTION("""COMPUTED_VALUE"""),46143.6666666666)</f>
        <v/>
      </c>
      <c r="BD194" s="513">
        <f>IFERROR(__xludf.DUMMYFUNCTION("""COMPUTED_VALUE"""),94.74)</f>
        <v/>
      </c>
      <c r="BF194" s="512">
        <f>IFERROR(__xludf.DUMMYFUNCTION("""COMPUTED_VALUE"""),46143.6666666666)</f>
        <v/>
      </c>
      <c r="BG194" s="513">
        <f>IFERROR(__xludf.DUMMYFUNCTION("""COMPUTED_VALUE"""),82.25)</f>
        <v/>
      </c>
      <c r="BI194" s="512">
        <f>IFERROR(__xludf.DUMMYFUNCTION("""COMPUTED_VALUE"""),46143.6666666666)</f>
        <v/>
      </c>
      <c r="BJ194" s="513">
        <f>IFERROR(__xludf.DUMMYFUNCTION("""COMPUTED_VALUE"""),85.61)</f>
        <v/>
      </c>
      <c r="BL194" s="512">
        <f>IFERROR(__xludf.DUMMYFUNCTION("""COMPUTED_VALUE"""),46143.6666666666)</f>
        <v/>
      </c>
      <c r="BM194" s="513">
        <f>IFERROR(__xludf.DUMMYFUNCTION("""COMPUTED_VALUE"""),423.18)</f>
        <v/>
      </c>
      <c r="BO194" s="512">
        <f>IFERROR(__xludf.DUMMYFUNCTION("""COMPUTED_VALUE"""),46143.6666666666)</f>
        <v/>
      </c>
      <c r="BP194" s="513">
        <f>IFERROR(__xludf.DUMMYFUNCTION("""COMPUTED_VALUE"""),91.4)</f>
        <v/>
      </c>
    </row>
    <row r="195">
      <c r="A195" s="512">
        <f>IFERROR(__xludf.DUMMYFUNCTION("""COMPUTED_VALUE"""),46146.6666666666)</f>
        <v/>
      </c>
      <c r="B195" s="513">
        <f>IFERROR(__xludf.DUMMYFUNCTION("""COMPUTED_VALUE"""),718.01)</f>
        <v/>
      </c>
      <c r="D195" s="512">
        <f>IFERROR(__xludf.DUMMYFUNCTION("""COMPUTED_VALUE"""),46146.6666666666)</f>
        <v/>
      </c>
      <c r="E195" s="513">
        <f>IFERROR(__xludf.DUMMYFUNCTION("""COMPUTED_VALUE"""),95.46)</f>
        <v/>
      </c>
      <c r="G195" s="512" t="n"/>
      <c r="H195" s="513" t="n"/>
      <c r="J195" s="512">
        <f>IFERROR(__xludf.DUMMYFUNCTION("""COMPUTED_VALUE"""),46146.6666666666)</f>
        <v/>
      </c>
      <c r="K195" s="513">
        <f>IFERROR(__xludf.DUMMYFUNCTION("""COMPUTED_VALUE"""),88.12)</f>
        <v/>
      </c>
      <c r="M195" s="512">
        <f>IFERROR(__xludf.DUMMYFUNCTION("""COMPUTED_VALUE"""),46146.6666666666)</f>
        <v/>
      </c>
      <c r="N195" s="513">
        <f>IFERROR(__xludf.DUMMYFUNCTION("""COMPUTED_VALUE"""),277.88)</f>
        <v/>
      </c>
      <c r="P195" s="512">
        <f>IFERROR(__xludf.DUMMYFUNCTION("""COMPUTED_VALUE"""),46146.6666666666)</f>
        <v/>
      </c>
      <c r="Q195" s="513">
        <f>IFERROR(__xludf.DUMMYFUNCTION("""COMPUTED_VALUE"""),85.51)</f>
        <v/>
      </c>
      <c r="S195" s="512">
        <f>IFERROR(__xludf.DUMMYFUNCTION("""COMPUTED_VALUE"""),45414.6666666666)</f>
        <v/>
      </c>
      <c r="T195" s="513">
        <f>IFERROR(__xludf.DUMMYFUNCTION("""COMPUTED_VALUE"""),173.03)</f>
        <v/>
      </c>
      <c r="V195" s="512">
        <f>IFERROR(__xludf.DUMMYFUNCTION("""COMPUTED_VALUE"""),46146.6666666666)</f>
        <v/>
      </c>
      <c r="W195" s="513">
        <f>IFERROR(__xludf.DUMMYFUNCTION("""COMPUTED_VALUE"""),31.33)</f>
        <v/>
      </c>
      <c r="Y195" s="512">
        <f>IFERROR(__xludf.DUMMYFUNCTION("""COMPUTED_VALUE"""),46146.6666666666)</f>
        <v/>
      </c>
      <c r="Z195" s="513">
        <f>IFERROR(__xludf.DUMMYFUNCTION("""COMPUTED_VALUE"""),73.11)</f>
        <v/>
      </c>
      <c r="AB195" s="512">
        <f>IFERROR(__xludf.DUMMYFUNCTION("""COMPUTED_VALUE"""),46146.6666666666)</f>
        <v/>
      </c>
      <c r="AC195" s="513">
        <f>IFERROR(__xludf.DUMMYFUNCTION("""COMPUTED_VALUE"""),58.73)</f>
        <v/>
      </c>
      <c r="AE195" s="512">
        <f>IFERROR(__xludf.DUMMYFUNCTION("""COMPUTED_VALUE"""),46146.6666666666)</f>
        <v/>
      </c>
      <c r="AF195" s="513">
        <f>IFERROR(__xludf.DUMMYFUNCTION("""COMPUTED_VALUE"""),95.08)</f>
        <v/>
      </c>
      <c r="AH195" s="512">
        <f>IFERROR(__xludf.DUMMYFUNCTION("""COMPUTED_VALUE"""),46146.6666666666)</f>
        <v/>
      </c>
      <c r="AI195" s="513">
        <f>IFERROR(__xludf.DUMMYFUNCTION("""COMPUTED_VALUE"""),22.13)</f>
        <v/>
      </c>
      <c r="AK195" s="512">
        <f>IFERROR(__xludf.DUMMYFUNCTION("""COMPUTED_VALUE"""),46146.6666666666)</f>
        <v/>
      </c>
      <c r="AL195" s="513">
        <f>IFERROR(__xludf.DUMMYFUNCTION("""COMPUTED_VALUE"""),79.8)</f>
        <v/>
      </c>
      <c r="AN195" s="512">
        <f>IFERROR(__xludf.DUMMYFUNCTION("""COMPUTED_VALUE"""),46146.6666666666)</f>
        <v/>
      </c>
      <c r="AO195" s="513">
        <f>IFERROR(__xludf.DUMMYFUNCTION("""COMPUTED_VALUE"""),111.15)</f>
        <v/>
      </c>
      <c r="AQ195" s="512">
        <f>IFERROR(__xludf.DUMMYFUNCTION("""COMPUTED_VALUE"""),46146.6666666666)</f>
        <v/>
      </c>
      <c r="AR195" s="513">
        <f>IFERROR(__xludf.DUMMYFUNCTION("""COMPUTED_VALUE"""),100.7)</f>
        <v/>
      </c>
      <c r="AT195" s="512">
        <f>IFERROR(__xludf.DUMMYFUNCTION("""COMPUTED_VALUE"""),46146.6666666666)</f>
        <v/>
      </c>
      <c r="AU195" s="513">
        <f>IFERROR(__xludf.DUMMYFUNCTION("""COMPUTED_VALUE"""),64.1)</f>
        <v/>
      </c>
      <c r="AW195" s="512">
        <f>IFERROR(__xludf.DUMMYFUNCTION("""COMPUTED_VALUE"""),46146.6666666666)</f>
        <v/>
      </c>
      <c r="AX195" s="513">
        <f>IFERROR(__xludf.DUMMYFUNCTION("""COMPUTED_VALUE"""),98.59)</f>
        <v/>
      </c>
      <c r="AZ195" s="512">
        <f>IFERROR(__xludf.DUMMYFUNCTION("""COMPUTED_VALUE"""),46146.6666666666)</f>
        <v/>
      </c>
      <c r="BA195" s="513">
        <f>IFERROR(__xludf.DUMMYFUNCTION("""COMPUTED_VALUE"""),108.25)</f>
        <v/>
      </c>
      <c r="BC195" s="512">
        <f>IFERROR(__xludf.DUMMYFUNCTION("""COMPUTED_VALUE"""),46146.6666666666)</f>
        <v/>
      </c>
      <c r="BD195" s="513">
        <f>IFERROR(__xludf.DUMMYFUNCTION("""COMPUTED_VALUE"""),94.39)</f>
        <v/>
      </c>
      <c r="BF195" s="512">
        <f>IFERROR(__xludf.DUMMYFUNCTION("""COMPUTED_VALUE"""),46146.6666666666)</f>
        <v/>
      </c>
      <c r="BG195" s="513">
        <f>IFERROR(__xludf.DUMMYFUNCTION("""COMPUTED_VALUE"""),82.15)</f>
        <v/>
      </c>
      <c r="BI195" s="512">
        <f>IFERROR(__xludf.DUMMYFUNCTION("""COMPUTED_VALUE"""),46146.6666666666)</f>
        <v/>
      </c>
      <c r="BJ195" s="513">
        <f>IFERROR(__xludf.DUMMYFUNCTION("""COMPUTED_VALUE"""),84.96)</f>
        <v/>
      </c>
      <c r="BL195" s="512">
        <f>IFERROR(__xludf.DUMMYFUNCTION("""COMPUTED_VALUE"""),46146.6666666666)</f>
        <v/>
      </c>
      <c r="BM195" s="513">
        <f>IFERROR(__xludf.DUMMYFUNCTION("""COMPUTED_VALUE"""),414.71)</f>
        <v/>
      </c>
      <c r="BO195" s="512">
        <f>IFERROR(__xludf.DUMMYFUNCTION("""COMPUTED_VALUE"""),46146.6666666666)</f>
        <v/>
      </c>
      <c r="BP195" s="513">
        <f>IFERROR(__xludf.DUMMYFUNCTION("""COMPUTED_VALUE"""),91.42)</f>
        <v/>
      </c>
    </row>
    <row r="196">
      <c r="A196" s="512">
        <f>IFERROR(__xludf.DUMMYFUNCTION("""COMPUTED_VALUE"""),46147.6666666666)</f>
        <v/>
      </c>
      <c r="B196" s="513">
        <f>IFERROR(__xludf.DUMMYFUNCTION("""COMPUTED_VALUE"""),723.77)</f>
        <v/>
      </c>
      <c r="D196" s="512">
        <f>IFERROR(__xludf.DUMMYFUNCTION("""COMPUTED_VALUE"""),46147.6666666666)</f>
        <v/>
      </c>
      <c r="E196" s="513">
        <f>IFERROR(__xludf.DUMMYFUNCTION("""COMPUTED_VALUE"""),95.76)</f>
        <v/>
      </c>
      <c r="G196" s="512" t="n"/>
      <c r="H196" s="513" t="n"/>
      <c r="J196" s="512">
        <f>IFERROR(__xludf.DUMMYFUNCTION("""COMPUTED_VALUE"""),46147.6666666666)</f>
        <v/>
      </c>
      <c r="K196" s="513">
        <f>IFERROR(__xludf.DUMMYFUNCTION("""COMPUTED_VALUE"""),89.26)</f>
        <v/>
      </c>
      <c r="M196" s="512">
        <f>IFERROR(__xludf.DUMMYFUNCTION("""COMPUTED_VALUE"""),46147.6666666666)</f>
        <v/>
      </c>
      <c r="N196" s="513">
        <f>IFERROR(__xludf.DUMMYFUNCTION("""COMPUTED_VALUE"""),282.56)</f>
        <v/>
      </c>
      <c r="P196" s="512">
        <f>IFERROR(__xludf.DUMMYFUNCTION("""COMPUTED_VALUE"""),46147.6666666666)</f>
        <v/>
      </c>
      <c r="Q196" s="513">
        <f>IFERROR(__xludf.DUMMYFUNCTION("""COMPUTED_VALUE"""),86.87)</f>
        <v/>
      </c>
      <c r="S196" s="512">
        <f>IFERROR(__xludf.DUMMYFUNCTION("""COMPUTED_VALUE"""),45415.6666666666)</f>
        <v/>
      </c>
      <c r="T196" s="513">
        <f>IFERROR(__xludf.DUMMYFUNCTION("""COMPUTED_VALUE"""),183.38)</f>
        <v/>
      </c>
      <c r="V196" s="512">
        <f>IFERROR(__xludf.DUMMYFUNCTION("""COMPUTED_VALUE"""),46147.6666666666)</f>
        <v/>
      </c>
      <c r="W196" s="513">
        <f>IFERROR(__xludf.DUMMYFUNCTION("""COMPUTED_VALUE"""),31.2)</f>
        <v/>
      </c>
      <c r="Y196" s="512">
        <f>IFERROR(__xludf.DUMMYFUNCTION("""COMPUTED_VALUE"""),46147.6666666666)</f>
        <v/>
      </c>
      <c r="Z196" s="513">
        <f>IFERROR(__xludf.DUMMYFUNCTION("""COMPUTED_VALUE"""),73.24)</f>
        <v/>
      </c>
      <c r="AB196" s="512">
        <f>IFERROR(__xludf.DUMMYFUNCTION("""COMPUTED_VALUE"""),46147.6666666666)</f>
        <v/>
      </c>
      <c r="AC196" s="513">
        <f>IFERROR(__xludf.DUMMYFUNCTION("""COMPUTED_VALUE"""),59.36)</f>
        <v/>
      </c>
      <c r="AE196" s="512">
        <f>IFERROR(__xludf.DUMMYFUNCTION("""COMPUTED_VALUE"""),46147.6666666666)</f>
        <v/>
      </c>
      <c r="AF196" s="513">
        <f>IFERROR(__xludf.DUMMYFUNCTION("""COMPUTED_VALUE"""),95.52)</f>
        <v/>
      </c>
      <c r="AH196" s="512">
        <f>IFERROR(__xludf.DUMMYFUNCTION("""COMPUTED_VALUE"""),46147.6666666666)</f>
        <v/>
      </c>
      <c r="AI196" s="513">
        <f>IFERROR(__xludf.DUMMYFUNCTION("""COMPUTED_VALUE"""),22.13)</f>
        <v/>
      </c>
      <c r="AK196" s="512">
        <f>IFERROR(__xludf.DUMMYFUNCTION("""COMPUTED_VALUE"""),46147.6666666666)</f>
        <v/>
      </c>
      <c r="AL196" s="513">
        <f>IFERROR(__xludf.DUMMYFUNCTION("""COMPUTED_VALUE"""),79.92)</f>
        <v/>
      </c>
      <c r="AN196" s="512">
        <f>IFERROR(__xludf.DUMMYFUNCTION("""COMPUTED_VALUE"""),46147.6666666666)</f>
        <v/>
      </c>
      <c r="AO196" s="513">
        <f>IFERROR(__xludf.DUMMYFUNCTION("""COMPUTED_VALUE"""),111.07)</f>
        <v/>
      </c>
      <c r="AQ196" s="512">
        <f>IFERROR(__xludf.DUMMYFUNCTION("""COMPUTED_VALUE"""),46147.6666666666)</f>
        <v/>
      </c>
      <c r="AR196" s="513">
        <f>IFERROR(__xludf.DUMMYFUNCTION("""COMPUTED_VALUE"""),102.04)</f>
        <v/>
      </c>
      <c r="AT196" s="512">
        <f>IFERROR(__xludf.DUMMYFUNCTION("""COMPUTED_VALUE"""),46147.6666666666)</f>
        <v/>
      </c>
      <c r="AU196" s="513">
        <f>IFERROR(__xludf.DUMMYFUNCTION("""COMPUTED_VALUE"""),65.4)</f>
        <v/>
      </c>
      <c r="AW196" s="512">
        <f>IFERROR(__xludf.DUMMYFUNCTION("""COMPUTED_VALUE"""),46147.6666666666)</f>
        <v/>
      </c>
      <c r="AX196" s="513">
        <f>IFERROR(__xludf.DUMMYFUNCTION("""COMPUTED_VALUE"""),98.77)</f>
        <v/>
      </c>
      <c r="AZ196" s="512">
        <f>IFERROR(__xludf.DUMMYFUNCTION("""COMPUTED_VALUE"""),46147.6666666666)</f>
        <v/>
      </c>
      <c r="BA196" s="513">
        <f>IFERROR(__xludf.DUMMYFUNCTION("""COMPUTED_VALUE"""),108.65)</f>
        <v/>
      </c>
      <c r="BC196" s="512">
        <f>IFERROR(__xludf.DUMMYFUNCTION("""COMPUTED_VALUE"""),46147.6666666666)</f>
        <v/>
      </c>
      <c r="BD196" s="513">
        <f>IFERROR(__xludf.DUMMYFUNCTION("""COMPUTED_VALUE"""),94.53)</f>
        <v/>
      </c>
      <c r="BF196" s="512">
        <f>IFERROR(__xludf.DUMMYFUNCTION("""COMPUTED_VALUE"""),46147.6666666666)</f>
        <v/>
      </c>
      <c r="BG196" s="513">
        <f>IFERROR(__xludf.DUMMYFUNCTION("""COMPUTED_VALUE"""),82.19)</f>
        <v/>
      </c>
      <c r="BI196" s="512">
        <f>IFERROR(__xludf.DUMMYFUNCTION("""COMPUTED_VALUE"""),46147.6666666666)</f>
        <v/>
      </c>
      <c r="BJ196" s="513">
        <f>IFERROR(__xludf.DUMMYFUNCTION("""COMPUTED_VALUE"""),85.43)</f>
        <v/>
      </c>
      <c r="BL196" s="512">
        <f>IFERROR(__xludf.DUMMYFUNCTION("""COMPUTED_VALUE"""),46147.6666666666)</f>
        <v/>
      </c>
      <c r="BM196" s="513">
        <f>IFERROR(__xludf.DUMMYFUNCTION("""COMPUTED_VALUE"""),418.27)</f>
        <v/>
      </c>
      <c r="BO196" s="512">
        <f>IFERROR(__xludf.DUMMYFUNCTION("""COMPUTED_VALUE"""),46147.6666666666)</f>
        <v/>
      </c>
      <c r="BP196" s="513">
        <f>IFERROR(__xludf.DUMMYFUNCTION("""COMPUTED_VALUE"""),91.43)</f>
        <v/>
      </c>
    </row>
    <row r="197">
      <c r="A197" s="512">
        <f>IFERROR(__xludf.DUMMYFUNCTION("""COMPUTED_VALUE"""),46148.6666666666)</f>
        <v/>
      </c>
      <c r="B197" s="513">
        <f>IFERROR(__xludf.DUMMYFUNCTION("""COMPUTED_VALUE"""),733.83)</f>
        <v/>
      </c>
      <c r="D197" s="512">
        <f>IFERROR(__xludf.DUMMYFUNCTION("""COMPUTED_VALUE"""),46148.6666666666)</f>
        <v/>
      </c>
      <c r="E197" s="513">
        <f>IFERROR(__xludf.DUMMYFUNCTION("""COMPUTED_VALUE"""),97.09)</f>
        <v/>
      </c>
      <c r="G197" s="512" t="n"/>
      <c r="H197" s="513" t="n"/>
      <c r="J197" s="512">
        <f>IFERROR(__xludf.DUMMYFUNCTION("""COMPUTED_VALUE"""),46148.6666666666)</f>
        <v/>
      </c>
      <c r="K197" s="513">
        <f>IFERROR(__xludf.DUMMYFUNCTION("""COMPUTED_VALUE"""),91.68)</f>
        <v/>
      </c>
      <c r="M197" s="512">
        <f>IFERROR(__xludf.DUMMYFUNCTION("""COMPUTED_VALUE"""),46148.6666666666)</f>
        <v/>
      </c>
      <c r="N197" s="513">
        <f>IFERROR(__xludf.DUMMYFUNCTION("""COMPUTED_VALUE"""),286.8)</f>
        <v/>
      </c>
      <c r="P197" s="512">
        <f>IFERROR(__xludf.DUMMYFUNCTION("""COMPUTED_VALUE"""),46148.6666666666)</f>
        <v/>
      </c>
      <c r="Q197" s="513">
        <f>IFERROR(__xludf.DUMMYFUNCTION("""COMPUTED_VALUE"""),89.23)</f>
        <v/>
      </c>
      <c r="S197" s="512">
        <f>IFERROR(__xludf.DUMMYFUNCTION("""COMPUTED_VALUE"""),45418.6666666666)</f>
        <v/>
      </c>
      <c r="T197" s="513">
        <f>IFERROR(__xludf.DUMMYFUNCTION("""COMPUTED_VALUE"""),181.71)</f>
        <v/>
      </c>
      <c r="V197" s="512">
        <f>IFERROR(__xludf.DUMMYFUNCTION("""COMPUTED_VALUE"""),46148.6666666666)</f>
        <v/>
      </c>
      <c r="W197" s="513">
        <f>IFERROR(__xludf.DUMMYFUNCTION("""COMPUTED_VALUE"""),30.21)</f>
        <v/>
      </c>
      <c r="Y197" s="512">
        <f>IFERROR(__xludf.DUMMYFUNCTION("""COMPUTED_VALUE"""),46148.6666666666)</f>
        <v/>
      </c>
      <c r="Z197" s="513">
        <f>IFERROR(__xludf.DUMMYFUNCTION("""COMPUTED_VALUE"""),73.55)</f>
        <v/>
      </c>
      <c r="AB197" s="512">
        <f>IFERROR(__xludf.DUMMYFUNCTION("""COMPUTED_VALUE"""),46148.6666666666)</f>
        <v/>
      </c>
      <c r="AC197" s="513">
        <f>IFERROR(__xludf.DUMMYFUNCTION("""COMPUTED_VALUE"""),60.75)</f>
        <v/>
      </c>
      <c r="AE197" s="512">
        <f>IFERROR(__xludf.DUMMYFUNCTION("""COMPUTED_VALUE"""),46148.6666666666)</f>
        <v/>
      </c>
      <c r="AF197" s="513">
        <f>IFERROR(__xludf.DUMMYFUNCTION("""COMPUTED_VALUE"""),96.27)</f>
        <v/>
      </c>
      <c r="AH197" s="512">
        <f>IFERROR(__xludf.DUMMYFUNCTION("""COMPUTED_VALUE"""),46148.6666666666)</f>
        <v/>
      </c>
      <c r="AI197" s="513">
        <f>IFERROR(__xludf.DUMMYFUNCTION("""COMPUTED_VALUE"""),22.34)</f>
        <v/>
      </c>
      <c r="AK197" s="512">
        <f>IFERROR(__xludf.DUMMYFUNCTION("""COMPUTED_VALUE"""),46148.6666666666)</f>
        <v/>
      </c>
      <c r="AL197" s="513">
        <f>IFERROR(__xludf.DUMMYFUNCTION("""COMPUTED_VALUE"""),80.16)</f>
        <v/>
      </c>
      <c r="AN197" s="512">
        <f>IFERROR(__xludf.DUMMYFUNCTION("""COMPUTED_VALUE"""),46148.6666666666)</f>
        <v/>
      </c>
      <c r="AO197" s="513">
        <f>IFERROR(__xludf.DUMMYFUNCTION("""COMPUTED_VALUE"""),111.15)</f>
        <v/>
      </c>
      <c r="AQ197" s="512">
        <f>IFERROR(__xludf.DUMMYFUNCTION("""COMPUTED_VALUE"""),46148.6666666666)</f>
        <v/>
      </c>
      <c r="AR197" s="513">
        <f>IFERROR(__xludf.DUMMYFUNCTION("""COMPUTED_VALUE"""),104.81)</f>
        <v/>
      </c>
      <c r="AT197" s="512">
        <f>IFERROR(__xludf.DUMMYFUNCTION("""COMPUTED_VALUE"""),46148.6666666666)</f>
        <v/>
      </c>
      <c r="AU197" s="513">
        <f>IFERROR(__xludf.DUMMYFUNCTION("""COMPUTED_VALUE"""),67.49)</f>
        <v/>
      </c>
      <c r="AW197" s="512">
        <f>IFERROR(__xludf.DUMMYFUNCTION("""COMPUTED_VALUE"""),46148.6666666666)</f>
        <v/>
      </c>
      <c r="AX197" s="513">
        <f>IFERROR(__xludf.DUMMYFUNCTION("""COMPUTED_VALUE"""),99.19)</f>
        <v/>
      </c>
      <c r="AZ197" s="512">
        <f>IFERROR(__xludf.DUMMYFUNCTION("""COMPUTED_VALUE"""),46148.6666666666)</f>
        <v/>
      </c>
      <c r="BA197" s="513">
        <f>IFERROR(__xludf.DUMMYFUNCTION("""COMPUTED_VALUE"""),109.19)</f>
        <v/>
      </c>
      <c r="BC197" s="512">
        <f>IFERROR(__xludf.DUMMYFUNCTION("""COMPUTED_VALUE"""),46148.6666666666)</f>
        <v/>
      </c>
      <c r="BD197" s="513">
        <f>IFERROR(__xludf.DUMMYFUNCTION("""COMPUTED_VALUE"""),95)</f>
        <v/>
      </c>
      <c r="BF197" s="512">
        <f>IFERROR(__xludf.DUMMYFUNCTION("""COMPUTED_VALUE"""),46148.6666666666)</f>
        <v/>
      </c>
      <c r="BG197" s="513">
        <f>IFERROR(__xludf.DUMMYFUNCTION("""COMPUTED_VALUE"""),82.3)</f>
        <v/>
      </c>
      <c r="BI197" s="512">
        <f>IFERROR(__xludf.DUMMYFUNCTION("""COMPUTED_VALUE"""),46148.6666666666)</f>
        <v/>
      </c>
      <c r="BJ197" s="513">
        <f>IFERROR(__xludf.DUMMYFUNCTION("""COMPUTED_VALUE"""),86.08)</f>
        <v/>
      </c>
      <c r="BL197" s="512">
        <f>IFERROR(__xludf.DUMMYFUNCTION("""COMPUTED_VALUE"""),46148.6666666666)</f>
        <v/>
      </c>
      <c r="BM197" s="513">
        <f>IFERROR(__xludf.DUMMYFUNCTION("""COMPUTED_VALUE"""),430.96)</f>
        <v/>
      </c>
      <c r="BO197" s="512">
        <f>IFERROR(__xludf.DUMMYFUNCTION("""COMPUTED_VALUE"""),46148.6666666666)</f>
        <v/>
      </c>
      <c r="BP197" s="513">
        <f>IFERROR(__xludf.DUMMYFUNCTION("""COMPUTED_VALUE"""),91.42)</f>
        <v/>
      </c>
    </row>
    <row r="198">
      <c r="A198" s="512">
        <f>IFERROR(__xludf.DUMMYFUNCTION("""COMPUTED_VALUE"""),46149.6666666666)</f>
        <v/>
      </c>
      <c r="B198" s="513">
        <f>IFERROR(__xludf.DUMMYFUNCTION("""COMPUTED_VALUE"""),731.58)</f>
        <v/>
      </c>
      <c r="D198" s="512">
        <f>IFERROR(__xludf.DUMMYFUNCTION("""COMPUTED_VALUE"""),46149.6666666666)</f>
        <v/>
      </c>
      <c r="E198" s="513">
        <f>IFERROR(__xludf.DUMMYFUNCTION("""COMPUTED_VALUE"""),96.39)</f>
        <v/>
      </c>
      <c r="G198" s="512" t="n"/>
      <c r="H198" s="513" t="n"/>
      <c r="J198" s="512">
        <f>IFERROR(__xludf.DUMMYFUNCTION("""COMPUTED_VALUE"""),46149.6666666666)</f>
        <v/>
      </c>
      <c r="K198" s="513">
        <f>IFERROR(__xludf.DUMMYFUNCTION("""COMPUTED_VALUE"""),90.99)</f>
        <v/>
      </c>
      <c r="M198" s="512">
        <f>IFERROR(__xludf.DUMMYFUNCTION("""COMPUTED_VALUE"""),46149.6666666666)</f>
        <v/>
      </c>
      <c r="N198" s="513">
        <f>IFERROR(__xludf.DUMMYFUNCTION("""COMPUTED_VALUE"""),282.26)</f>
        <v/>
      </c>
      <c r="P198" s="512">
        <f>IFERROR(__xludf.DUMMYFUNCTION("""COMPUTED_VALUE"""),46149.6666666666)</f>
        <v/>
      </c>
      <c r="Q198" s="513">
        <f>IFERROR(__xludf.DUMMYFUNCTION("""COMPUTED_VALUE"""),87.28)</f>
        <v/>
      </c>
      <c r="S198" s="512">
        <f>IFERROR(__xludf.DUMMYFUNCTION("""COMPUTED_VALUE"""),45419.6666666666)</f>
        <v/>
      </c>
      <c r="T198" s="513">
        <f>IFERROR(__xludf.DUMMYFUNCTION("""COMPUTED_VALUE"""),182.4)</f>
        <v/>
      </c>
      <c r="V198" s="512">
        <f>IFERROR(__xludf.DUMMYFUNCTION("""COMPUTED_VALUE"""),46149.6666666666)</f>
        <v/>
      </c>
      <c r="W198" s="513">
        <f>IFERROR(__xludf.DUMMYFUNCTION("""COMPUTED_VALUE"""),30.25)</f>
        <v/>
      </c>
      <c r="Y198" s="512">
        <f>IFERROR(__xludf.DUMMYFUNCTION("""COMPUTED_VALUE"""),46149.6666666666)</f>
        <v/>
      </c>
      <c r="Z198" s="513">
        <f>IFERROR(__xludf.DUMMYFUNCTION("""COMPUTED_VALUE"""),73.36)</f>
        <v/>
      </c>
      <c r="AB198" s="512">
        <f>IFERROR(__xludf.DUMMYFUNCTION("""COMPUTED_VALUE"""),46149.6666666666)</f>
        <v/>
      </c>
      <c r="AC198" s="513">
        <f>IFERROR(__xludf.DUMMYFUNCTION("""COMPUTED_VALUE"""),60.21)</f>
        <v/>
      </c>
      <c r="AE198" s="512">
        <f>IFERROR(__xludf.DUMMYFUNCTION("""COMPUTED_VALUE"""),46149.6666666666)</f>
        <v/>
      </c>
      <c r="AF198" s="513">
        <f>IFERROR(__xludf.DUMMYFUNCTION("""COMPUTED_VALUE"""),95.9)</f>
        <v/>
      </c>
      <c r="AH198" s="512">
        <f>IFERROR(__xludf.DUMMYFUNCTION("""COMPUTED_VALUE"""),46149.6666666666)</f>
        <v/>
      </c>
      <c r="AI198" s="513">
        <f>IFERROR(__xludf.DUMMYFUNCTION("""COMPUTED_VALUE"""),22.31)</f>
        <v/>
      </c>
      <c r="AK198" s="512">
        <f>IFERROR(__xludf.DUMMYFUNCTION("""COMPUTED_VALUE"""),46149.6666666666)</f>
        <v/>
      </c>
      <c r="AL198" s="513">
        <f>IFERROR(__xludf.DUMMYFUNCTION("""COMPUTED_VALUE"""),79.86)</f>
        <v/>
      </c>
      <c r="AN198" s="512">
        <f>IFERROR(__xludf.DUMMYFUNCTION("""COMPUTED_VALUE"""),46149.6666666666)</f>
        <v/>
      </c>
      <c r="AO198" s="513">
        <f>IFERROR(__xludf.DUMMYFUNCTION("""COMPUTED_VALUE"""),111.03)</f>
        <v/>
      </c>
      <c r="AQ198" s="512">
        <f>IFERROR(__xludf.DUMMYFUNCTION("""COMPUTED_VALUE"""),46149.6666666666)</f>
        <v/>
      </c>
      <c r="AR198" s="513">
        <f>IFERROR(__xludf.DUMMYFUNCTION("""COMPUTED_VALUE"""),102.89)</f>
        <v/>
      </c>
      <c r="AT198" s="512">
        <f>IFERROR(__xludf.DUMMYFUNCTION("""COMPUTED_VALUE"""),46149.6666666666)</f>
        <v/>
      </c>
      <c r="AU198" s="513">
        <f>IFERROR(__xludf.DUMMYFUNCTION("""COMPUTED_VALUE"""),66.59)</f>
        <v/>
      </c>
      <c r="AW198" s="512">
        <f>IFERROR(__xludf.DUMMYFUNCTION("""COMPUTED_VALUE"""),46149.6666666666)</f>
        <v/>
      </c>
      <c r="AX198" s="513">
        <f>IFERROR(__xludf.DUMMYFUNCTION("""COMPUTED_VALUE"""),98.95)</f>
        <v/>
      </c>
      <c r="AZ198" s="512">
        <f>IFERROR(__xludf.DUMMYFUNCTION("""COMPUTED_VALUE"""),46149.6666666666)</f>
        <v/>
      </c>
      <c r="BA198" s="513">
        <f>IFERROR(__xludf.DUMMYFUNCTION("""COMPUTED_VALUE"""),108.74)</f>
        <v/>
      </c>
      <c r="BC198" s="512">
        <f>IFERROR(__xludf.DUMMYFUNCTION("""COMPUTED_VALUE"""),46149.6666666666)</f>
        <v/>
      </c>
      <c r="BD198" s="513">
        <f>IFERROR(__xludf.DUMMYFUNCTION("""COMPUTED_VALUE"""),94.71)</f>
        <v/>
      </c>
      <c r="BF198" s="512">
        <f>IFERROR(__xludf.DUMMYFUNCTION("""COMPUTED_VALUE"""),46149.6666666666)</f>
        <v/>
      </c>
      <c r="BG198" s="513">
        <f>IFERROR(__xludf.DUMMYFUNCTION("""COMPUTED_VALUE"""),82.23)</f>
        <v/>
      </c>
      <c r="BI198" s="512">
        <f>IFERROR(__xludf.DUMMYFUNCTION("""COMPUTED_VALUE"""),46149.6666666666)</f>
        <v/>
      </c>
      <c r="BJ198" s="513">
        <f>IFERROR(__xludf.DUMMYFUNCTION("""COMPUTED_VALUE"""),85.65)</f>
        <v/>
      </c>
      <c r="BL198" s="512">
        <f>IFERROR(__xludf.DUMMYFUNCTION("""COMPUTED_VALUE"""),46149.6666666666)</f>
        <v/>
      </c>
      <c r="BM198" s="513">
        <f>IFERROR(__xludf.DUMMYFUNCTION("""COMPUTED_VALUE"""),431.68)</f>
        <v/>
      </c>
      <c r="BO198" s="512">
        <f>IFERROR(__xludf.DUMMYFUNCTION("""COMPUTED_VALUE"""),46149.6666666666)</f>
        <v/>
      </c>
      <c r="BP198" s="513">
        <f>IFERROR(__xludf.DUMMYFUNCTION("""COMPUTED_VALUE"""),91.44)</f>
        <v/>
      </c>
    </row>
    <row r="199">
      <c r="A199" s="512">
        <f>IFERROR(__xludf.DUMMYFUNCTION("""COMPUTED_VALUE"""),46150.6666666666)</f>
        <v/>
      </c>
      <c r="B199" s="513">
        <f>IFERROR(__xludf.DUMMYFUNCTION("""COMPUTED_VALUE"""),737.62)</f>
        <v/>
      </c>
      <c r="D199" s="512">
        <f>IFERROR(__xludf.DUMMYFUNCTION("""COMPUTED_VALUE"""),46150.6666666666)</f>
        <v/>
      </c>
      <c r="E199" s="513">
        <f>IFERROR(__xludf.DUMMYFUNCTION("""COMPUTED_VALUE"""),96.62)</f>
        <v/>
      </c>
      <c r="G199" s="512" t="n"/>
      <c r="H199" s="513" t="n"/>
      <c r="J199" s="512">
        <f>IFERROR(__xludf.DUMMYFUNCTION("""COMPUTED_VALUE"""),46150.6666666666)</f>
        <v/>
      </c>
      <c r="K199" s="513">
        <f>IFERROR(__xludf.DUMMYFUNCTION("""COMPUTED_VALUE"""),92.22)</f>
        <v/>
      </c>
      <c r="M199" s="512">
        <f>IFERROR(__xludf.DUMMYFUNCTION("""COMPUTED_VALUE"""),46150.6666666666)</f>
        <v/>
      </c>
      <c r="N199" s="513">
        <f>IFERROR(__xludf.DUMMYFUNCTION("""COMPUTED_VALUE"""),284.17)</f>
        <v/>
      </c>
      <c r="P199" s="512">
        <f>IFERROR(__xludf.DUMMYFUNCTION("""COMPUTED_VALUE"""),46150.6666666666)</f>
        <v/>
      </c>
      <c r="Q199" s="513">
        <f>IFERROR(__xludf.DUMMYFUNCTION("""COMPUTED_VALUE"""),88.12)</f>
        <v/>
      </c>
      <c r="S199" s="512">
        <f>IFERROR(__xludf.DUMMYFUNCTION("""COMPUTED_VALUE"""),45420.6666666666)</f>
        <v/>
      </c>
      <c r="T199" s="513">
        <f>IFERROR(__xludf.DUMMYFUNCTION("""COMPUTED_VALUE"""),182.74)</f>
        <v/>
      </c>
      <c r="V199" s="512">
        <f>IFERROR(__xludf.DUMMYFUNCTION("""COMPUTED_VALUE"""),46150.6666666666)</f>
        <v/>
      </c>
      <c r="W199" s="513">
        <f>IFERROR(__xludf.DUMMYFUNCTION("""COMPUTED_VALUE"""),30.3)</f>
        <v/>
      </c>
      <c r="Y199" s="512">
        <f>IFERROR(__xludf.DUMMYFUNCTION("""COMPUTED_VALUE"""),46150.6666666666)</f>
        <v/>
      </c>
      <c r="Z199" s="513">
        <f>IFERROR(__xludf.DUMMYFUNCTION("""COMPUTED_VALUE"""),73.55)</f>
        <v/>
      </c>
      <c r="AB199" s="512">
        <f>IFERROR(__xludf.DUMMYFUNCTION("""COMPUTED_VALUE"""),46150.6666666666)</f>
        <v/>
      </c>
      <c r="AC199" s="513">
        <f>IFERROR(__xludf.DUMMYFUNCTION("""COMPUTED_VALUE"""),60.54)</f>
        <v/>
      </c>
      <c r="AE199" s="512">
        <f>IFERROR(__xludf.DUMMYFUNCTION("""COMPUTED_VALUE"""),46150.6666666666)</f>
        <v/>
      </c>
      <c r="AF199" s="513">
        <f>IFERROR(__xludf.DUMMYFUNCTION("""COMPUTED_VALUE"""),96.15)</f>
        <v/>
      </c>
      <c r="AH199" s="512">
        <f>IFERROR(__xludf.DUMMYFUNCTION("""COMPUTED_VALUE"""),46150.6666666666)</f>
        <v/>
      </c>
      <c r="AI199" s="513">
        <f>IFERROR(__xludf.DUMMYFUNCTION("""COMPUTED_VALUE"""),22.39)</f>
        <v/>
      </c>
      <c r="AK199" s="512">
        <f>IFERROR(__xludf.DUMMYFUNCTION("""COMPUTED_VALUE"""),46150.6666666666)</f>
        <v/>
      </c>
      <c r="AL199" s="513">
        <f>IFERROR(__xludf.DUMMYFUNCTION("""COMPUTED_VALUE"""),80.14)</f>
        <v/>
      </c>
      <c r="AN199" s="512">
        <f>IFERROR(__xludf.DUMMYFUNCTION("""COMPUTED_VALUE"""),46150.6666666666)</f>
        <v/>
      </c>
      <c r="AO199" s="513">
        <f>IFERROR(__xludf.DUMMYFUNCTION("""COMPUTED_VALUE"""),111.4)</f>
        <v/>
      </c>
      <c r="AQ199" s="512">
        <f>IFERROR(__xludf.DUMMYFUNCTION("""COMPUTED_VALUE"""),46150.6666666666)</f>
        <v/>
      </c>
      <c r="AR199" s="513">
        <f>IFERROR(__xludf.DUMMYFUNCTION("""COMPUTED_VALUE"""),103.96)</f>
        <v/>
      </c>
      <c r="AT199" s="512">
        <f>IFERROR(__xludf.DUMMYFUNCTION("""COMPUTED_VALUE"""),46150.6666666666)</f>
        <v/>
      </c>
      <c r="AU199" s="513">
        <f>IFERROR(__xludf.DUMMYFUNCTION("""COMPUTED_VALUE"""),67.94)</f>
        <v/>
      </c>
      <c r="AW199" s="512">
        <f>IFERROR(__xludf.DUMMYFUNCTION("""COMPUTED_VALUE"""),46150.6666666666)</f>
        <v/>
      </c>
      <c r="AX199" s="513">
        <f>IFERROR(__xludf.DUMMYFUNCTION("""COMPUTED_VALUE"""),99.18)</f>
        <v/>
      </c>
      <c r="AZ199" s="512">
        <f>IFERROR(__xludf.DUMMYFUNCTION("""COMPUTED_VALUE"""),46150.6666666666)</f>
        <v/>
      </c>
      <c r="BA199" s="513">
        <f>IFERROR(__xludf.DUMMYFUNCTION("""COMPUTED_VALUE"""),109.2)</f>
        <v/>
      </c>
      <c r="BC199" s="512">
        <f>IFERROR(__xludf.DUMMYFUNCTION("""COMPUTED_VALUE"""),46150.6666666666)</f>
        <v/>
      </c>
      <c r="BD199" s="513">
        <f>IFERROR(__xludf.DUMMYFUNCTION("""COMPUTED_VALUE"""),94.96)</f>
        <v/>
      </c>
      <c r="BF199" s="512">
        <f>IFERROR(__xludf.DUMMYFUNCTION("""COMPUTED_VALUE"""),46150.6666666666)</f>
        <v/>
      </c>
      <c r="BG199" s="513">
        <f>IFERROR(__xludf.DUMMYFUNCTION("""COMPUTED_VALUE"""),82.3)</f>
        <v/>
      </c>
      <c r="BI199" s="512">
        <f>IFERROR(__xludf.DUMMYFUNCTION("""COMPUTED_VALUE"""),46150.6666666666)</f>
        <v/>
      </c>
      <c r="BJ199" s="513">
        <f>IFERROR(__xludf.DUMMYFUNCTION("""COMPUTED_VALUE"""),86.08)</f>
        <v/>
      </c>
      <c r="BL199" s="512">
        <f>IFERROR(__xludf.DUMMYFUNCTION("""COMPUTED_VALUE"""),46150.6666666666)</f>
        <v/>
      </c>
      <c r="BM199" s="513">
        <f>IFERROR(__xludf.DUMMYFUNCTION("""COMPUTED_VALUE"""),433.77)</f>
        <v/>
      </c>
      <c r="BO199" s="512">
        <f>IFERROR(__xludf.DUMMYFUNCTION("""COMPUTED_VALUE"""),46150.6666666666)</f>
        <v/>
      </c>
      <c r="BP199" s="513">
        <f>IFERROR(__xludf.DUMMYFUNCTION("""COMPUTED_VALUE"""),91.46)</f>
        <v/>
      </c>
    </row>
    <row r="200">
      <c r="A200" s="512">
        <f>IFERROR(__xludf.DUMMYFUNCTION("""COMPUTED_VALUE"""),46153.6666666666)</f>
        <v/>
      </c>
      <c r="B200" s="513">
        <f>IFERROR(__xludf.DUMMYFUNCTION("""COMPUTED_VALUE"""),739.3)</f>
        <v/>
      </c>
      <c r="D200" s="512">
        <f>IFERROR(__xludf.DUMMYFUNCTION("""COMPUTED_VALUE"""),46153.6666666666)</f>
        <v/>
      </c>
      <c r="E200" s="513">
        <f>IFERROR(__xludf.DUMMYFUNCTION("""COMPUTED_VALUE"""),96.69)</f>
        <v/>
      </c>
      <c r="G200" s="512" t="n"/>
      <c r="H200" s="513" t="n"/>
      <c r="J200" s="512">
        <f>IFERROR(__xludf.DUMMYFUNCTION("""COMPUTED_VALUE"""),46153.6666666666)</f>
        <v/>
      </c>
      <c r="K200" s="513">
        <f>IFERROR(__xludf.DUMMYFUNCTION("""COMPUTED_VALUE"""),92.26)</f>
        <v/>
      </c>
      <c r="M200" s="512">
        <f>IFERROR(__xludf.DUMMYFUNCTION("""COMPUTED_VALUE"""),46153.6666666666)</f>
        <v/>
      </c>
      <c r="N200" s="513">
        <f>IFERROR(__xludf.DUMMYFUNCTION("""COMPUTED_VALUE"""),285.33)</f>
        <v/>
      </c>
      <c r="P200" s="512">
        <f>IFERROR(__xludf.DUMMYFUNCTION("""COMPUTED_VALUE"""),46153.6666666666)</f>
        <v/>
      </c>
      <c r="Q200" s="513">
        <f>IFERROR(__xludf.DUMMYFUNCTION("""COMPUTED_VALUE"""),87.82)</f>
        <v/>
      </c>
      <c r="S200" s="512">
        <f>IFERROR(__xludf.DUMMYFUNCTION("""COMPUTED_VALUE"""),45421.6666666666)</f>
        <v/>
      </c>
      <c r="T200" s="513">
        <f>IFERROR(__xludf.DUMMYFUNCTION("""COMPUTED_VALUE"""),184.57)</f>
        <v/>
      </c>
      <c r="V200" s="512">
        <f>IFERROR(__xludf.DUMMYFUNCTION("""COMPUTED_VALUE"""),46153.6666666666)</f>
        <v/>
      </c>
      <c r="W200" s="513">
        <f>IFERROR(__xludf.DUMMYFUNCTION("""COMPUTED_VALUE"""),31.06)</f>
        <v/>
      </c>
      <c r="Y200" s="512">
        <f>IFERROR(__xludf.DUMMYFUNCTION("""COMPUTED_VALUE"""),46153.6666666666)</f>
        <v/>
      </c>
      <c r="Z200" s="513">
        <f>IFERROR(__xludf.DUMMYFUNCTION("""COMPUTED_VALUE"""),73.37)</f>
        <v/>
      </c>
      <c r="AB200" s="512">
        <f>IFERROR(__xludf.DUMMYFUNCTION("""COMPUTED_VALUE"""),46153.6666666666)</f>
        <v/>
      </c>
      <c r="AC200" s="513">
        <f>IFERROR(__xludf.DUMMYFUNCTION("""COMPUTED_VALUE"""),60.39)</f>
        <v/>
      </c>
      <c r="AE200" s="512">
        <f>IFERROR(__xludf.DUMMYFUNCTION("""COMPUTED_VALUE"""),46153.6666666666)</f>
        <v/>
      </c>
      <c r="AF200" s="513">
        <f>IFERROR(__xludf.DUMMYFUNCTION("""COMPUTED_VALUE"""),95.97)</f>
        <v/>
      </c>
      <c r="AH200" s="512">
        <f>IFERROR(__xludf.DUMMYFUNCTION("""COMPUTED_VALUE"""),46153.6666666666)</f>
        <v/>
      </c>
      <c r="AI200" s="513">
        <f>IFERROR(__xludf.DUMMYFUNCTION("""COMPUTED_VALUE"""),22.29)</f>
        <v/>
      </c>
      <c r="AK200" s="512">
        <f>IFERROR(__xludf.DUMMYFUNCTION("""COMPUTED_VALUE"""),46153.6666666666)</f>
        <v/>
      </c>
      <c r="AL200" s="513">
        <f>IFERROR(__xludf.DUMMYFUNCTION("""COMPUTED_VALUE"""),79.98)</f>
        <v/>
      </c>
      <c r="AN200" s="512">
        <f>IFERROR(__xludf.DUMMYFUNCTION("""COMPUTED_VALUE"""),46153.6666666666)</f>
        <v/>
      </c>
      <c r="AO200" s="513">
        <f>IFERROR(__xludf.DUMMYFUNCTION("""COMPUTED_VALUE"""),111.31)</f>
        <v/>
      </c>
      <c r="AQ200" s="512">
        <f>IFERROR(__xludf.DUMMYFUNCTION("""COMPUTED_VALUE"""),46153.6666666666)</f>
        <v/>
      </c>
      <c r="AR200" s="513">
        <f>IFERROR(__xludf.DUMMYFUNCTION("""COMPUTED_VALUE"""),103.74)</f>
        <v/>
      </c>
      <c r="AT200" s="512">
        <f>IFERROR(__xludf.DUMMYFUNCTION("""COMPUTED_VALUE"""),46153.6666666666)</f>
        <v/>
      </c>
      <c r="AU200" s="513">
        <f>IFERROR(__xludf.DUMMYFUNCTION("""COMPUTED_VALUE"""),67.89)</f>
        <v/>
      </c>
      <c r="AW200" s="512">
        <f>IFERROR(__xludf.DUMMYFUNCTION("""COMPUTED_VALUE"""),46153.6666666666)</f>
        <v/>
      </c>
      <c r="AX200" s="513">
        <f>IFERROR(__xludf.DUMMYFUNCTION("""COMPUTED_VALUE"""),98.92)</f>
        <v/>
      </c>
      <c r="AZ200" s="512">
        <f>IFERROR(__xludf.DUMMYFUNCTION("""COMPUTED_VALUE"""),46153.6666666666)</f>
        <v/>
      </c>
      <c r="BA200" s="513">
        <f>IFERROR(__xludf.DUMMYFUNCTION("""COMPUTED_VALUE"""),108.93)</f>
        <v/>
      </c>
      <c r="BC200" s="512">
        <f>IFERROR(__xludf.DUMMYFUNCTION("""COMPUTED_VALUE"""),46153.6666666666)</f>
        <v/>
      </c>
      <c r="BD200" s="513">
        <f>IFERROR(__xludf.DUMMYFUNCTION("""COMPUTED_VALUE"""),94.64)</f>
        <v/>
      </c>
      <c r="BF200" s="512">
        <f>IFERROR(__xludf.DUMMYFUNCTION("""COMPUTED_VALUE"""),46153.6666666666)</f>
        <v/>
      </c>
      <c r="BG200" s="513">
        <f>IFERROR(__xludf.DUMMYFUNCTION("""COMPUTED_VALUE"""),82.22)</f>
        <v/>
      </c>
      <c r="BI200" s="512">
        <f>IFERROR(__xludf.DUMMYFUNCTION("""COMPUTED_VALUE"""),46153.6666666666)</f>
        <v/>
      </c>
      <c r="BJ200" s="513">
        <f>IFERROR(__xludf.DUMMYFUNCTION("""COMPUTED_VALUE"""),85.56)</f>
        <v/>
      </c>
      <c r="BL200" s="512">
        <f>IFERROR(__xludf.DUMMYFUNCTION("""COMPUTED_VALUE"""),46153.6666666666)</f>
        <v/>
      </c>
      <c r="BM200" s="513">
        <f>IFERROR(__xludf.DUMMYFUNCTION("""COMPUTED_VALUE"""),434.65)</f>
        <v/>
      </c>
      <c r="BO200" s="512">
        <f>IFERROR(__xludf.DUMMYFUNCTION("""COMPUTED_VALUE"""),46153.6666666666)</f>
        <v/>
      </c>
      <c r="BP200" s="513">
        <f>IFERROR(__xludf.DUMMYFUNCTION("""COMPUTED_VALUE"""),91.48)</f>
        <v/>
      </c>
    </row>
    <row r="201">
      <c r="A201" s="512">
        <f>IFERROR(__xludf.DUMMYFUNCTION("""COMPUTED_VALUE"""),46154.6666666666)</f>
        <v/>
      </c>
      <c r="B201" s="513">
        <f>IFERROR(__xludf.DUMMYFUNCTION("""COMPUTED_VALUE"""),738.18)</f>
        <v/>
      </c>
      <c r="D201" s="512">
        <f>IFERROR(__xludf.DUMMYFUNCTION("""COMPUTED_VALUE"""),46154.6666666666)</f>
        <v/>
      </c>
      <c r="E201" s="513">
        <f>IFERROR(__xludf.DUMMYFUNCTION("""COMPUTED_VALUE"""),96.69)</f>
        <v/>
      </c>
      <c r="G201" s="512" t="n"/>
      <c r="H201" s="513" t="n"/>
      <c r="J201" s="512">
        <f>IFERROR(__xludf.DUMMYFUNCTION("""COMPUTED_VALUE"""),46154.6666666666)</f>
        <v/>
      </c>
      <c r="K201" s="513">
        <f>IFERROR(__xludf.DUMMYFUNCTION("""COMPUTED_VALUE"""),92.06)</f>
        <v/>
      </c>
      <c r="M201" s="512">
        <f>IFERROR(__xludf.DUMMYFUNCTION("""COMPUTED_VALUE"""),46154.6666666666)</f>
        <v/>
      </c>
      <c r="N201" s="513">
        <f>IFERROR(__xludf.DUMMYFUNCTION("""COMPUTED_VALUE"""),282.57)</f>
        <v/>
      </c>
      <c r="P201" s="512">
        <f>IFERROR(__xludf.DUMMYFUNCTION("""COMPUTED_VALUE"""),46154.6666666666)</f>
        <v/>
      </c>
      <c r="Q201" s="513">
        <f>IFERROR(__xludf.DUMMYFUNCTION("""COMPUTED_VALUE"""),87.11)</f>
        <v/>
      </c>
      <c r="S201" s="512">
        <f>IFERROR(__xludf.DUMMYFUNCTION("""COMPUTED_VALUE"""),45422.6666666666)</f>
        <v/>
      </c>
      <c r="T201" s="513">
        <f>IFERROR(__xludf.DUMMYFUNCTION("""COMPUTED_VALUE"""),183.05)</f>
        <v/>
      </c>
      <c r="V201" s="512">
        <f>IFERROR(__xludf.DUMMYFUNCTION("""COMPUTED_VALUE"""),46154.6666666666)</f>
        <v/>
      </c>
      <c r="W201" s="513">
        <f>IFERROR(__xludf.DUMMYFUNCTION("""COMPUTED_VALUE"""),31.69)</f>
        <v/>
      </c>
      <c r="Y201" s="512">
        <f>IFERROR(__xludf.DUMMYFUNCTION("""COMPUTED_VALUE"""),46154.6666666666)</f>
        <v/>
      </c>
      <c r="Z201" s="513">
        <f>IFERROR(__xludf.DUMMYFUNCTION("""COMPUTED_VALUE"""),73.15)</f>
        <v/>
      </c>
      <c r="AB201" s="512">
        <f>IFERROR(__xludf.DUMMYFUNCTION("""COMPUTED_VALUE"""),46154.6666666666)</f>
        <v/>
      </c>
      <c r="AC201" s="513">
        <f>IFERROR(__xludf.DUMMYFUNCTION("""COMPUTED_VALUE"""),59.39)</f>
        <v/>
      </c>
      <c r="AE201" s="512">
        <f>IFERROR(__xludf.DUMMYFUNCTION("""COMPUTED_VALUE"""),46154.6666666666)</f>
        <v/>
      </c>
      <c r="AF201" s="513">
        <f>IFERROR(__xludf.DUMMYFUNCTION("""COMPUTED_VALUE"""),95.72)</f>
        <v/>
      </c>
      <c r="AH201" s="512">
        <f>IFERROR(__xludf.DUMMYFUNCTION("""COMPUTED_VALUE"""),46154.6666666666)</f>
        <v/>
      </c>
      <c r="AI201" s="513">
        <f>IFERROR(__xludf.DUMMYFUNCTION("""COMPUTED_VALUE"""),22.14)</f>
        <v/>
      </c>
      <c r="AK201" s="512">
        <f>IFERROR(__xludf.DUMMYFUNCTION("""COMPUTED_VALUE"""),46154.6666666666)</f>
        <v/>
      </c>
      <c r="AL201" s="513">
        <f>IFERROR(__xludf.DUMMYFUNCTION("""COMPUTED_VALUE"""),79.87)</f>
        <v/>
      </c>
      <c r="AN201" s="512">
        <f>IFERROR(__xludf.DUMMYFUNCTION("""COMPUTED_VALUE"""),46154.6666666666)</f>
        <v/>
      </c>
      <c r="AO201" s="513">
        <f>IFERROR(__xludf.DUMMYFUNCTION("""COMPUTED_VALUE"""),111.12)</f>
        <v/>
      </c>
      <c r="AQ201" s="512">
        <f>IFERROR(__xludf.DUMMYFUNCTION("""COMPUTED_VALUE"""),46154.6666666666)</f>
        <v/>
      </c>
      <c r="AR201" s="513">
        <f>IFERROR(__xludf.DUMMYFUNCTION("""COMPUTED_VALUE"""),103.14)</f>
        <v/>
      </c>
      <c r="AT201" s="512">
        <f>IFERROR(__xludf.DUMMYFUNCTION("""COMPUTED_VALUE"""),46154.6666666666)</f>
        <v/>
      </c>
      <c r="AU201" s="513">
        <f>IFERROR(__xludf.DUMMYFUNCTION("""COMPUTED_VALUE"""),65.82)</f>
        <v/>
      </c>
      <c r="AW201" s="512">
        <f>IFERROR(__xludf.DUMMYFUNCTION("""COMPUTED_VALUE"""),46154.6666666666)</f>
        <v/>
      </c>
      <c r="AX201" s="513">
        <f>IFERROR(__xludf.DUMMYFUNCTION("""COMPUTED_VALUE"""),98.63)</f>
        <v/>
      </c>
      <c r="AZ201" s="512">
        <f>IFERROR(__xludf.DUMMYFUNCTION("""COMPUTED_VALUE"""),46154.6666666666)</f>
        <v/>
      </c>
      <c r="BA201" s="513">
        <f>IFERROR(__xludf.DUMMYFUNCTION("""COMPUTED_VALUE"""),108.56)</f>
        <v/>
      </c>
      <c r="BC201" s="512">
        <f>IFERROR(__xludf.DUMMYFUNCTION("""COMPUTED_VALUE"""),46154.6666666666)</f>
        <v/>
      </c>
      <c r="BD201" s="513">
        <f>IFERROR(__xludf.DUMMYFUNCTION("""COMPUTED_VALUE"""),94.32)</f>
        <v/>
      </c>
      <c r="BF201" s="512">
        <f>IFERROR(__xludf.DUMMYFUNCTION("""COMPUTED_VALUE"""),46154.6666666666)</f>
        <v/>
      </c>
      <c r="BG201" s="513">
        <f>IFERROR(__xludf.DUMMYFUNCTION("""COMPUTED_VALUE"""),82.16)</f>
        <v/>
      </c>
      <c r="BI201" s="512">
        <f>IFERROR(__xludf.DUMMYFUNCTION("""COMPUTED_VALUE"""),46154.6666666666)</f>
        <v/>
      </c>
      <c r="BJ201" s="513">
        <f>IFERROR(__xludf.DUMMYFUNCTION("""COMPUTED_VALUE"""),84.99)</f>
        <v/>
      </c>
      <c r="BL201" s="512">
        <f>IFERROR(__xludf.DUMMYFUNCTION("""COMPUTED_VALUE"""),46154.6666666666)</f>
        <v/>
      </c>
      <c r="BM201" s="513">
        <f>IFERROR(__xludf.DUMMYFUNCTION("""COMPUTED_VALUE"""),432.93)</f>
        <v/>
      </c>
      <c r="BO201" s="512">
        <f>IFERROR(__xludf.DUMMYFUNCTION("""COMPUTED_VALUE"""),46154.6666666666)</f>
        <v/>
      </c>
      <c r="BP201" s="513">
        <f>IFERROR(__xludf.DUMMYFUNCTION("""COMPUTED_VALUE"""),91.49)</f>
        <v/>
      </c>
    </row>
    <row r="202">
      <c r="A202" s="512">
        <f>IFERROR(__xludf.DUMMYFUNCTION("""COMPUTED_VALUE"""),46155.6666666666)</f>
        <v/>
      </c>
      <c r="B202" s="513">
        <f>IFERROR(__xludf.DUMMYFUNCTION("""COMPUTED_VALUE"""),742.31)</f>
        <v/>
      </c>
      <c r="D202" s="512">
        <f>IFERROR(__xludf.DUMMYFUNCTION("""COMPUTED_VALUE"""),46155.6666666666)</f>
        <v/>
      </c>
      <c r="E202" s="513">
        <f>IFERROR(__xludf.DUMMYFUNCTION("""COMPUTED_VALUE"""),95.89)</f>
        <v/>
      </c>
      <c r="G202" s="512" t="n"/>
      <c r="H202" s="513" t="n"/>
      <c r="J202" s="512">
        <f>IFERROR(__xludf.DUMMYFUNCTION("""COMPUTED_VALUE"""),46155.6666666666)</f>
        <v/>
      </c>
      <c r="K202" s="513">
        <f>IFERROR(__xludf.DUMMYFUNCTION("""COMPUTED_VALUE"""),93.09)</f>
        <v/>
      </c>
      <c r="M202" s="512">
        <f>IFERROR(__xludf.DUMMYFUNCTION("""COMPUTED_VALUE"""),46155.6666666666)</f>
        <v/>
      </c>
      <c r="N202" s="513">
        <f>IFERROR(__xludf.DUMMYFUNCTION("""COMPUTED_VALUE"""),282.67)</f>
        <v/>
      </c>
      <c r="P202" s="512">
        <f>IFERROR(__xludf.DUMMYFUNCTION("""COMPUTED_VALUE"""),46155.6666666666)</f>
        <v/>
      </c>
      <c r="Q202" s="513">
        <f>IFERROR(__xludf.DUMMYFUNCTION("""COMPUTED_VALUE"""),87.6)</f>
        <v/>
      </c>
      <c r="S202" s="512">
        <f>IFERROR(__xludf.DUMMYFUNCTION("""COMPUTED_VALUE"""),45425.6666666666)</f>
        <v/>
      </c>
      <c r="T202" s="513">
        <f>IFERROR(__xludf.DUMMYFUNCTION("""COMPUTED_VALUE"""),186.28)</f>
        <v/>
      </c>
      <c r="V202" s="512">
        <f>IFERROR(__xludf.DUMMYFUNCTION("""COMPUTED_VALUE"""),46155.6666666666)</f>
        <v/>
      </c>
      <c r="W202" s="513">
        <f>IFERROR(__xludf.DUMMYFUNCTION("""COMPUTED_VALUE"""),31.37)</f>
        <v/>
      </c>
      <c r="Y202" s="512">
        <f>IFERROR(__xludf.DUMMYFUNCTION("""COMPUTED_VALUE"""),46155.6666666666)</f>
        <v/>
      </c>
      <c r="Z202" s="513">
        <f>IFERROR(__xludf.DUMMYFUNCTION("""COMPUTED_VALUE"""),73.18)</f>
        <v/>
      </c>
      <c r="AB202" s="512">
        <f>IFERROR(__xludf.DUMMYFUNCTION("""COMPUTED_VALUE"""),46155.6666666666)</f>
        <v/>
      </c>
      <c r="AC202" s="513">
        <f>IFERROR(__xludf.DUMMYFUNCTION("""COMPUTED_VALUE"""),59.94)</f>
        <v/>
      </c>
      <c r="AE202" s="512">
        <f>IFERROR(__xludf.DUMMYFUNCTION("""COMPUTED_VALUE"""),46155.6666666666)</f>
        <v/>
      </c>
      <c r="AF202" s="513">
        <f>IFERROR(__xludf.DUMMYFUNCTION("""COMPUTED_VALUE"""),95.54)</f>
        <v/>
      </c>
      <c r="AH202" s="512">
        <f>IFERROR(__xludf.DUMMYFUNCTION("""COMPUTED_VALUE"""),46155.6666666666)</f>
        <v/>
      </c>
      <c r="AI202" s="513">
        <f>IFERROR(__xludf.DUMMYFUNCTION("""COMPUTED_VALUE"""),22.11)</f>
        <v/>
      </c>
      <c r="AK202" s="512">
        <f>IFERROR(__xludf.DUMMYFUNCTION("""COMPUTED_VALUE"""),46155.6666666666)</f>
        <v/>
      </c>
      <c r="AL202" s="513">
        <f>IFERROR(__xludf.DUMMYFUNCTION("""COMPUTED_VALUE"""),79.91)</f>
        <v/>
      </c>
      <c r="AN202" s="512">
        <f>IFERROR(__xludf.DUMMYFUNCTION("""COMPUTED_VALUE"""),46155.6666666666)</f>
        <v/>
      </c>
      <c r="AO202" s="513">
        <f>IFERROR(__xludf.DUMMYFUNCTION("""COMPUTED_VALUE"""),111.12)</f>
        <v/>
      </c>
      <c r="AQ202" s="512">
        <f>IFERROR(__xludf.DUMMYFUNCTION("""COMPUTED_VALUE"""),46155.6666666666)</f>
        <v/>
      </c>
      <c r="AR202" s="513">
        <f>IFERROR(__xludf.DUMMYFUNCTION("""COMPUTED_VALUE"""),103.83)</f>
        <v/>
      </c>
      <c r="AT202" s="512">
        <f>IFERROR(__xludf.DUMMYFUNCTION("""COMPUTED_VALUE"""),46155.6666666666)</f>
        <v/>
      </c>
      <c r="AU202" s="513">
        <f>IFERROR(__xludf.DUMMYFUNCTION("""COMPUTED_VALUE"""),67.21)</f>
        <v/>
      </c>
      <c r="AW202" s="512">
        <f>IFERROR(__xludf.DUMMYFUNCTION("""COMPUTED_VALUE"""),46155.6666666666)</f>
        <v/>
      </c>
      <c r="AX202" s="513">
        <f>IFERROR(__xludf.DUMMYFUNCTION("""COMPUTED_VALUE"""),98.67)</f>
        <v/>
      </c>
      <c r="AZ202" s="512">
        <f>IFERROR(__xludf.DUMMYFUNCTION("""COMPUTED_VALUE"""),46155.6666666666)</f>
        <v/>
      </c>
      <c r="BA202" s="513">
        <f>IFERROR(__xludf.DUMMYFUNCTION("""COMPUTED_VALUE"""),108.62)</f>
        <v/>
      </c>
      <c r="BC202" s="512">
        <f>IFERROR(__xludf.DUMMYFUNCTION("""COMPUTED_VALUE"""),46155.6666666666)</f>
        <v/>
      </c>
      <c r="BD202" s="513">
        <f>IFERROR(__xludf.DUMMYFUNCTION("""COMPUTED_VALUE"""),94.32)</f>
        <v/>
      </c>
      <c r="BF202" s="512">
        <f>IFERROR(__xludf.DUMMYFUNCTION("""COMPUTED_VALUE"""),46155.6666666666)</f>
        <v/>
      </c>
      <c r="BG202" s="513">
        <f>IFERROR(__xludf.DUMMYFUNCTION("""COMPUTED_VALUE"""),82.19)</f>
        <v/>
      </c>
      <c r="BI202" s="512">
        <f>IFERROR(__xludf.DUMMYFUNCTION("""COMPUTED_VALUE"""),46155.6666666666)</f>
        <v/>
      </c>
      <c r="BJ202" s="513">
        <f>IFERROR(__xludf.DUMMYFUNCTION("""COMPUTED_VALUE"""),84.8)</f>
        <v/>
      </c>
      <c r="BL202" s="512">
        <f>IFERROR(__xludf.DUMMYFUNCTION("""COMPUTED_VALUE"""),46155.6666666666)</f>
        <v/>
      </c>
      <c r="BM202" s="513">
        <f>IFERROR(__xludf.DUMMYFUNCTION("""COMPUTED_VALUE"""),430.5)</f>
        <v/>
      </c>
      <c r="BO202" s="512">
        <f>IFERROR(__xludf.DUMMYFUNCTION("""COMPUTED_VALUE"""),46155.6666666666)</f>
        <v/>
      </c>
      <c r="BP202" s="513">
        <f>IFERROR(__xludf.DUMMYFUNCTION("""COMPUTED_VALUE"""),91.49)</f>
        <v/>
      </c>
    </row>
    <row r="203">
      <c r="A203" s="512">
        <f>IFERROR(__xludf.DUMMYFUNCTION("""COMPUTED_VALUE"""),46156.6666666666)</f>
        <v/>
      </c>
      <c r="B203" s="513">
        <f>IFERROR(__xludf.DUMMYFUNCTION("""COMPUTED_VALUE"""),748.17)</f>
        <v/>
      </c>
      <c r="D203" s="512">
        <f>IFERROR(__xludf.DUMMYFUNCTION("""COMPUTED_VALUE"""),46156.6666666666)</f>
        <v/>
      </c>
      <c r="E203" s="513">
        <f>IFERROR(__xludf.DUMMYFUNCTION("""COMPUTED_VALUE"""),95.32)</f>
        <v/>
      </c>
      <c r="G203" s="512" t="n"/>
      <c r="H203" s="513" t="n"/>
      <c r="J203" s="512">
        <f>IFERROR(__xludf.DUMMYFUNCTION("""COMPUTED_VALUE"""),46156.6666666666)</f>
        <v/>
      </c>
      <c r="K203" s="513">
        <f>IFERROR(__xludf.DUMMYFUNCTION("""COMPUTED_VALUE"""),92.06)</f>
        <v/>
      </c>
      <c r="M203" s="512">
        <f>IFERROR(__xludf.DUMMYFUNCTION("""COMPUTED_VALUE"""),46156.6666666666)</f>
        <v/>
      </c>
      <c r="N203" s="513">
        <f>IFERROR(__xludf.DUMMYFUNCTION("""COMPUTED_VALUE"""),284.45)</f>
        <v/>
      </c>
      <c r="P203" s="512">
        <f>IFERROR(__xludf.DUMMYFUNCTION("""COMPUTED_VALUE"""),46156.6666666666)</f>
        <v/>
      </c>
      <c r="Q203" s="513">
        <f>IFERROR(__xludf.DUMMYFUNCTION("""COMPUTED_VALUE"""),87.47)</f>
        <v/>
      </c>
      <c r="S203" s="512">
        <f>IFERROR(__xludf.DUMMYFUNCTION("""COMPUTED_VALUE"""),45426.6666666666)</f>
        <v/>
      </c>
      <c r="T203" s="513">
        <f>IFERROR(__xludf.DUMMYFUNCTION("""COMPUTED_VALUE"""),187.43)</f>
        <v/>
      </c>
      <c r="V203" s="512">
        <f>IFERROR(__xludf.DUMMYFUNCTION("""COMPUTED_VALUE"""),46156.6666666666)</f>
        <v/>
      </c>
      <c r="W203" s="513">
        <f>IFERROR(__xludf.DUMMYFUNCTION("""COMPUTED_VALUE"""),31.15)</f>
        <v/>
      </c>
      <c r="Y203" s="512">
        <f>IFERROR(__xludf.DUMMYFUNCTION("""COMPUTED_VALUE"""),46156.6666666666)</f>
        <v/>
      </c>
      <c r="Z203" s="513">
        <f>IFERROR(__xludf.DUMMYFUNCTION("""COMPUTED_VALUE"""),73.16)</f>
        <v/>
      </c>
      <c r="AB203" s="512">
        <f>IFERROR(__xludf.DUMMYFUNCTION("""COMPUTED_VALUE"""),46156.6666666666)</f>
        <v/>
      </c>
      <c r="AC203" s="513">
        <f>IFERROR(__xludf.DUMMYFUNCTION("""COMPUTED_VALUE"""),59.96)</f>
        <v/>
      </c>
      <c r="AE203" s="512">
        <f>IFERROR(__xludf.DUMMYFUNCTION("""COMPUTED_VALUE"""),46156.6666666666)</f>
        <v/>
      </c>
      <c r="AF203" s="513">
        <f>IFERROR(__xludf.DUMMYFUNCTION("""COMPUTED_VALUE"""),95.54)</f>
        <v/>
      </c>
      <c r="AH203" s="512">
        <f>IFERROR(__xludf.DUMMYFUNCTION("""COMPUTED_VALUE"""),46156.6666666666)</f>
        <v/>
      </c>
      <c r="AI203" s="513">
        <f>IFERROR(__xludf.DUMMYFUNCTION("""COMPUTED_VALUE"""),22.05)</f>
        <v/>
      </c>
      <c r="AK203" s="512">
        <f>IFERROR(__xludf.DUMMYFUNCTION("""COMPUTED_VALUE"""),46156.6666666666)</f>
        <v/>
      </c>
      <c r="AL203" s="513">
        <f>IFERROR(__xludf.DUMMYFUNCTION("""COMPUTED_VALUE"""),79.85)</f>
        <v/>
      </c>
      <c r="AN203" s="512">
        <f>IFERROR(__xludf.DUMMYFUNCTION("""COMPUTED_VALUE"""),46156.6666666666)</f>
        <v/>
      </c>
      <c r="AO203" s="513">
        <f>IFERROR(__xludf.DUMMYFUNCTION("""COMPUTED_VALUE"""),111.01)</f>
        <v/>
      </c>
      <c r="AQ203" s="512">
        <f>IFERROR(__xludf.DUMMYFUNCTION("""COMPUTED_VALUE"""),46156.6666666666)</f>
        <v/>
      </c>
      <c r="AR203" s="513">
        <f>IFERROR(__xludf.DUMMYFUNCTION("""COMPUTED_VALUE"""),103.46)</f>
        <v/>
      </c>
      <c r="AT203" s="512">
        <f>IFERROR(__xludf.DUMMYFUNCTION("""COMPUTED_VALUE"""),46156.6666666666)</f>
        <v/>
      </c>
      <c r="AU203" s="513">
        <f>IFERROR(__xludf.DUMMYFUNCTION("""COMPUTED_VALUE"""),67.38)</f>
        <v/>
      </c>
      <c r="AW203" s="512">
        <f>IFERROR(__xludf.DUMMYFUNCTION("""COMPUTED_VALUE"""),46156.6666666666)</f>
        <v/>
      </c>
      <c r="AX203" s="513">
        <f>IFERROR(__xludf.DUMMYFUNCTION("""COMPUTED_VALUE"""),98.64)</f>
        <v/>
      </c>
      <c r="AZ203" s="512">
        <f>IFERROR(__xludf.DUMMYFUNCTION("""COMPUTED_VALUE"""),46156.6666666666)</f>
        <v/>
      </c>
      <c r="BA203" s="513">
        <f>IFERROR(__xludf.DUMMYFUNCTION("""COMPUTED_VALUE"""),108.55)</f>
        <v/>
      </c>
      <c r="BC203" s="512">
        <f>IFERROR(__xludf.DUMMYFUNCTION("""COMPUTED_VALUE"""),46156.6666666666)</f>
        <v/>
      </c>
      <c r="BD203" s="513">
        <f>IFERROR(__xludf.DUMMYFUNCTION("""COMPUTED_VALUE"""),94.26)</f>
        <v/>
      </c>
      <c r="BF203" s="512">
        <f>IFERROR(__xludf.DUMMYFUNCTION("""COMPUTED_VALUE"""),46156.6666666666)</f>
        <v/>
      </c>
      <c r="BG203" s="513">
        <f>IFERROR(__xludf.DUMMYFUNCTION("""COMPUTED_VALUE"""),82.16)</f>
        <v/>
      </c>
      <c r="BI203" s="512">
        <f>IFERROR(__xludf.DUMMYFUNCTION("""COMPUTED_VALUE"""),46156.6666666666)</f>
        <v/>
      </c>
      <c r="BJ203" s="513">
        <f>IFERROR(__xludf.DUMMYFUNCTION("""COMPUTED_VALUE"""),84.92)</f>
        <v/>
      </c>
      <c r="BL203" s="512">
        <f>IFERROR(__xludf.DUMMYFUNCTION("""COMPUTED_VALUE"""),46156.6666666666)</f>
        <v/>
      </c>
      <c r="BM203" s="513">
        <f>IFERROR(__xludf.DUMMYFUNCTION("""COMPUTED_VALUE"""),427.21)</f>
        <v/>
      </c>
      <c r="BO203" s="512">
        <f>IFERROR(__xludf.DUMMYFUNCTION("""COMPUTED_VALUE"""),46156.6666666666)</f>
        <v/>
      </c>
      <c r="BP203" s="513">
        <f>IFERROR(__xludf.DUMMYFUNCTION("""COMPUTED_VALUE"""),91.51)</f>
        <v/>
      </c>
    </row>
    <row r="204">
      <c r="A204" s="512">
        <f>IFERROR(__xludf.DUMMYFUNCTION("""COMPUTED_VALUE"""),46157.6666666666)</f>
        <v/>
      </c>
      <c r="B204" s="513">
        <f>IFERROR(__xludf.DUMMYFUNCTION("""COMPUTED_VALUE"""),739.17)</f>
        <v/>
      </c>
      <c r="D204" s="512">
        <f>IFERROR(__xludf.DUMMYFUNCTION("""COMPUTED_VALUE"""),46157.6666666666)</f>
        <v/>
      </c>
      <c r="E204" s="513">
        <f>IFERROR(__xludf.DUMMYFUNCTION("""COMPUTED_VALUE"""),93.91)</f>
        <v/>
      </c>
      <c r="G204" s="512" t="n"/>
      <c r="H204" s="513" t="n"/>
      <c r="J204" s="512">
        <f>IFERROR(__xludf.DUMMYFUNCTION("""COMPUTED_VALUE"""),46157.6666666666)</f>
        <v/>
      </c>
      <c r="K204" s="513">
        <f>IFERROR(__xludf.DUMMYFUNCTION("""COMPUTED_VALUE"""),91.07)</f>
        <v/>
      </c>
      <c r="M204" s="512">
        <f>IFERROR(__xludf.DUMMYFUNCTION("""COMPUTED_VALUE"""),46157.6666666666)</f>
        <v/>
      </c>
      <c r="N204" s="513">
        <f>IFERROR(__xludf.DUMMYFUNCTION("""COMPUTED_VALUE"""),277.6)</f>
        <v/>
      </c>
      <c r="P204" s="512">
        <f>IFERROR(__xludf.DUMMYFUNCTION("""COMPUTED_VALUE"""),46157.6666666666)</f>
        <v/>
      </c>
      <c r="Q204" s="513">
        <f>IFERROR(__xludf.DUMMYFUNCTION("""COMPUTED_VALUE"""),85.79)</f>
        <v/>
      </c>
      <c r="S204" s="512">
        <f>IFERROR(__xludf.DUMMYFUNCTION("""COMPUTED_VALUE"""),45427.6666666666)</f>
        <v/>
      </c>
      <c r="T204" s="513">
        <f>IFERROR(__xludf.DUMMYFUNCTION("""COMPUTED_VALUE"""),189.72)</f>
        <v/>
      </c>
      <c r="V204" s="512">
        <f>IFERROR(__xludf.DUMMYFUNCTION("""COMPUTED_VALUE"""),46157.6666666666)</f>
        <v/>
      </c>
      <c r="W204" s="513">
        <f>IFERROR(__xludf.DUMMYFUNCTION("""COMPUTED_VALUE"""),31.19)</f>
        <v/>
      </c>
      <c r="Y204" s="512">
        <f>IFERROR(__xludf.DUMMYFUNCTION("""COMPUTED_VALUE"""),46157.6666666666)</f>
        <v/>
      </c>
      <c r="Z204" s="513">
        <f>IFERROR(__xludf.DUMMYFUNCTION("""COMPUTED_VALUE"""),72.74)</f>
        <v/>
      </c>
      <c r="AB204" s="512">
        <f>IFERROR(__xludf.DUMMYFUNCTION("""COMPUTED_VALUE"""),46157.6666666666)</f>
        <v/>
      </c>
      <c r="AC204" s="513">
        <f>IFERROR(__xludf.DUMMYFUNCTION("""COMPUTED_VALUE"""),58.44)</f>
        <v/>
      </c>
      <c r="AE204" s="512">
        <f>IFERROR(__xludf.DUMMYFUNCTION("""COMPUTED_VALUE"""),46157.6666666666)</f>
        <v/>
      </c>
      <c r="AF204" s="513">
        <f>IFERROR(__xludf.DUMMYFUNCTION("""COMPUTED_VALUE"""),94.71)</f>
        <v/>
      </c>
      <c r="AH204" s="512">
        <f>IFERROR(__xludf.DUMMYFUNCTION("""COMPUTED_VALUE"""),46157.6666666666)</f>
        <v/>
      </c>
      <c r="AI204" s="513">
        <f>IFERROR(__xludf.DUMMYFUNCTION("""COMPUTED_VALUE"""),21.81)</f>
        <v/>
      </c>
      <c r="AK204" s="512">
        <f>IFERROR(__xludf.DUMMYFUNCTION("""COMPUTED_VALUE"""),46157.6666666666)</f>
        <v/>
      </c>
      <c r="AL204" s="513">
        <f>IFERROR(__xludf.DUMMYFUNCTION("""COMPUTED_VALUE"""),79.46)</f>
        <v/>
      </c>
      <c r="AN204" s="512">
        <f>IFERROR(__xludf.DUMMYFUNCTION("""COMPUTED_VALUE"""),46157.6666666666)</f>
        <v/>
      </c>
      <c r="AO204" s="513">
        <f>IFERROR(__xludf.DUMMYFUNCTION("""COMPUTED_VALUE"""),110.61)</f>
        <v/>
      </c>
      <c r="AQ204" s="512">
        <f>IFERROR(__xludf.DUMMYFUNCTION("""COMPUTED_VALUE"""),46157.6666666666)</f>
        <v/>
      </c>
      <c r="AR204" s="513">
        <f>IFERROR(__xludf.DUMMYFUNCTION("""COMPUTED_VALUE"""),101.72)</f>
        <v/>
      </c>
      <c r="AT204" s="512">
        <f>IFERROR(__xludf.DUMMYFUNCTION("""COMPUTED_VALUE"""),46157.6666666666)</f>
        <v/>
      </c>
      <c r="AU204" s="513">
        <f>IFERROR(__xludf.DUMMYFUNCTION("""COMPUTED_VALUE"""),65.07)</f>
        <v/>
      </c>
      <c r="AW204" s="512">
        <f>IFERROR(__xludf.DUMMYFUNCTION("""COMPUTED_VALUE"""),46157.6666666666)</f>
        <v/>
      </c>
      <c r="AX204" s="513">
        <f>IFERROR(__xludf.DUMMYFUNCTION("""COMPUTED_VALUE"""),98.02)</f>
        <v/>
      </c>
      <c r="AZ204" s="512">
        <f>IFERROR(__xludf.DUMMYFUNCTION("""COMPUTED_VALUE"""),46157.6666666666)</f>
        <v/>
      </c>
      <c r="BA204" s="513">
        <f>IFERROR(__xludf.DUMMYFUNCTION("""COMPUTED_VALUE"""),107.86)</f>
        <v/>
      </c>
      <c r="BC204" s="512">
        <f>IFERROR(__xludf.DUMMYFUNCTION("""COMPUTED_VALUE"""),46157.6666666666)</f>
        <v/>
      </c>
      <c r="BD204" s="513">
        <f>IFERROR(__xludf.DUMMYFUNCTION("""COMPUTED_VALUE"""),93.51)</f>
        <v/>
      </c>
      <c r="BF204" s="512">
        <f>IFERROR(__xludf.DUMMYFUNCTION("""COMPUTED_VALUE"""),46157.6666666666)</f>
        <v/>
      </c>
      <c r="BG204" s="513">
        <f>IFERROR(__xludf.DUMMYFUNCTION("""COMPUTED_VALUE"""),82.06)</f>
        <v/>
      </c>
      <c r="BI204" s="512">
        <f>IFERROR(__xludf.DUMMYFUNCTION("""COMPUTED_VALUE"""),46157.6666666666)</f>
        <v/>
      </c>
      <c r="BJ204" s="513">
        <f>IFERROR(__xludf.DUMMYFUNCTION("""COMPUTED_VALUE"""),83.66)</f>
        <v/>
      </c>
      <c r="BL204" s="512">
        <f>IFERROR(__xludf.DUMMYFUNCTION("""COMPUTED_VALUE"""),46157.6666666666)</f>
        <v/>
      </c>
      <c r="BM204" s="513">
        <f>IFERROR(__xludf.DUMMYFUNCTION("""COMPUTED_VALUE"""),417.29)</f>
        <v/>
      </c>
      <c r="BO204" s="512">
        <f>IFERROR(__xludf.DUMMYFUNCTION("""COMPUTED_VALUE"""),46157.6666666666)</f>
        <v/>
      </c>
      <c r="BP204" s="513">
        <f>IFERROR(__xludf.DUMMYFUNCTION("""COMPUTED_VALUE"""),91.53)</f>
        <v/>
      </c>
    </row>
    <row r="205">
      <c r="A205" s="512">
        <f>IFERROR(__xludf.DUMMYFUNCTION("""COMPUTED_VALUE"""),46160.6666666666)</f>
        <v/>
      </c>
      <c r="B205" s="513">
        <f>IFERROR(__xludf.DUMMYFUNCTION("""COMPUTED_VALUE"""),738.65)</f>
        <v/>
      </c>
      <c r="D205" s="512">
        <f>IFERROR(__xludf.DUMMYFUNCTION("""COMPUTED_VALUE"""),46160.6666666666)</f>
        <v/>
      </c>
      <c r="E205" s="513">
        <f>IFERROR(__xludf.DUMMYFUNCTION("""COMPUTED_VALUE"""),95.01)</f>
        <v/>
      </c>
      <c r="G205" s="512" t="n"/>
      <c r="H205" s="513" t="n"/>
      <c r="J205" s="512">
        <f>IFERROR(__xludf.DUMMYFUNCTION("""COMPUTED_VALUE"""),46160.6666666666)</f>
        <v/>
      </c>
      <c r="K205" s="513">
        <f>IFERROR(__xludf.DUMMYFUNCTION("""COMPUTED_VALUE"""),90.92)</f>
        <v/>
      </c>
      <c r="M205" s="512">
        <f>IFERROR(__xludf.DUMMYFUNCTION("""COMPUTED_VALUE"""),46160.6666666666)</f>
        <v/>
      </c>
      <c r="N205" s="513">
        <f>IFERROR(__xludf.DUMMYFUNCTION("""COMPUTED_VALUE"""),275.97)</f>
        <v/>
      </c>
      <c r="P205" s="512">
        <f>IFERROR(__xludf.DUMMYFUNCTION("""COMPUTED_VALUE"""),46160.6666666666)</f>
        <v/>
      </c>
      <c r="Q205" s="513">
        <f>IFERROR(__xludf.DUMMYFUNCTION("""COMPUTED_VALUE"""),87.11)</f>
        <v/>
      </c>
      <c r="S205" s="512">
        <f>IFERROR(__xludf.DUMMYFUNCTION("""COMPUTED_VALUE"""),45428.6666666666)</f>
        <v/>
      </c>
      <c r="T205" s="513">
        <f>IFERROR(__xludf.DUMMYFUNCTION("""COMPUTED_VALUE"""),189.84)</f>
        <v/>
      </c>
      <c r="V205" s="512">
        <f>IFERROR(__xludf.DUMMYFUNCTION("""COMPUTED_VALUE"""),46160.6666666666)</f>
        <v/>
      </c>
      <c r="W205" s="513">
        <f>IFERROR(__xludf.DUMMYFUNCTION("""COMPUTED_VALUE"""),31.38)</f>
        <v/>
      </c>
      <c r="Y205" s="512">
        <f>IFERROR(__xludf.DUMMYFUNCTION("""COMPUTED_VALUE"""),46160.6666666666)</f>
        <v/>
      </c>
      <c r="Z205" s="513">
        <f>IFERROR(__xludf.DUMMYFUNCTION("""COMPUTED_VALUE"""),72.69)</f>
        <v/>
      </c>
      <c r="AB205" s="512">
        <f>IFERROR(__xludf.DUMMYFUNCTION("""COMPUTED_VALUE"""),46160.6666666666)</f>
        <v/>
      </c>
      <c r="AC205" s="513">
        <f>IFERROR(__xludf.DUMMYFUNCTION("""COMPUTED_VALUE"""),58.48)</f>
        <v/>
      </c>
      <c r="AE205" s="512">
        <f>IFERROR(__xludf.DUMMYFUNCTION("""COMPUTED_VALUE"""),46160.6666666666)</f>
        <v/>
      </c>
      <c r="AF205" s="513">
        <f>IFERROR(__xludf.DUMMYFUNCTION("""COMPUTED_VALUE"""),94.62)</f>
        <v/>
      </c>
      <c r="AH205" s="512">
        <f>IFERROR(__xludf.DUMMYFUNCTION("""COMPUTED_VALUE"""),46160.6666666666)</f>
        <v/>
      </c>
      <c r="AI205" s="513">
        <f>IFERROR(__xludf.DUMMYFUNCTION("""COMPUTED_VALUE"""),21.9)</f>
        <v/>
      </c>
      <c r="AK205" s="512">
        <f>IFERROR(__xludf.DUMMYFUNCTION("""COMPUTED_VALUE"""),46160.6666666666)</f>
        <v/>
      </c>
      <c r="AL205" s="513">
        <f>IFERROR(__xludf.DUMMYFUNCTION("""COMPUTED_VALUE"""),79.54)</f>
        <v/>
      </c>
      <c r="AN205" s="512">
        <f>IFERROR(__xludf.DUMMYFUNCTION("""COMPUTED_VALUE"""),46160.6666666666)</f>
        <v/>
      </c>
      <c r="AO205" s="513">
        <f>IFERROR(__xludf.DUMMYFUNCTION("""COMPUTED_VALUE"""),110.48)</f>
        <v/>
      </c>
      <c r="AQ205" s="512">
        <f>IFERROR(__xludf.DUMMYFUNCTION("""COMPUTED_VALUE"""),46160.6666666666)</f>
        <v/>
      </c>
      <c r="AR205" s="513">
        <f>IFERROR(__xludf.DUMMYFUNCTION("""COMPUTED_VALUE"""),102.66)</f>
        <v/>
      </c>
      <c r="AT205" s="512">
        <f>IFERROR(__xludf.DUMMYFUNCTION("""COMPUTED_VALUE"""),46160.6666666666)</f>
        <v/>
      </c>
      <c r="AU205" s="513">
        <f>IFERROR(__xludf.DUMMYFUNCTION("""COMPUTED_VALUE"""),64.97)</f>
        <v/>
      </c>
      <c r="AW205" s="512">
        <f>IFERROR(__xludf.DUMMYFUNCTION("""COMPUTED_VALUE"""),46160.6666666666)</f>
        <v/>
      </c>
      <c r="AX205" s="513">
        <f>IFERROR(__xludf.DUMMYFUNCTION("""COMPUTED_VALUE"""),98.01)</f>
        <v/>
      </c>
      <c r="AZ205" s="512">
        <f>IFERROR(__xludf.DUMMYFUNCTION("""COMPUTED_VALUE"""),46160.6666666666)</f>
        <v/>
      </c>
      <c r="BA205" s="513">
        <f>IFERROR(__xludf.DUMMYFUNCTION("""COMPUTED_VALUE"""),107.66)</f>
        <v/>
      </c>
      <c r="BC205" s="512">
        <f>IFERROR(__xludf.DUMMYFUNCTION("""COMPUTED_VALUE"""),46160.6666666666)</f>
        <v/>
      </c>
      <c r="BD205" s="513">
        <f>IFERROR(__xludf.DUMMYFUNCTION("""COMPUTED_VALUE"""),93.47)</f>
        <v/>
      </c>
      <c r="BF205" s="512">
        <f>IFERROR(__xludf.DUMMYFUNCTION("""COMPUTED_VALUE"""),46160.6666666666)</f>
        <v/>
      </c>
      <c r="BG205" s="513">
        <f>IFERROR(__xludf.DUMMYFUNCTION("""COMPUTED_VALUE"""),82.1)</f>
        <v/>
      </c>
      <c r="BI205" s="512">
        <f>IFERROR(__xludf.DUMMYFUNCTION("""COMPUTED_VALUE"""),46160.6666666666)</f>
        <v/>
      </c>
      <c r="BJ205" s="513">
        <f>IFERROR(__xludf.DUMMYFUNCTION("""COMPUTED_VALUE"""),83.56)</f>
        <v/>
      </c>
      <c r="BL205" s="512">
        <f>IFERROR(__xludf.DUMMYFUNCTION("""COMPUTED_VALUE"""),46160.6666666666)</f>
        <v/>
      </c>
      <c r="BM205" s="513">
        <f>IFERROR(__xludf.DUMMYFUNCTION("""COMPUTED_VALUE"""),418.43)</f>
        <v/>
      </c>
      <c r="BO205" s="512">
        <f>IFERROR(__xludf.DUMMYFUNCTION("""COMPUTED_VALUE"""),46160.6666666666)</f>
        <v/>
      </c>
      <c r="BP205" s="513">
        <f>IFERROR(__xludf.DUMMYFUNCTION("""COMPUTED_VALUE"""),91.53)</f>
        <v/>
      </c>
    </row>
    <row r="206">
      <c r="A206" s="512">
        <f>IFERROR(__xludf.DUMMYFUNCTION("""COMPUTED_VALUE"""),46161.6666666666)</f>
        <v/>
      </c>
      <c r="B206" s="513">
        <f>IFERROR(__xludf.DUMMYFUNCTION("""COMPUTED_VALUE"""),733.73)</f>
        <v/>
      </c>
      <c r="D206" s="512">
        <f>IFERROR(__xludf.DUMMYFUNCTION("""COMPUTED_VALUE"""),46161.6666666666)</f>
        <v/>
      </c>
      <c r="E206" s="513">
        <f>IFERROR(__xludf.DUMMYFUNCTION("""COMPUTED_VALUE"""),95.28)</f>
        <v/>
      </c>
      <c r="G206" s="512" t="n"/>
      <c r="H206" s="513" t="n"/>
      <c r="J206" s="512">
        <f>IFERROR(__xludf.DUMMYFUNCTION("""COMPUTED_VALUE"""),46161.6666666666)</f>
        <v/>
      </c>
      <c r="K206" s="513">
        <f>IFERROR(__xludf.DUMMYFUNCTION("""COMPUTED_VALUE"""),90.29)</f>
        <v/>
      </c>
      <c r="M206" s="512">
        <f>IFERROR(__xludf.DUMMYFUNCTION("""COMPUTED_VALUE"""),46161.6666666666)</f>
        <v/>
      </c>
      <c r="N206" s="513">
        <f>IFERROR(__xludf.DUMMYFUNCTION("""COMPUTED_VALUE"""),273)</f>
        <v/>
      </c>
      <c r="P206" s="512">
        <f>IFERROR(__xludf.DUMMYFUNCTION("""COMPUTED_VALUE"""),46161.6666666666)</f>
        <v/>
      </c>
      <c r="Q206" s="513">
        <f>IFERROR(__xludf.DUMMYFUNCTION("""COMPUTED_VALUE"""),86.41)</f>
        <v/>
      </c>
      <c r="S206" s="512">
        <f>IFERROR(__xludf.DUMMYFUNCTION("""COMPUTED_VALUE"""),45429.6666666666)</f>
        <v/>
      </c>
      <c r="T206" s="513">
        <f>IFERROR(__xludf.DUMMYFUNCTION("""COMPUTED_VALUE"""),189.87)</f>
        <v/>
      </c>
      <c r="V206" s="512">
        <f>IFERROR(__xludf.DUMMYFUNCTION("""COMPUTED_VALUE"""),46161.6666666666)</f>
        <v/>
      </c>
      <c r="W206" s="513">
        <f>IFERROR(__xludf.DUMMYFUNCTION("""COMPUTED_VALUE"""),31.61)</f>
        <v/>
      </c>
      <c r="Y206" s="512">
        <f>IFERROR(__xludf.DUMMYFUNCTION("""COMPUTED_VALUE"""),46161.6666666666)</f>
        <v/>
      </c>
      <c r="Z206" s="513">
        <f>IFERROR(__xludf.DUMMYFUNCTION("""COMPUTED_VALUE"""),72.45)</f>
        <v/>
      </c>
      <c r="AB206" s="512">
        <f>IFERROR(__xludf.DUMMYFUNCTION("""COMPUTED_VALUE"""),46161.6666666666)</f>
        <v/>
      </c>
      <c r="AC206" s="513">
        <f>IFERROR(__xludf.DUMMYFUNCTION("""COMPUTED_VALUE"""),57.87)</f>
        <v/>
      </c>
      <c r="AE206" s="512">
        <f>IFERROR(__xludf.DUMMYFUNCTION("""COMPUTED_VALUE"""),46161.6666666666)</f>
        <v/>
      </c>
      <c r="AF206" s="513">
        <f>IFERROR(__xludf.DUMMYFUNCTION("""COMPUTED_VALUE"""),94.25)</f>
        <v/>
      </c>
      <c r="AH206" s="512">
        <f>IFERROR(__xludf.DUMMYFUNCTION("""COMPUTED_VALUE"""),46161.6666666666)</f>
        <v/>
      </c>
      <c r="AI206" s="513">
        <f>IFERROR(__xludf.DUMMYFUNCTION("""COMPUTED_VALUE"""),21.74)</f>
        <v/>
      </c>
      <c r="AK206" s="512">
        <f>IFERROR(__xludf.DUMMYFUNCTION("""COMPUTED_VALUE"""),46161.6666666666)</f>
        <v/>
      </c>
      <c r="AL206" s="513">
        <f>IFERROR(__xludf.DUMMYFUNCTION("""COMPUTED_VALUE"""),79.35)</f>
        <v/>
      </c>
      <c r="AN206" s="512">
        <f>IFERROR(__xludf.DUMMYFUNCTION("""COMPUTED_VALUE"""),46161.6666666666)</f>
        <v/>
      </c>
      <c r="AO206" s="513">
        <f>IFERROR(__xludf.DUMMYFUNCTION("""COMPUTED_VALUE"""),110.11)</f>
        <v/>
      </c>
      <c r="AQ206" s="512">
        <f>IFERROR(__xludf.DUMMYFUNCTION("""COMPUTED_VALUE"""),46161.6666666666)</f>
        <v/>
      </c>
      <c r="AR206" s="513">
        <f>IFERROR(__xludf.DUMMYFUNCTION("""COMPUTED_VALUE"""),101.92)</f>
        <v/>
      </c>
      <c r="AT206" s="512">
        <f>IFERROR(__xludf.DUMMYFUNCTION("""COMPUTED_VALUE"""),46161.6666666666)</f>
        <v/>
      </c>
      <c r="AU206" s="513">
        <f>IFERROR(__xludf.DUMMYFUNCTION("""COMPUTED_VALUE"""),64.26)</f>
        <v/>
      </c>
      <c r="AW206" s="512">
        <f>IFERROR(__xludf.DUMMYFUNCTION("""COMPUTED_VALUE"""),46161.6666666666)</f>
        <v/>
      </c>
      <c r="AX206" s="513">
        <f>IFERROR(__xludf.DUMMYFUNCTION("""COMPUTED_VALUE"""),97.63)</f>
        <v/>
      </c>
      <c r="AZ206" s="512">
        <f>IFERROR(__xludf.DUMMYFUNCTION("""COMPUTED_VALUE"""),46161.6666666666)</f>
        <v/>
      </c>
      <c r="BA206" s="513">
        <f>IFERROR(__xludf.DUMMYFUNCTION("""COMPUTED_VALUE"""),107.12)</f>
        <v/>
      </c>
      <c r="BC206" s="512">
        <f>IFERROR(__xludf.DUMMYFUNCTION("""COMPUTED_VALUE"""),46161.6666666666)</f>
        <v/>
      </c>
      <c r="BD206" s="513">
        <f>IFERROR(__xludf.DUMMYFUNCTION("""COMPUTED_VALUE"""),93.11)</f>
        <v/>
      </c>
      <c r="BF206" s="512">
        <f>IFERROR(__xludf.DUMMYFUNCTION("""COMPUTED_VALUE"""),46161.6666666666)</f>
        <v/>
      </c>
      <c r="BG206" s="513">
        <f>IFERROR(__xludf.DUMMYFUNCTION("""COMPUTED_VALUE"""),82.04)</f>
        <v/>
      </c>
      <c r="BI206" s="512">
        <f>IFERROR(__xludf.DUMMYFUNCTION("""COMPUTED_VALUE"""),46161.6666666666)</f>
        <v/>
      </c>
      <c r="BJ206" s="513">
        <f>IFERROR(__xludf.DUMMYFUNCTION("""COMPUTED_VALUE"""),83.02)</f>
        <v/>
      </c>
      <c r="BL206" s="512">
        <f>IFERROR(__xludf.DUMMYFUNCTION("""COMPUTED_VALUE"""),46161.6666666666)</f>
        <v/>
      </c>
      <c r="BM206" s="513">
        <f>IFERROR(__xludf.DUMMYFUNCTION("""COMPUTED_VALUE"""),411.5)</f>
        <v/>
      </c>
      <c r="BO206" s="512">
        <f>IFERROR(__xludf.DUMMYFUNCTION("""COMPUTED_VALUE"""),46161.6666666666)</f>
        <v/>
      </c>
      <c r="BP206" s="513">
        <f>IFERROR(__xludf.DUMMYFUNCTION("""COMPUTED_VALUE"""),91.55)</f>
        <v/>
      </c>
    </row>
    <row r="207">
      <c r="A207" s="512">
        <f>IFERROR(__xludf.DUMMYFUNCTION("""COMPUTED_VALUE"""),46162.6666666666)</f>
        <v/>
      </c>
      <c r="B207" s="513">
        <f>IFERROR(__xludf.DUMMYFUNCTION("""COMPUTED_VALUE"""),741.25)</f>
        <v/>
      </c>
      <c r="D207" s="512">
        <f>IFERROR(__xludf.DUMMYFUNCTION("""COMPUTED_VALUE"""),46162.6666666666)</f>
        <v/>
      </c>
      <c r="E207" s="513">
        <f>IFERROR(__xludf.DUMMYFUNCTION("""COMPUTED_VALUE"""),96.49)</f>
        <v/>
      </c>
      <c r="G207" s="512" t="n"/>
      <c r="H207" s="513" t="n"/>
      <c r="J207" s="512">
        <f>IFERROR(__xludf.DUMMYFUNCTION("""COMPUTED_VALUE"""),46162.6666666666)</f>
        <v/>
      </c>
      <c r="K207" s="513">
        <f>IFERROR(__xludf.DUMMYFUNCTION("""COMPUTED_VALUE"""),91.21)</f>
        <v/>
      </c>
      <c r="M207" s="512">
        <f>IFERROR(__xludf.DUMMYFUNCTION("""COMPUTED_VALUE"""),46162.6666666666)</f>
        <v/>
      </c>
      <c r="N207" s="513">
        <f>IFERROR(__xludf.DUMMYFUNCTION("""COMPUTED_VALUE"""),279.87)</f>
        <v/>
      </c>
      <c r="P207" s="512">
        <f>IFERROR(__xludf.DUMMYFUNCTION("""COMPUTED_VALUE"""),46162.6666666666)</f>
        <v/>
      </c>
      <c r="Q207" s="513">
        <f>IFERROR(__xludf.DUMMYFUNCTION("""COMPUTED_VALUE"""),88.24)</f>
        <v/>
      </c>
      <c r="S207" s="512">
        <f>IFERROR(__xludf.DUMMYFUNCTION("""COMPUTED_VALUE"""),45432.6666666666)</f>
        <v/>
      </c>
      <c r="T207" s="513">
        <f>IFERROR(__xludf.DUMMYFUNCTION("""COMPUTED_VALUE"""),191.04)</f>
        <v/>
      </c>
      <c r="V207" s="512">
        <f>IFERROR(__xludf.DUMMYFUNCTION("""COMPUTED_VALUE"""),46162.6666666666)</f>
        <v/>
      </c>
      <c r="W207" s="513">
        <f>IFERROR(__xludf.DUMMYFUNCTION("""COMPUTED_VALUE"""),30.88)</f>
        <v/>
      </c>
      <c r="Y207" s="512">
        <f>IFERROR(__xludf.DUMMYFUNCTION("""COMPUTED_VALUE"""),46162.6666666666)</f>
        <v/>
      </c>
      <c r="Z207" s="513">
        <f>IFERROR(__xludf.DUMMYFUNCTION("""COMPUTED_VALUE"""),72.85)</f>
        <v/>
      </c>
      <c r="AB207" s="512">
        <f>IFERROR(__xludf.DUMMYFUNCTION("""COMPUTED_VALUE"""),46162.6666666666)</f>
        <v/>
      </c>
      <c r="AC207" s="513">
        <f>IFERROR(__xludf.DUMMYFUNCTION("""COMPUTED_VALUE"""),58.67)</f>
        <v/>
      </c>
      <c r="AE207" s="512">
        <f>IFERROR(__xludf.DUMMYFUNCTION("""COMPUTED_VALUE"""),46162.6666666666)</f>
        <v/>
      </c>
      <c r="AF207" s="513">
        <f>IFERROR(__xludf.DUMMYFUNCTION("""COMPUTED_VALUE"""),94.92)</f>
        <v/>
      </c>
      <c r="AH207" s="512">
        <f>IFERROR(__xludf.DUMMYFUNCTION("""COMPUTED_VALUE"""),46162.6666666666)</f>
        <v/>
      </c>
      <c r="AI207" s="513">
        <f>IFERROR(__xludf.DUMMYFUNCTION("""COMPUTED_VALUE"""),21.95)</f>
        <v/>
      </c>
      <c r="AK207" s="512">
        <f>IFERROR(__xludf.DUMMYFUNCTION("""COMPUTED_VALUE"""),46162.6666666666)</f>
        <v/>
      </c>
      <c r="AL207" s="513">
        <f>IFERROR(__xludf.DUMMYFUNCTION("""COMPUTED_VALUE"""),79.86)</f>
        <v/>
      </c>
      <c r="AN207" s="512">
        <f>IFERROR(__xludf.DUMMYFUNCTION("""COMPUTED_VALUE"""),46162.6666666666)</f>
        <v/>
      </c>
      <c r="AO207" s="513">
        <f>IFERROR(__xludf.DUMMYFUNCTION("""COMPUTED_VALUE"""),110.37)</f>
        <v/>
      </c>
      <c r="AQ207" s="512">
        <f>IFERROR(__xludf.DUMMYFUNCTION("""COMPUTED_VALUE"""),46162.6666666666)</f>
        <v/>
      </c>
      <c r="AR207" s="513">
        <f>IFERROR(__xludf.DUMMYFUNCTION("""COMPUTED_VALUE"""),103.62)</f>
        <v/>
      </c>
      <c r="AT207" s="512">
        <f>IFERROR(__xludf.DUMMYFUNCTION("""COMPUTED_VALUE"""),46162.6666666666)</f>
        <v/>
      </c>
      <c r="AU207" s="513">
        <f>IFERROR(__xludf.DUMMYFUNCTION("""COMPUTED_VALUE"""),65.46)</f>
        <v/>
      </c>
      <c r="AW207" s="512">
        <f>IFERROR(__xludf.DUMMYFUNCTION("""COMPUTED_VALUE"""),46162.6666666666)</f>
        <v/>
      </c>
      <c r="AX207" s="513">
        <f>IFERROR(__xludf.DUMMYFUNCTION("""COMPUTED_VALUE"""),98.22)</f>
        <v/>
      </c>
      <c r="AZ207" s="512">
        <f>IFERROR(__xludf.DUMMYFUNCTION("""COMPUTED_VALUE"""),46162.6666666666)</f>
        <v/>
      </c>
      <c r="BA207" s="513">
        <f>IFERROR(__xludf.DUMMYFUNCTION("""COMPUTED_VALUE"""),107.95)</f>
        <v/>
      </c>
      <c r="BC207" s="512">
        <f>IFERROR(__xludf.DUMMYFUNCTION("""COMPUTED_VALUE"""),46162.6666666666)</f>
        <v/>
      </c>
      <c r="BD207" s="513">
        <f>IFERROR(__xludf.DUMMYFUNCTION("""COMPUTED_VALUE"""),93.74)</f>
        <v/>
      </c>
      <c r="BF207" s="512">
        <f>IFERROR(__xludf.DUMMYFUNCTION("""COMPUTED_VALUE"""),46162.6666666666)</f>
        <v/>
      </c>
      <c r="BG207" s="513">
        <f>IFERROR(__xludf.DUMMYFUNCTION("""COMPUTED_VALUE"""),82.15)</f>
        <v/>
      </c>
      <c r="BI207" s="512">
        <f>IFERROR(__xludf.DUMMYFUNCTION("""COMPUTED_VALUE"""),46162.6666666666)</f>
        <v/>
      </c>
      <c r="BJ207" s="513">
        <f>IFERROR(__xludf.DUMMYFUNCTION("""COMPUTED_VALUE"""),83.91)</f>
        <v/>
      </c>
      <c r="BL207" s="512">
        <f>IFERROR(__xludf.DUMMYFUNCTION("""COMPUTED_VALUE"""),46162.6666666666)</f>
        <v/>
      </c>
      <c r="BM207" s="513">
        <f>IFERROR(__xludf.DUMMYFUNCTION("""COMPUTED_VALUE"""),417.4)</f>
        <v/>
      </c>
      <c r="BO207" s="512">
        <f>IFERROR(__xludf.DUMMYFUNCTION("""COMPUTED_VALUE"""),46162.6666666666)</f>
        <v/>
      </c>
      <c r="BP207" s="513">
        <f>IFERROR(__xludf.DUMMYFUNCTION("""COMPUTED_VALUE"""),91.57)</f>
        <v/>
      </c>
    </row>
    <row r="208">
      <c r="A208" s="512">
        <f>IFERROR(__xludf.DUMMYFUNCTION("""COMPUTED_VALUE"""),46163.6666666666)</f>
        <v/>
      </c>
      <c r="B208" s="513">
        <f>IFERROR(__xludf.DUMMYFUNCTION("""COMPUTED_VALUE"""),742.72)</f>
        <v/>
      </c>
      <c r="D208" s="512">
        <f>IFERROR(__xludf.DUMMYFUNCTION("""COMPUTED_VALUE"""),46163.6666666666)</f>
        <v/>
      </c>
      <c r="E208" s="513">
        <f>IFERROR(__xludf.DUMMYFUNCTION("""COMPUTED_VALUE"""),96.67)</f>
        <v/>
      </c>
      <c r="G208" s="512" t="n"/>
      <c r="H208" s="513" t="n"/>
      <c r="J208" s="512">
        <f>IFERROR(__xludf.DUMMYFUNCTION("""COMPUTED_VALUE"""),46163.6666666666)</f>
        <v/>
      </c>
      <c r="K208" s="513">
        <f>IFERROR(__xludf.DUMMYFUNCTION("""COMPUTED_VALUE"""),91.37)</f>
        <v/>
      </c>
      <c r="M208" s="512">
        <f>IFERROR(__xludf.DUMMYFUNCTION("""COMPUTED_VALUE"""),46163.6666666666)</f>
        <v/>
      </c>
      <c r="N208" s="513">
        <f>IFERROR(__xludf.DUMMYFUNCTION("""COMPUTED_VALUE"""),282.49)</f>
        <v/>
      </c>
      <c r="P208" s="512">
        <f>IFERROR(__xludf.DUMMYFUNCTION("""COMPUTED_VALUE"""),46163.6666666666)</f>
        <v/>
      </c>
      <c r="Q208" s="513">
        <f>IFERROR(__xludf.DUMMYFUNCTION("""COMPUTED_VALUE"""),88.76)</f>
        <v/>
      </c>
      <c r="S208" s="512">
        <f>IFERROR(__xludf.DUMMYFUNCTION("""COMPUTED_VALUE"""),45433.6666666666)</f>
        <v/>
      </c>
      <c r="T208" s="513">
        <f>IFERROR(__xludf.DUMMYFUNCTION("""COMPUTED_VALUE"""),192.35)</f>
        <v/>
      </c>
      <c r="V208" s="512">
        <f>IFERROR(__xludf.DUMMYFUNCTION("""COMPUTED_VALUE"""),46163.6666666666)</f>
        <v/>
      </c>
      <c r="W208" s="513">
        <f>IFERROR(__xludf.DUMMYFUNCTION("""COMPUTED_VALUE"""),30.7)</f>
        <v/>
      </c>
      <c r="Y208" s="512">
        <f>IFERROR(__xludf.DUMMYFUNCTION("""COMPUTED_VALUE"""),46163.6666666666)</f>
        <v/>
      </c>
      <c r="Z208" s="513">
        <f>IFERROR(__xludf.DUMMYFUNCTION("""COMPUTED_VALUE"""),72.93)</f>
        <v/>
      </c>
      <c r="AB208" s="512">
        <f>IFERROR(__xludf.DUMMYFUNCTION("""COMPUTED_VALUE"""),46163.6666666666)</f>
        <v/>
      </c>
      <c r="AC208" s="513">
        <f>IFERROR(__xludf.DUMMYFUNCTION("""COMPUTED_VALUE"""),58.7)</f>
        <v/>
      </c>
      <c r="AE208" s="512">
        <f>IFERROR(__xludf.DUMMYFUNCTION("""COMPUTED_VALUE"""),46163.6666666666)</f>
        <v/>
      </c>
      <c r="AF208" s="513">
        <f>IFERROR(__xludf.DUMMYFUNCTION("""COMPUTED_VALUE"""),94.99)</f>
        <v/>
      </c>
      <c r="AH208" s="512">
        <f>IFERROR(__xludf.DUMMYFUNCTION("""COMPUTED_VALUE"""),46163.6666666666)</f>
        <v/>
      </c>
      <c r="AI208" s="513">
        <f>IFERROR(__xludf.DUMMYFUNCTION("""COMPUTED_VALUE"""),21.94)</f>
        <v/>
      </c>
      <c r="AK208" s="512">
        <f>IFERROR(__xludf.DUMMYFUNCTION("""COMPUTED_VALUE"""),46163.6666666666)</f>
        <v/>
      </c>
      <c r="AL208" s="513">
        <f>IFERROR(__xludf.DUMMYFUNCTION("""COMPUTED_VALUE"""),79.9)</f>
        <v/>
      </c>
      <c r="AN208" s="512">
        <f>IFERROR(__xludf.DUMMYFUNCTION("""COMPUTED_VALUE"""),46163.6666666666)</f>
        <v/>
      </c>
      <c r="AO208" s="513">
        <f>IFERROR(__xludf.DUMMYFUNCTION("""COMPUTED_VALUE"""),110.37)</f>
        <v/>
      </c>
      <c r="AQ208" s="512">
        <f>IFERROR(__xludf.DUMMYFUNCTION("""COMPUTED_VALUE"""),46163.6666666666)</f>
        <v/>
      </c>
      <c r="AR208" s="513">
        <f>IFERROR(__xludf.DUMMYFUNCTION("""COMPUTED_VALUE"""),104.19)</f>
        <v/>
      </c>
      <c r="AT208" s="512">
        <f>IFERROR(__xludf.DUMMYFUNCTION("""COMPUTED_VALUE"""),46163.6666666666)</f>
        <v/>
      </c>
      <c r="AU208" s="513">
        <f>IFERROR(__xludf.DUMMYFUNCTION("""COMPUTED_VALUE"""),66.03)</f>
        <v/>
      </c>
      <c r="AW208" s="512">
        <f>IFERROR(__xludf.DUMMYFUNCTION("""COMPUTED_VALUE"""),46163.6666666666)</f>
        <v/>
      </c>
      <c r="AX208" s="513">
        <f>IFERROR(__xludf.DUMMYFUNCTION("""COMPUTED_VALUE"""),98.34)</f>
        <v/>
      </c>
      <c r="AZ208" s="512">
        <f>IFERROR(__xludf.DUMMYFUNCTION("""COMPUTED_VALUE"""),46163.6666666666)</f>
        <v/>
      </c>
      <c r="BA208" s="513">
        <f>IFERROR(__xludf.DUMMYFUNCTION("""COMPUTED_VALUE"""),108.17)</f>
        <v/>
      </c>
      <c r="BC208" s="512">
        <f>IFERROR(__xludf.DUMMYFUNCTION("""COMPUTED_VALUE"""),46163.6666666666)</f>
        <v/>
      </c>
      <c r="BD208" s="513">
        <f>IFERROR(__xludf.DUMMYFUNCTION("""COMPUTED_VALUE"""),93.8)</f>
        <v/>
      </c>
      <c r="BF208" s="512">
        <f>IFERROR(__xludf.DUMMYFUNCTION("""COMPUTED_VALUE"""),46163.6666666666)</f>
        <v/>
      </c>
      <c r="BG208" s="513">
        <f>IFERROR(__xludf.DUMMYFUNCTION("""COMPUTED_VALUE"""),82.14)</f>
        <v/>
      </c>
      <c r="BI208" s="512">
        <f>IFERROR(__xludf.DUMMYFUNCTION("""COMPUTED_VALUE"""),46163.6666666666)</f>
        <v/>
      </c>
      <c r="BJ208" s="513">
        <f>IFERROR(__xludf.DUMMYFUNCTION("""COMPUTED_VALUE"""),84.22)</f>
        <v/>
      </c>
      <c r="BL208" s="512">
        <f>IFERROR(__xludf.DUMMYFUNCTION("""COMPUTED_VALUE"""),46163.6666666666)</f>
        <v/>
      </c>
      <c r="BM208" s="513">
        <f>IFERROR(__xludf.DUMMYFUNCTION("""COMPUTED_VALUE"""),416.99)</f>
        <v/>
      </c>
      <c r="BO208" s="512">
        <f>IFERROR(__xludf.DUMMYFUNCTION("""COMPUTED_VALUE"""),46163.6666666666)</f>
        <v/>
      </c>
      <c r="BP208" s="513">
        <f>IFERROR(__xludf.DUMMYFUNCTION("""COMPUTED_VALUE"""),91.57)</f>
        <v/>
      </c>
    </row>
    <row r="209">
      <c r="A209" s="512">
        <f>IFERROR(__xludf.DUMMYFUNCTION("""COMPUTED_VALUE"""),46164.6666666666)</f>
        <v/>
      </c>
      <c r="B209" s="513">
        <f>IFERROR(__xludf.DUMMYFUNCTION("""COMPUTED_VALUE"""),745.64)</f>
        <v/>
      </c>
      <c r="D209" s="512">
        <f>IFERROR(__xludf.DUMMYFUNCTION("""COMPUTED_VALUE"""),46164.6666666666)</f>
        <v/>
      </c>
      <c r="E209" s="513">
        <f>IFERROR(__xludf.DUMMYFUNCTION("""COMPUTED_VALUE"""),96.77)</f>
        <v/>
      </c>
      <c r="G209" s="512" t="n"/>
      <c r="H209" s="513" t="n"/>
      <c r="J209" s="512">
        <f>IFERROR(__xludf.DUMMYFUNCTION("""COMPUTED_VALUE"""),46164.6666666666)</f>
        <v/>
      </c>
      <c r="K209" s="513">
        <f>IFERROR(__xludf.DUMMYFUNCTION("""COMPUTED_VALUE"""),91.61)</f>
        <v/>
      </c>
      <c r="M209" s="512">
        <f>IFERROR(__xludf.DUMMYFUNCTION("""COMPUTED_VALUE"""),46164.6666666666)</f>
        <v/>
      </c>
      <c r="N209" s="513">
        <f>IFERROR(__xludf.DUMMYFUNCTION("""COMPUTED_VALUE"""),285.12)</f>
        <v/>
      </c>
      <c r="P209" s="512">
        <f>IFERROR(__xludf.DUMMYFUNCTION("""COMPUTED_VALUE"""),46164.6666666666)</f>
        <v/>
      </c>
      <c r="Q209" s="513">
        <f>IFERROR(__xludf.DUMMYFUNCTION("""COMPUTED_VALUE"""),88.46)</f>
        <v/>
      </c>
      <c r="S209" s="512">
        <f>IFERROR(__xludf.DUMMYFUNCTION("""COMPUTED_VALUE"""),45434.6666666666)</f>
        <v/>
      </c>
      <c r="T209" s="513">
        <f>IFERROR(__xludf.DUMMYFUNCTION("""COMPUTED_VALUE"""),190.9)</f>
        <v/>
      </c>
      <c r="V209" s="512">
        <f>IFERROR(__xludf.DUMMYFUNCTION("""COMPUTED_VALUE"""),46164.6666666666)</f>
        <v/>
      </c>
      <c r="W209" s="513">
        <f>IFERROR(__xludf.DUMMYFUNCTION("""COMPUTED_VALUE"""),30.54)</f>
        <v/>
      </c>
      <c r="Y209" s="512">
        <f>IFERROR(__xludf.DUMMYFUNCTION("""COMPUTED_VALUE"""),46164.6666666666)</f>
        <v/>
      </c>
      <c r="Z209" s="513">
        <f>IFERROR(__xludf.DUMMYFUNCTION("""COMPUTED_VALUE"""),73)</f>
        <v/>
      </c>
      <c r="AB209" s="512">
        <f>IFERROR(__xludf.DUMMYFUNCTION("""COMPUTED_VALUE"""),46164.6666666666)</f>
        <v/>
      </c>
      <c r="AC209" s="513">
        <f>IFERROR(__xludf.DUMMYFUNCTION("""COMPUTED_VALUE"""),58.98)</f>
        <v/>
      </c>
      <c r="AE209" s="512">
        <f>IFERROR(__xludf.DUMMYFUNCTION("""COMPUTED_VALUE"""),46164.6666666666)</f>
        <v/>
      </c>
      <c r="AF209" s="513">
        <f>IFERROR(__xludf.DUMMYFUNCTION("""COMPUTED_VALUE"""),95.17)</f>
        <v/>
      </c>
      <c r="AH209" s="512">
        <f>IFERROR(__xludf.DUMMYFUNCTION("""COMPUTED_VALUE"""),46164.6666666666)</f>
        <v/>
      </c>
      <c r="AI209" s="513">
        <f>IFERROR(__xludf.DUMMYFUNCTION("""COMPUTED_VALUE"""),21.93)</f>
        <v/>
      </c>
      <c r="AK209" s="512">
        <f>IFERROR(__xludf.DUMMYFUNCTION("""COMPUTED_VALUE"""),46164.6666666666)</f>
        <v/>
      </c>
      <c r="AL209" s="513">
        <f>IFERROR(__xludf.DUMMYFUNCTION("""COMPUTED_VALUE"""),79.91)</f>
        <v/>
      </c>
      <c r="AN209" s="512">
        <f>IFERROR(__xludf.DUMMYFUNCTION("""COMPUTED_VALUE"""),46164.6666666666)</f>
        <v/>
      </c>
      <c r="AO209" s="513">
        <f>IFERROR(__xludf.DUMMYFUNCTION("""COMPUTED_VALUE"""),110.38)</f>
        <v/>
      </c>
      <c r="AQ209" s="512">
        <f>IFERROR(__xludf.DUMMYFUNCTION("""COMPUTED_VALUE"""),46164.6666666666)</f>
        <v/>
      </c>
      <c r="AR209" s="513">
        <f>IFERROR(__xludf.DUMMYFUNCTION("""COMPUTED_VALUE"""),103.98)</f>
        <v/>
      </c>
      <c r="AT209" s="512">
        <f>IFERROR(__xludf.DUMMYFUNCTION("""COMPUTED_VALUE"""),46164.6666666666)</f>
        <v/>
      </c>
      <c r="AU209" s="513">
        <f>IFERROR(__xludf.DUMMYFUNCTION("""COMPUTED_VALUE"""),65.88)</f>
        <v/>
      </c>
      <c r="AW209" s="512">
        <f>IFERROR(__xludf.DUMMYFUNCTION("""COMPUTED_VALUE"""),46164.6666666666)</f>
        <v/>
      </c>
      <c r="AX209" s="513">
        <f>IFERROR(__xludf.DUMMYFUNCTION("""COMPUTED_VALUE"""),98.44)</f>
        <v/>
      </c>
      <c r="AZ209" s="512">
        <f>IFERROR(__xludf.DUMMYFUNCTION("""COMPUTED_VALUE"""),46164.6666666666)</f>
        <v/>
      </c>
      <c r="BA209" s="513">
        <f>IFERROR(__xludf.DUMMYFUNCTION("""COMPUTED_VALUE"""),108.37)</f>
        <v/>
      </c>
      <c r="BC209" s="512">
        <f>IFERROR(__xludf.DUMMYFUNCTION("""COMPUTED_VALUE"""),46164.6666666666)</f>
        <v/>
      </c>
      <c r="BD209" s="513">
        <f>IFERROR(__xludf.DUMMYFUNCTION("""COMPUTED_VALUE"""),93.88)</f>
        <v/>
      </c>
      <c r="BF209" s="512">
        <f>IFERROR(__xludf.DUMMYFUNCTION("""COMPUTED_VALUE"""),46164.6666666666)</f>
        <v/>
      </c>
      <c r="BG209" s="513">
        <f>IFERROR(__xludf.DUMMYFUNCTION("""COMPUTED_VALUE"""),82.12)</f>
        <v/>
      </c>
      <c r="BI209" s="512">
        <f>IFERROR(__xludf.DUMMYFUNCTION("""COMPUTED_VALUE"""),46164.6666666666)</f>
        <v/>
      </c>
      <c r="BJ209" s="513">
        <f>IFERROR(__xludf.DUMMYFUNCTION("""COMPUTED_VALUE"""),84.68)</f>
        <v/>
      </c>
      <c r="BL209" s="512">
        <f>IFERROR(__xludf.DUMMYFUNCTION("""COMPUTED_VALUE"""),46164.6666666666)</f>
        <v/>
      </c>
      <c r="BM209" s="513">
        <f>IFERROR(__xludf.DUMMYFUNCTION("""COMPUTED_VALUE"""),413.82)</f>
        <v/>
      </c>
      <c r="BO209" s="512">
        <f>IFERROR(__xludf.DUMMYFUNCTION("""COMPUTED_VALUE"""),46164.6666666666)</f>
        <v/>
      </c>
      <c r="BP209" s="513">
        <f>IFERROR(__xludf.DUMMYFUNCTION("""COMPUTED_VALUE"""),91.59)</f>
        <v/>
      </c>
    </row>
    <row r="210">
      <c r="A210" s="512">
        <f>IFERROR(__xludf.DUMMYFUNCTION("""COMPUTED_VALUE"""),46168.6666666666)</f>
        <v/>
      </c>
      <c r="B210" s="513">
        <f>IFERROR(__xludf.DUMMYFUNCTION("""COMPUTED_VALUE"""),750.59)</f>
        <v/>
      </c>
      <c r="D210" s="512">
        <f>IFERROR(__xludf.DUMMYFUNCTION("""COMPUTED_VALUE"""),46168.6666666666)</f>
        <v/>
      </c>
      <c r="E210" s="513">
        <f>IFERROR(__xludf.DUMMYFUNCTION("""COMPUTED_VALUE"""),97.22)</f>
        <v/>
      </c>
      <c r="G210" s="512" t="n"/>
      <c r="H210" s="513" t="n"/>
      <c r="J210" s="512">
        <f>IFERROR(__xludf.DUMMYFUNCTION("""COMPUTED_VALUE"""),46168.6666666666)</f>
        <v/>
      </c>
      <c r="K210" s="513">
        <f>IFERROR(__xludf.DUMMYFUNCTION("""COMPUTED_VALUE"""),92.9)</f>
        <v/>
      </c>
      <c r="M210" s="512">
        <f>IFERROR(__xludf.DUMMYFUNCTION("""COMPUTED_VALUE"""),46168.6666666666)</f>
        <v/>
      </c>
      <c r="N210" s="513">
        <f>IFERROR(__xludf.DUMMYFUNCTION("""COMPUTED_VALUE"""),290.51)</f>
        <v/>
      </c>
      <c r="P210" s="512">
        <f>IFERROR(__xludf.DUMMYFUNCTION("""COMPUTED_VALUE"""),46168.6666666666)</f>
        <v/>
      </c>
      <c r="Q210" s="513">
        <f>IFERROR(__xludf.DUMMYFUNCTION("""COMPUTED_VALUE"""),89.48)</f>
        <v/>
      </c>
      <c r="S210" s="512">
        <f>IFERROR(__xludf.DUMMYFUNCTION("""COMPUTED_VALUE"""),45435.6666666666)</f>
        <v/>
      </c>
      <c r="T210" s="513">
        <f>IFERROR(__xludf.DUMMYFUNCTION("""COMPUTED_VALUE"""),186.88)</f>
        <v/>
      </c>
      <c r="V210" s="512">
        <f>IFERROR(__xludf.DUMMYFUNCTION("""COMPUTED_VALUE"""),46168.6666666666)</f>
        <v/>
      </c>
      <c r="W210" s="513">
        <f>IFERROR(__xludf.DUMMYFUNCTION("""COMPUTED_VALUE"""),30.03)</f>
        <v/>
      </c>
      <c r="Y210" s="512">
        <f>IFERROR(__xludf.DUMMYFUNCTION("""COMPUTED_VALUE"""),46168.6666666666)</f>
        <v/>
      </c>
      <c r="Z210" s="513">
        <f>IFERROR(__xludf.DUMMYFUNCTION("""COMPUTED_VALUE"""),73.21)</f>
        <v/>
      </c>
      <c r="AB210" s="512">
        <f>IFERROR(__xludf.DUMMYFUNCTION("""COMPUTED_VALUE"""),46168.6666666666)</f>
        <v/>
      </c>
      <c r="AC210" s="513">
        <f>IFERROR(__xludf.DUMMYFUNCTION("""COMPUTED_VALUE"""),60.23)</f>
        <v/>
      </c>
      <c r="AE210" s="512">
        <f>IFERROR(__xludf.DUMMYFUNCTION("""COMPUTED_VALUE"""),46168.6666666666)</f>
        <v/>
      </c>
      <c r="AF210" s="513">
        <f>IFERROR(__xludf.DUMMYFUNCTION("""COMPUTED_VALUE"""),95.64)</f>
        <v/>
      </c>
      <c r="AH210" s="512">
        <f>IFERROR(__xludf.DUMMYFUNCTION("""COMPUTED_VALUE"""),46168.6666666666)</f>
        <v/>
      </c>
      <c r="AI210" s="513">
        <f>IFERROR(__xludf.DUMMYFUNCTION("""COMPUTED_VALUE"""),22.04)</f>
        <v/>
      </c>
      <c r="AK210" s="512">
        <f>IFERROR(__xludf.DUMMYFUNCTION("""COMPUTED_VALUE"""),46168.6666666666)</f>
        <v/>
      </c>
      <c r="AL210" s="513">
        <f>IFERROR(__xludf.DUMMYFUNCTION("""COMPUTED_VALUE"""),80.18)</f>
        <v/>
      </c>
      <c r="AN210" s="512">
        <f>IFERROR(__xludf.DUMMYFUNCTION("""COMPUTED_VALUE"""),46168.6666666666)</f>
        <v/>
      </c>
      <c r="AO210" s="513">
        <f>IFERROR(__xludf.DUMMYFUNCTION("""COMPUTED_VALUE"""),110.82)</f>
        <v/>
      </c>
      <c r="AQ210" s="512">
        <f>IFERROR(__xludf.DUMMYFUNCTION("""COMPUTED_VALUE"""),46168.6666666666)</f>
        <v/>
      </c>
      <c r="AR210" s="513">
        <f>IFERROR(__xludf.DUMMYFUNCTION("""COMPUTED_VALUE"""),105.13)</f>
        <v/>
      </c>
      <c r="AT210" s="512">
        <f>IFERROR(__xludf.DUMMYFUNCTION("""COMPUTED_VALUE"""),46168.6666666666)</f>
        <v/>
      </c>
      <c r="AU210" s="513">
        <f>IFERROR(__xludf.DUMMYFUNCTION("""COMPUTED_VALUE"""),68.4)</f>
        <v/>
      </c>
      <c r="AW210" s="512">
        <f>IFERROR(__xludf.DUMMYFUNCTION("""COMPUTED_VALUE"""),46168.6666666666)</f>
        <v/>
      </c>
      <c r="AX210" s="513">
        <f>IFERROR(__xludf.DUMMYFUNCTION("""COMPUTED_VALUE"""),98.72)</f>
        <v/>
      </c>
      <c r="AZ210" s="512">
        <f>IFERROR(__xludf.DUMMYFUNCTION("""COMPUTED_VALUE"""),46168.6666666666)</f>
        <v/>
      </c>
      <c r="BA210" s="513">
        <f>IFERROR(__xludf.DUMMYFUNCTION("""COMPUTED_VALUE"""),108.78)</f>
        <v/>
      </c>
      <c r="BC210" s="512">
        <f>IFERROR(__xludf.DUMMYFUNCTION("""COMPUTED_VALUE"""),46168.6666666666)</f>
        <v/>
      </c>
      <c r="BD210" s="513">
        <f>IFERROR(__xludf.DUMMYFUNCTION("""COMPUTED_VALUE"""),94.28)</f>
        <v/>
      </c>
      <c r="BF210" s="512">
        <f>IFERROR(__xludf.DUMMYFUNCTION("""COMPUTED_VALUE"""),46168.6666666666)</f>
        <v/>
      </c>
      <c r="BG210" s="513">
        <f>IFERROR(__xludf.DUMMYFUNCTION("""COMPUTED_VALUE"""),82.21)</f>
        <v/>
      </c>
      <c r="BI210" s="512">
        <f>IFERROR(__xludf.DUMMYFUNCTION("""COMPUTED_VALUE"""),46168.6666666666)</f>
        <v/>
      </c>
      <c r="BJ210" s="513">
        <f>IFERROR(__xludf.DUMMYFUNCTION("""COMPUTED_VALUE"""),85.1)</f>
        <v/>
      </c>
      <c r="BL210" s="512">
        <f>IFERROR(__xludf.DUMMYFUNCTION("""COMPUTED_VALUE"""),46168.6666666666)</f>
        <v/>
      </c>
      <c r="BM210" s="513">
        <f>IFERROR(__xludf.DUMMYFUNCTION("""COMPUTED_VALUE"""),414)</f>
        <v/>
      </c>
      <c r="BO210" s="512">
        <f>IFERROR(__xludf.DUMMYFUNCTION("""COMPUTED_VALUE"""),46168.6666666666)</f>
        <v/>
      </c>
      <c r="BP210" s="513">
        <f>IFERROR(__xludf.DUMMYFUNCTION("""COMPUTED_VALUE"""),91.61)</f>
        <v/>
      </c>
    </row>
    <row r="211">
      <c r="A211" s="512">
        <f>IFERROR(__xludf.DUMMYFUNCTION("""COMPUTED_VALUE"""),46169.6666666666)</f>
        <v/>
      </c>
      <c r="B211" s="513">
        <f>IFERROR(__xludf.DUMMYFUNCTION("""COMPUTED_VALUE"""),750.46)</f>
        <v/>
      </c>
      <c r="D211" s="512">
        <f>IFERROR(__xludf.DUMMYFUNCTION("""COMPUTED_VALUE"""),46169.6666666666)</f>
        <v/>
      </c>
      <c r="E211" s="513">
        <f>IFERROR(__xludf.DUMMYFUNCTION("""COMPUTED_VALUE"""),96.92)</f>
        <v/>
      </c>
      <c r="G211" s="512" t="n"/>
      <c r="H211" s="513" t="n"/>
      <c r="J211" s="512">
        <f>IFERROR(__xludf.DUMMYFUNCTION("""COMPUTED_VALUE"""),46169.6666666666)</f>
        <v/>
      </c>
      <c r="K211" s="513">
        <f>IFERROR(__xludf.DUMMYFUNCTION("""COMPUTED_VALUE"""),92.29)</f>
        <v/>
      </c>
      <c r="M211" s="512">
        <f>IFERROR(__xludf.DUMMYFUNCTION("""COMPUTED_VALUE"""),46169.6666666666)</f>
        <v/>
      </c>
      <c r="N211" s="513">
        <f>IFERROR(__xludf.DUMMYFUNCTION("""COMPUTED_VALUE"""),290.37)</f>
        <v/>
      </c>
      <c r="P211" s="512">
        <f>IFERROR(__xludf.DUMMYFUNCTION("""COMPUTED_VALUE"""),46169.6666666666)</f>
        <v/>
      </c>
      <c r="Q211" s="513">
        <f>IFERROR(__xludf.DUMMYFUNCTION("""COMPUTED_VALUE"""),89.32)</f>
        <v/>
      </c>
      <c r="S211" s="512">
        <f>IFERROR(__xludf.DUMMYFUNCTION("""COMPUTED_VALUE"""),45436.6666666666)</f>
        <v/>
      </c>
      <c r="T211" s="513">
        <f>IFERROR(__xludf.DUMMYFUNCTION("""COMPUTED_VALUE"""),189.98)</f>
        <v/>
      </c>
      <c r="V211" s="512">
        <f>IFERROR(__xludf.DUMMYFUNCTION("""COMPUTED_VALUE"""),46169.6666666666)</f>
        <v/>
      </c>
      <c r="W211" s="513">
        <f>IFERROR(__xludf.DUMMYFUNCTION("""COMPUTED_VALUE"""),29.49)</f>
        <v/>
      </c>
      <c r="Y211" s="512">
        <f>IFERROR(__xludf.DUMMYFUNCTION("""COMPUTED_VALUE"""),46169.6666666666)</f>
        <v/>
      </c>
      <c r="Z211" s="513">
        <f>IFERROR(__xludf.DUMMYFUNCTION("""COMPUTED_VALUE"""),73.28)</f>
        <v/>
      </c>
      <c r="AB211" s="512">
        <f>IFERROR(__xludf.DUMMYFUNCTION("""COMPUTED_VALUE"""),46169.6666666666)</f>
        <v/>
      </c>
      <c r="AC211" s="513">
        <f>IFERROR(__xludf.DUMMYFUNCTION("""COMPUTED_VALUE"""),60.29)</f>
        <v/>
      </c>
      <c r="AE211" s="512">
        <f>IFERROR(__xludf.DUMMYFUNCTION("""COMPUTED_VALUE"""),46169.6666666666)</f>
        <v/>
      </c>
      <c r="AF211" s="513">
        <f>IFERROR(__xludf.DUMMYFUNCTION("""COMPUTED_VALUE"""),95.98)</f>
        <v/>
      </c>
      <c r="AH211" s="512">
        <f>IFERROR(__xludf.DUMMYFUNCTION("""COMPUTED_VALUE"""),46169.6666666666)</f>
        <v/>
      </c>
      <c r="AI211" s="513">
        <f>IFERROR(__xludf.DUMMYFUNCTION("""COMPUTED_VALUE"""),22.04)</f>
        <v/>
      </c>
      <c r="AK211" s="512">
        <f>IFERROR(__xludf.DUMMYFUNCTION("""COMPUTED_VALUE"""),46169.6666666666)</f>
        <v/>
      </c>
      <c r="AL211" s="513">
        <f>IFERROR(__xludf.DUMMYFUNCTION("""COMPUTED_VALUE"""),80.13)</f>
        <v/>
      </c>
      <c r="AN211" s="512">
        <f>IFERROR(__xludf.DUMMYFUNCTION("""COMPUTED_VALUE"""),46169.6666666666)</f>
        <v/>
      </c>
      <c r="AO211" s="513">
        <f>IFERROR(__xludf.DUMMYFUNCTION("""COMPUTED_VALUE"""),110.88)</f>
        <v/>
      </c>
      <c r="AQ211" s="512">
        <f>IFERROR(__xludf.DUMMYFUNCTION("""COMPUTED_VALUE"""),46169.6666666666)</f>
        <v/>
      </c>
      <c r="AR211" s="513">
        <f>IFERROR(__xludf.DUMMYFUNCTION("""COMPUTED_VALUE"""),104.77)</f>
        <v/>
      </c>
      <c r="AT211" s="512">
        <f>IFERROR(__xludf.DUMMYFUNCTION("""COMPUTED_VALUE"""),46169.6666666666)</f>
        <v/>
      </c>
      <c r="AU211" s="513">
        <f>IFERROR(__xludf.DUMMYFUNCTION("""COMPUTED_VALUE"""),68.39)</f>
        <v/>
      </c>
      <c r="AW211" s="512">
        <f>IFERROR(__xludf.DUMMYFUNCTION("""COMPUTED_VALUE"""),46169.6666666666)</f>
        <v/>
      </c>
      <c r="AX211" s="513">
        <f>IFERROR(__xludf.DUMMYFUNCTION("""COMPUTED_VALUE"""),98.8)</f>
        <v/>
      </c>
      <c r="AZ211" s="512">
        <f>IFERROR(__xludf.DUMMYFUNCTION("""COMPUTED_VALUE"""),46169.6666666666)</f>
        <v/>
      </c>
      <c r="BA211" s="513">
        <f>IFERROR(__xludf.DUMMYFUNCTION("""COMPUTED_VALUE"""),108.93)</f>
        <v/>
      </c>
      <c r="BC211" s="512">
        <f>IFERROR(__xludf.DUMMYFUNCTION("""COMPUTED_VALUE"""),46169.6666666666)</f>
        <v/>
      </c>
      <c r="BD211" s="513">
        <f>IFERROR(__xludf.DUMMYFUNCTION("""COMPUTED_VALUE"""),94.32)</f>
        <v/>
      </c>
      <c r="BF211" s="512">
        <f>IFERROR(__xludf.DUMMYFUNCTION("""COMPUTED_VALUE"""),46169.6666666666)</f>
        <v/>
      </c>
      <c r="BG211" s="513">
        <f>IFERROR(__xludf.DUMMYFUNCTION("""COMPUTED_VALUE"""),82.22)</f>
        <v/>
      </c>
      <c r="BI211" s="512">
        <f>IFERROR(__xludf.DUMMYFUNCTION("""COMPUTED_VALUE"""),46169.6666666666)</f>
        <v/>
      </c>
      <c r="BJ211" s="513">
        <f>IFERROR(__xludf.DUMMYFUNCTION("""COMPUTED_VALUE"""),85.3)</f>
        <v/>
      </c>
      <c r="BL211" s="512">
        <f>IFERROR(__xludf.DUMMYFUNCTION("""COMPUTED_VALUE"""),46169.6666666666)</f>
        <v/>
      </c>
      <c r="BM211" s="513">
        <f>IFERROR(__xludf.DUMMYFUNCTION("""COMPUTED_VALUE"""),408.49)</f>
        <v/>
      </c>
      <c r="BO211" s="512">
        <f>IFERROR(__xludf.DUMMYFUNCTION("""COMPUTED_VALUE"""),46169.6666666666)</f>
        <v/>
      </c>
      <c r="BP211" s="513">
        <f>IFERROR(__xludf.DUMMYFUNCTION("""COMPUTED_VALUE"""),91.62)</f>
        <v/>
      </c>
    </row>
    <row r="212">
      <c r="A212" s="512">
        <f>IFERROR(__xludf.DUMMYFUNCTION("""COMPUTED_VALUE"""),46170.6666666666)</f>
        <v/>
      </c>
      <c r="B212" s="513">
        <f>IFERROR(__xludf.DUMMYFUNCTION("""COMPUTED_VALUE"""),754.6)</f>
        <v/>
      </c>
      <c r="D212" s="512">
        <f>IFERROR(__xludf.DUMMYFUNCTION("""COMPUTED_VALUE"""),46170.6666666666)</f>
        <v/>
      </c>
      <c r="E212" s="513">
        <f>IFERROR(__xludf.DUMMYFUNCTION("""COMPUTED_VALUE"""),96.55)</f>
        <v/>
      </c>
      <c r="G212" s="512" t="n"/>
      <c r="H212" s="513" t="n"/>
      <c r="J212" s="512">
        <f>IFERROR(__xludf.DUMMYFUNCTION("""COMPUTED_VALUE"""),46170.6666666666)</f>
        <v/>
      </c>
      <c r="K212" s="513">
        <f>IFERROR(__xludf.DUMMYFUNCTION("""COMPUTED_VALUE"""),92.7)</f>
        <v/>
      </c>
      <c r="M212" s="512">
        <f>IFERROR(__xludf.DUMMYFUNCTION("""COMPUTED_VALUE"""),46170.6666666666)</f>
        <v/>
      </c>
      <c r="N212" s="513">
        <f>IFERROR(__xludf.DUMMYFUNCTION("""COMPUTED_VALUE"""),292.03)</f>
        <v/>
      </c>
      <c r="P212" s="512">
        <f>IFERROR(__xludf.DUMMYFUNCTION("""COMPUTED_VALUE"""),46170.6666666666)</f>
        <v/>
      </c>
      <c r="Q212" s="513">
        <f>IFERROR(__xludf.DUMMYFUNCTION("""COMPUTED_VALUE"""),89.03)</f>
        <v/>
      </c>
      <c r="S212" s="512">
        <f>IFERROR(__xludf.DUMMYFUNCTION("""COMPUTED_VALUE"""),45440.6666666666)</f>
        <v/>
      </c>
      <c r="T212" s="513">
        <f>IFERROR(__xludf.DUMMYFUNCTION("""COMPUTED_VALUE"""),189.99)</f>
        <v/>
      </c>
      <c r="V212" s="512">
        <f>IFERROR(__xludf.DUMMYFUNCTION("""COMPUTED_VALUE"""),46170.6666666666)</f>
        <v/>
      </c>
      <c r="W212" s="513">
        <f>IFERROR(__xludf.DUMMYFUNCTION("""COMPUTED_VALUE"""),29.72)</f>
        <v/>
      </c>
      <c r="Y212" s="512">
        <f>IFERROR(__xludf.DUMMYFUNCTION("""COMPUTED_VALUE"""),46170.6666666666)</f>
        <v/>
      </c>
      <c r="Z212" s="513">
        <f>IFERROR(__xludf.DUMMYFUNCTION("""COMPUTED_VALUE"""),73.42)</f>
        <v/>
      </c>
      <c r="AB212" s="512">
        <f>IFERROR(__xludf.DUMMYFUNCTION("""COMPUTED_VALUE"""),46170.6666666666)</f>
        <v/>
      </c>
      <c r="AC212" s="513">
        <f>IFERROR(__xludf.DUMMYFUNCTION("""COMPUTED_VALUE"""),59.9)</f>
        <v/>
      </c>
      <c r="AE212" s="512">
        <f>IFERROR(__xludf.DUMMYFUNCTION("""COMPUTED_VALUE"""),46170.6666666666)</f>
        <v/>
      </c>
      <c r="AF212" s="513">
        <f>IFERROR(__xludf.DUMMYFUNCTION("""COMPUTED_VALUE"""),96.23)</f>
        <v/>
      </c>
      <c r="AH212" s="512">
        <f>IFERROR(__xludf.DUMMYFUNCTION("""COMPUTED_VALUE"""),46170.6666666666)</f>
        <v/>
      </c>
      <c r="AI212" s="513">
        <f>IFERROR(__xludf.DUMMYFUNCTION("""COMPUTED_VALUE"""),22.11)</f>
        <v/>
      </c>
      <c r="AK212" s="512">
        <f>IFERROR(__xludf.DUMMYFUNCTION("""COMPUTED_VALUE"""),46170.6666666666)</f>
        <v/>
      </c>
      <c r="AL212" s="513">
        <f>IFERROR(__xludf.DUMMYFUNCTION("""COMPUTED_VALUE"""),80.23)</f>
        <v/>
      </c>
      <c r="AN212" s="512">
        <f>IFERROR(__xludf.DUMMYFUNCTION("""COMPUTED_VALUE"""),46170.6666666666)</f>
        <v/>
      </c>
      <c r="AO212" s="513">
        <f>IFERROR(__xludf.DUMMYFUNCTION("""COMPUTED_VALUE"""),111.18)</f>
        <v/>
      </c>
      <c r="AQ212" s="512">
        <f>IFERROR(__xludf.DUMMYFUNCTION("""COMPUTED_VALUE"""),46170.6666666666)</f>
        <v/>
      </c>
      <c r="AR212" s="513">
        <f>IFERROR(__xludf.DUMMYFUNCTION("""COMPUTED_VALUE"""),104.69)</f>
        <v/>
      </c>
      <c r="AT212" s="512">
        <f>IFERROR(__xludf.DUMMYFUNCTION("""COMPUTED_VALUE"""),46170.6666666666)</f>
        <v/>
      </c>
      <c r="AU212" s="513">
        <f>IFERROR(__xludf.DUMMYFUNCTION("""COMPUTED_VALUE"""),68.61)</f>
        <v/>
      </c>
      <c r="AW212" s="512">
        <f>IFERROR(__xludf.DUMMYFUNCTION("""COMPUTED_VALUE"""),46170.6666666666)</f>
        <v/>
      </c>
      <c r="AX212" s="513">
        <f>IFERROR(__xludf.DUMMYFUNCTION("""COMPUTED_VALUE"""),99)</f>
        <v/>
      </c>
      <c r="AZ212" s="512">
        <f>IFERROR(__xludf.DUMMYFUNCTION("""COMPUTED_VALUE"""),46170.6666666666)</f>
        <v/>
      </c>
      <c r="BA212" s="513">
        <f>IFERROR(__xludf.DUMMYFUNCTION("""COMPUTED_VALUE"""),109.26)</f>
        <v/>
      </c>
      <c r="BC212" s="512">
        <f>IFERROR(__xludf.DUMMYFUNCTION("""COMPUTED_VALUE"""),46170.6666666666)</f>
        <v/>
      </c>
      <c r="BD212" s="513">
        <f>IFERROR(__xludf.DUMMYFUNCTION("""COMPUTED_VALUE"""),94.54)</f>
        <v/>
      </c>
      <c r="BF212" s="512">
        <f>IFERROR(__xludf.DUMMYFUNCTION("""COMPUTED_VALUE"""),46170.6666666666)</f>
        <v/>
      </c>
      <c r="BG212" s="513">
        <f>IFERROR(__xludf.DUMMYFUNCTION("""COMPUTED_VALUE"""),82.26)</f>
        <v/>
      </c>
      <c r="BI212" s="512">
        <f>IFERROR(__xludf.DUMMYFUNCTION("""COMPUTED_VALUE"""),46170.6666666666)</f>
        <v/>
      </c>
      <c r="BJ212" s="513">
        <f>IFERROR(__xludf.DUMMYFUNCTION("""COMPUTED_VALUE"""),85.74)</f>
        <v/>
      </c>
      <c r="BL212" s="512">
        <f>IFERROR(__xludf.DUMMYFUNCTION("""COMPUTED_VALUE"""),46170.6666666666)</f>
        <v/>
      </c>
      <c r="BM212" s="513">
        <f>IFERROR(__xludf.DUMMYFUNCTION("""COMPUTED_VALUE"""),412.77)</f>
        <v/>
      </c>
      <c r="BO212" s="512">
        <f>IFERROR(__xludf.DUMMYFUNCTION("""COMPUTED_VALUE"""),46170.6666666666)</f>
        <v/>
      </c>
      <c r="BP212" s="513">
        <f>IFERROR(__xludf.DUMMYFUNCTION("""COMPUTED_VALUE"""),91.63)</f>
        <v/>
      </c>
    </row>
    <row r="213">
      <c r="A213" s="512">
        <f>IFERROR(__xludf.DUMMYFUNCTION("""COMPUTED_VALUE"""),46171.6666666666)</f>
        <v/>
      </c>
      <c r="B213" s="513">
        <f>IFERROR(__xludf.DUMMYFUNCTION("""COMPUTED_VALUE"""),756.48)</f>
        <v/>
      </c>
      <c r="D213" s="512">
        <f>IFERROR(__xludf.DUMMYFUNCTION("""COMPUTED_VALUE"""),46171.6666666666)</f>
        <v/>
      </c>
      <c r="E213" s="513">
        <f>IFERROR(__xludf.DUMMYFUNCTION("""COMPUTED_VALUE"""),95.7)</f>
        <v/>
      </c>
      <c r="G213" s="512" t="n"/>
      <c r="H213" s="513" t="n"/>
      <c r="J213" s="512">
        <f>IFERROR(__xludf.DUMMYFUNCTION("""COMPUTED_VALUE"""),46171.6666666666)</f>
        <v/>
      </c>
      <c r="K213" s="513">
        <f>IFERROR(__xludf.DUMMYFUNCTION("""COMPUTED_VALUE"""),92.96)</f>
        <v/>
      </c>
      <c r="M213" s="512">
        <f>IFERROR(__xludf.DUMMYFUNCTION("""COMPUTED_VALUE"""),46171.6666666666)</f>
        <v/>
      </c>
      <c r="N213" s="513">
        <f>IFERROR(__xludf.DUMMYFUNCTION("""COMPUTED_VALUE"""),290.43)</f>
        <v/>
      </c>
      <c r="P213" s="512">
        <f>IFERROR(__xludf.DUMMYFUNCTION("""COMPUTED_VALUE"""),46171.6666666666)</f>
        <v/>
      </c>
      <c r="Q213" s="513">
        <f>IFERROR(__xludf.DUMMYFUNCTION("""COMPUTED_VALUE"""),89.01)</f>
        <v/>
      </c>
      <c r="S213" s="512">
        <f>IFERROR(__xludf.DUMMYFUNCTION("""COMPUTED_VALUE"""),45441.6666666666)</f>
        <v/>
      </c>
      <c r="T213" s="513">
        <f>IFERROR(__xludf.DUMMYFUNCTION("""COMPUTED_VALUE"""),190.29)</f>
        <v/>
      </c>
      <c r="V213" s="512">
        <f>IFERROR(__xludf.DUMMYFUNCTION("""COMPUTED_VALUE"""),46171.6666666666)</f>
        <v/>
      </c>
      <c r="W213" s="513">
        <f>IFERROR(__xludf.DUMMYFUNCTION("""COMPUTED_VALUE"""),29.48)</f>
        <v/>
      </c>
      <c r="Y213" s="512">
        <f>IFERROR(__xludf.DUMMYFUNCTION("""COMPUTED_VALUE"""),46171.6666666666)</f>
        <v/>
      </c>
      <c r="Z213" s="513">
        <f>IFERROR(__xludf.DUMMYFUNCTION("""COMPUTED_VALUE"""),73.46)</f>
        <v/>
      </c>
      <c r="AB213" s="512">
        <f>IFERROR(__xludf.DUMMYFUNCTION("""COMPUTED_VALUE"""),46171.6666666666)</f>
        <v/>
      </c>
      <c r="AC213" s="513">
        <f>IFERROR(__xludf.DUMMYFUNCTION("""COMPUTED_VALUE"""),59.88)</f>
        <v/>
      </c>
      <c r="AE213" s="512">
        <f>IFERROR(__xludf.DUMMYFUNCTION("""COMPUTED_VALUE"""),46171.6666666666)</f>
        <v/>
      </c>
      <c r="AF213" s="513">
        <f>IFERROR(__xludf.DUMMYFUNCTION("""COMPUTED_VALUE"""),96.43)</f>
        <v/>
      </c>
      <c r="AH213" s="512">
        <f>IFERROR(__xludf.DUMMYFUNCTION("""COMPUTED_VALUE"""),46171.6666666666)</f>
        <v/>
      </c>
      <c r="AI213" s="513">
        <f>IFERROR(__xludf.DUMMYFUNCTION("""COMPUTED_VALUE"""),22.17)</f>
        <v/>
      </c>
      <c r="AK213" s="512">
        <f>IFERROR(__xludf.DUMMYFUNCTION("""COMPUTED_VALUE"""),46171.6666666666)</f>
        <v/>
      </c>
      <c r="AL213" s="513">
        <f>IFERROR(__xludf.DUMMYFUNCTION("""COMPUTED_VALUE"""),80.31)</f>
        <v/>
      </c>
      <c r="AN213" s="512">
        <f>IFERROR(__xludf.DUMMYFUNCTION("""COMPUTED_VALUE"""),46171.6666666666)</f>
        <v/>
      </c>
      <c r="AO213" s="513">
        <f>IFERROR(__xludf.DUMMYFUNCTION("""COMPUTED_VALUE"""),111.21)</f>
        <v/>
      </c>
      <c r="AQ213" s="512">
        <f>IFERROR(__xludf.DUMMYFUNCTION("""COMPUTED_VALUE"""),46171.6666666666)</f>
        <v/>
      </c>
      <c r="AR213" s="513">
        <f>IFERROR(__xludf.DUMMYFUNCTION("""COMPUTED_VALUE"""),104.8)</f>
        <v/>
      </c>
      <c r="AT213" s="512">
        <f>IFERROR(__xludf.DUMMYFUNCTION("""COMPUTED_VALUE"""),46171.6666666666)</f>
        <v/>
      </c>
      <c r="AU213" s="513">
        <f>IFERROR(__xludf.DUMMYFUNCTION("""COMPUTED_VALUE"""),68.6)</f>
        <v/>
      </c>
      <c r="AW213" s="512">
        <f>IFERROR(__xludf.DUMMYFUNCTION("""COMPUTED_VALUE"""),46171.6666666666)</f>
        <v/>
      </c>
      <c r="AX213" s="513">
        <f>IFERROR(__xludf.DUMMYFUNCTION("""COMPUTED_VALUE"""),99.06)</f>
        <v/>
      </c>
      <c r="AZ213" s="512">
        <f>IFERROR(__xludf.DUMMYFUNCTION("""COMPUTED_VALUE"""),46171.6666666666)</f>
        <v/>
      </c>
      <c r="BA213" s="513">
        <f>IFERROR(__xludf.DUMMYFUNCTION("""COMPUTED_VALUE"""),109.36)</f>
        <v/>
      </c>
      <c r="BC213" s="512">
        <f>IFERROR(__xludf.DUMMYFUNCTION("""COMPUTED_VALUE"""),46171.6666666666)</f>
        <v/>
      </c>
      <c r="BD213" s="513">
        <f>IFERROR(__xludf.DUMMYFUNCTION("""COMPUTED_VALUE"""),94.65)</f>
        <v/>
      </c>
      <c r="BF213" s="512">
        <f>IFERROR(__xludf.DUMMYFUNCTION("""COMPUTED_VALUE"""),46171.6666666666)</f>
        <v/>
      </c>
      <c r="BG213" s="513">
        <f>IFERROR(__xludf.DUMMYFUNCTION("""COMPUTED_VALUE"""),82.3)</f>
        <v/>
      </c>
      <c r="BI213" s="512">
        <f>IFERROR(__xludf.DUMMYFUNCTION("""COMPUTED_VALUE"""),46171.6666666666)</f>
        <v/>
      </c>
      <c r="BJ213" s="513">
        <f>IFERROR(__xludf.DUMMYFUNCTION("""COMPUTED_VALUE"""),85.76)</f>
        <v/>
      </c>
      <c r="BL213" s="512">
        <f>IFERROR(__xludf.DUMMYFUNCTION("""COMPUTED_VALUE"""),46171.6666666666)</f>
        <v/>
      </c>
      <c r="BM213" s="513">
        <f>IFERROR(__xludf.DUMMYFUNCTION("""COMPUTED_VALUE"""),417.12)</f>
        <v/>
      </c>
      <c r="BO213" s="512">
        <f>IFERROR(__xludf.DUMMYFUNCTION("""COMPUTED_VALUE"""),46171.6666666666)</f>
        <v/>
      </c>
      <c r="BP213" s="513">
        <f>IFERROR(__xludf.DUMMYFUNCTION("""COMPUTED_VALUE"""),91.66)</f>
        <v/>
      </c>
    </row>
    <row r="214">
      <c r="A214" s="512">
        <f>IFERROR(__xludf.DUMMYFUNCTION("""COMPUTED_VALUE"""),46174.6666666666)</f>
        <v/>
      </c>
      <c r="B214" s="513">
        <f>IFERROR(__xludf.DUMMYFUNCTION("""COMPUTED_VALUE"""),758.54)</f>
        <v/>
      </c>
      <c r="D214" s="512">
        <f>IFERROR(__xludf.DUMMYFUNCTION("""COMPUTED_VALUE"""),46174.6666666666)</f>
        <v/>
      </c>
      <c r="E214" s="513">
        <f>IFERROR(__xludf.DUMMYFUNCTION("""COMPUTED_VALUE"""),94.09)</f>
        <v/>
      </c>
      <c r="G214" s="512" t="n"/>
      <c r="H214" s="513" t="n"/>
      <c r="J214" s="512">
        <f>IFERROR(__xludf.DUMMYFUNCTION("""COMPUTED_VALUE"""),46174.6666666666)</f>
        <v/>
      </c>
      <c r="K214" s="513">
        <f>IFERROR(__xludf.DUMMYFUNCTION("""COMPUTED_VALUE"""),92.93)</f>
        <v/>
      </c>
      <c r="M214" s="512">
        <f>IFERROR(__xludf.DUMMYFUNCTION("""COMPUTED_VALUE"""),46174.6666666666)</f>
        <v/>
      </c>
      <c r="N214" s="513">
        <f>IFERROR(__xludf.DUMMYFUNCTION("""COMPUTED_VALUE"""),288.98)</f>
        <v/>
      </c>
      <c r="P214" s="512">
        <f>IFERROR(__xludf.DUMMYFUNCTION("""COMPUTED_VALUE"""),46174.6666666666)</f>
        <v/>
      </c>
      <c r="Q214" s="513">
        <f>IFERROR(__xludf.DUMMYFUNCTION("""COMPUTED_VALUE"""),88.52)</f>
        <v/>
      </c>
      <c r="S214" s="512">
        <f>IFERROR(__xludf.DUMMYFUNCTION("""COMPUTED_VALUE"""),45442.6666666666)</f>
        <v/>
      </c>
      <c r="T214" s="513">
        <f>IFERROR(__xludf.DUMMYFUNCTION("""COMPUTED_VALUE"""),191.29)</f>
        <v/>
      </c>
      <c r="V214" s="512">
        <f>IFERROR(__xludf.DUMMYFUNCTION("""COMPUTED_VALUE"""),46174.6666666666)</f>
        <v/>
      </c>
      <c r="W214" s="513">
        <f>IFERROR(__xludf.DUMMYFUNCTION("""COMPUTED_VALUE"""),29.99)</f>
        <v/>
      </c>
      <c r="Y214" s="512">
        <f>IFERROR(__xludf.DUMMYFUNCTION("""COMPUTED_VALUE"""),46174.6666666666)</f>
        <v/>
      </c>
      <c r="Z214" s="513">
        <f>IFERROR(__xludf.DUMMYFUNCTION("""COMPUTED_VALUE"""),73.18)</f>
        <v/>
      </c>
      <c r="AB214" s="512">
        <f>IFERROR(__xludf.DUMMYFUNCTION("""COMPUTED_VALUE"""),46174.6666666666)</f>
        <v/>
      </c>
      <c r="AC214" s="513">
        <f>IFERROR(__xludf.DUMMYFUNCTION("""COMPUTED_VALUE"""),60.42)</f>
        <v/>
      </c>
      <c r="AE214" s="512">
        <f>IFERROR(__xludf.DUMMYFUNCTION("""COMPUTED_VALUE"""),46174.6666666666)</f>
        <v/>
      </c>
      <c r="AF214" s="513">
        <f>IFERROR(__xludf.DUMMYFUNCTION("""COMPUTED_VALUE"""),96.01)</f>
        <v/>
      </c>
      <c r="AH214" s="512">
        <f>IFERROR(__xludf.DUMMYFUNCTION("""COMPUTED_VALUE"""),46174.6666666666)</f>
        <v/>
      </c>
      <c r="AI214" s="513">
        <f>IFERROR(__xludf.DUMMYFUNCTION("""COMPUTED_VALUE"""),22.03)</f>
        <v/>
      </c>
      <c r="AK214" s="512">
        <f>IFERROR(__xludf.DUMMYFUNCTION("""COMPUTED_VALUE"""),46174.6666666666)</f>
        <v/>
      </c>
      <c r="AL214" s="513">
        <f>IFERROR(__xludf.DUMMYFUNCTION("""COMPUTED_VALUE"""),79.84)</f>
        <v/>
      </c>
      <c r="AN214" s="512">
        <f>IFERROR(__xludf.DUMMYFUNCTION("""COMPUTED_VALUE"""),46174.6666666666)</f>
        <v/>
      </c>
      <c r="AO214" s="513">
        <f>IFERROR(__xludf.DUMMYFUNCTION("""COMPUTED_VALUE"""),109.98)</f>
        <v/>
      </c>
      <c r="AQ214" s="512">
        <f>IFERROR(__xludf.DUMMYFUNCTION("""COMPUTED_VALUE"""),46174.6666666666)</f>
        <v/>
      </c>
      <c r="AR214" s="513">
        <f>IFERROR(__xludf.DUMMYFUNCTION("""COMPUTED_VALUE"""),104.44)</f>
        <v/>
      </c>
      <c r="AT214" s="512">
        <f>IFERROR(__xludf.DUMMYFUNCTION("""COMPUTED_VALUE"""),46174.6666666666)</f>
        <v/>
      </c>
      <c r="AU214" s="513">
        <f>IFERROR(__xludf.DUMMYFUNCTION("""COMPUTED_VALUE"""),70.08)</f>
        <v/>
      </c>
      <c r="AW214" s="512">
        <f>IFERROR(__xludf.DUMMYFUNCTION("""COMPUTED_VALUE"""),46174.6666666666)</f>
        <v/>
      </c>
      <c r="AX214" s="513">
        <f>IFERROR(__xludf.DUMMYFUNCTION("""COMPUTED_VALUE"""),98.68)</f>
        <v/>
      </c>
      <c r="AZ214" s="512">
        <f>IFERROR(__xludf.DUMMYFUNCTION("""COMPUTED_VALUE"""),46174.6666666666)</f>
        <v/>
      </c>
      <c r="BA214" s="513">
        <f>IFERROR(__xludf.DUMMYFUNCTION("""COMPUTED_VALUE"""),108.93)</f>
        <v/>
      </c>
      <c r="BC214" s="512">
        <f>IFERROR(__xludf.DUMMYFUNCTION("""COMPUTED_VALUE"""),46174.6666666666)</f>
        <v/>
      </c>
      <c r="BD214" s="513">
        <f>IFERROR(__xludf.DUMMYFUNCTION("""COMPUTED_VALUE"""),94.17)</f>
        <v/>
      </c>
      <c r="BF214" s="512">
        <f>IFERROR(__xludf.DUMMYFUNCTION("""COMPUTED_VALUE"""),46174.6666666666)</f>
        <v/>
      </c>
      <c r="BG214" s="513">
        <f>IFERROR(__xludf.DUMMYFUNCTION("""COMPUTED_VALUE"""),82.01)</f>
        <v/>
      </c>
      <c r="BI214" s="512">
        <f>IFERROR(__xludf.DUMMYFUNCTION("""COMPUTED_VALUE"""),46174.6666666666)</f>
        <v/>
      </c>
      <c r="BJ214" s="513">
        <f>IFERROR(__xludf.DUMMYFUNCTION("""COMPUTED_VALUE"""),85.47)</f>
        <v/>
      </c>
      <c r="BL214" s="512">
        <f>IFERROR(__xludf.DUMMYFUNCTION("""COMPUTED_VALUE"""),46174.6666666666)</f>
        <v/>
      </c>
      <c r="BM214" s="513">
        <f>IFERROR(__xludf.DUMMYFUNCTION("""COMPUTED_VALUE"""),411.26)</f>
        <v/>
      </c>
      <c r="BO214" s="512">
        <f>IFERROR(__xludf.DUMMYFUNCTION("""COMPUTED_VALUE"""),46174.6666666666)</f>
        <v/>
      </c>
      <c r="BP214" s="513">
        <f>IFERROR(__xludf.DUMMYFUNCTION("""COMPUTED_VALUE"""),91.4)</f>
        <v/>
      </c>
    </row>
    <row r="215">
      <c r="A215" s="512">
        <f>IFERROR(__xludf.DUMMYFUNCTION("""COMPUTED_VALUE"""),46175.6666666666)</f>
        <v/>
      </c>
      <c r="B215" s="513">
        <f>IFERROR(__xludf.DUMMYFUNCTION("""COMPUTED_VALUE"""),759.57)</f>
        <v/>
      </c>
      <c r="D215" s="512">
        <f>IFERROR(__xludf.DUMMYFUNCTION("""COMPUTED_VALUE"""),46175.6666666666)</f>
        <v/>
      </c>
      <c r="E215" s="513">
        <f>IFERROR(__xludf.DUMMYFUNCTION("""COMPUTED_VALUE"""),94.52)</f>
        <v/>
      </c>
      <c r="G215" s="512" t="n"/>
      <c r="H215" s="513" t="n"/>
      <c r="J215" s="512">
        <f>IFERROR(__xludf.DUMMYFUNCTION("""COMPUTED_VALUE"""),46175.6666666666)</f>
        <v/>
      </c>
      <c r="K215" s="513">
        <f>IFERROR(__xludf.DUMMYFUNCTION("""COMPUTED_VALUE"""),93.58)</f>
        <v/>
      </c>
      <c r="M215" s="512">
        <f>IFERROR(__xludf.DUMMYFUNCTION("""COMPUTED_VALUE"""),46175.6666666666)</f>
        <v/>
      </c>
      <c r="N215" s="513">
        <f>IFERROR(__xludf.DUMMYFUNCTION("""COMPUTED_VALUE"""),291.66)</f>
        <v/>
      </c>
      <c r="P215" s="512">
        <f>IFERROR(__xludf.DUMMYFUNCTION("""COMPUTED_VALUE"""),46175.6666666666)</f>
        <v/>
      </c>
      <c r="Q215" s="513">
        <f>IFERROR(__xludf.DUMMYFUNCTION("""COMPUTED_VALUE"""),88.96)</f>
        <v/>
      </c>
      <c r="S215" s="512">
        <f>IFERROR(__xludf.DUMMYFUNCTION("""COMPUTED_VALUE"""),45443.6666666666)</f>
        <v/>
      </c>
      <c r="T215" s="513">
        <f>IFERROR(__xludf.DUMMYFUNCTION("""COMPUTED_VALUE"""),192.25)</f>
        <v/>
      </c>
      <c r="V215" s="512">
        <f>IFERROR(__xludf.DUMMYFUNCTION("""COMPUTED_VALUE"""),46175.6666666666)</f>
        <v/>
      </c>
      <c r="W215" s="513">
        <f>IFERROR(__xludf.DUMMYFUNCTION("""COMPUTED_VALUE"""),30.12)</f>
        <v/>
      </c>
      <c r="Y215" s="512">
        <f>IFERROR(__xludf.DUMMYFUNCTION("""COMPUTED_VALUE"""),46175.6666666666)</f>
        <v/>
      </c>
      <c r="Z215" s="513">
        <f>IFERROR(__xludf.DUMMYFUNCTION("""COMPUTED_VALUE"""),73.2)</f>
        <v/>
      </c>
      <c r="AB215" s="512">
        <f>IFERROR(__xludf.DUMMYFUNCTION("""COMPUTED_VALUE"""),46175.6666666666)</f>
        <v/>
      </c>
      <c r="AC215" s="513">
        <f>IFERROR(__xludf.DUMMYFUNCTION("""COMPUTED_VALUE"""),61.19)</f>
        <v/>
      </c>
      <c r="AE215" s="512">
        <f>IFERROR(__xludf.DUMMYFUNCTION("""COMPUTED_VALUE"""),46175.6666666666)</f>
        <v/>
      </c>
      <c r="AF215" s="513">
        <f>IFERROR(__xludf.DUMMYFUNCTION("""COMPUTED_VALUE"""),96.26)</f>
        <v/>
      </c>
      <c r="AH215" s="512">
        <f>IFERROR(__xludf.DUMMYFUNCTION("""COMPUTED_VALUE"""),46175.6666666666)</f>
        <v/>
      </c>
      <c r="AI215" s="513">
        <f>IFERROR(__xludf.DUMMYFUNCTION("""COMPUTED_VALUE"""),22.02)</f>
        <v/>
      </c>
      <c r="AK215" s="512">
        <f>IFERROR(__xludf.DUMMYFUNCTION("""COMPUTED_VALUE"""),46175.6666666666)</f>
        <v/>
      </c>
      <c r="AL215" s="513">
        <f>IFERROR(__xludf.DUMMYFUNCTION("""COMPUTED_VALUE"""),79.9)</f>
        <v/>
      </c>
      <c r="AN215" s="512">
        <f>IFERROR(__xludf.DUMMYFUNCTION("""COMPUTED_VALUE"""),46175.6666666666)</f>
        <v/>
      </c>
      <c r="AO215" s="513">
        <f>IFERROR(__xludf.DUMMYFUNCTION("""COMPUTED_VALUE"""),109.97)</f>
        <v/>
      </c>
      <c r="AQ215" s="512">
        <f>IFERROR(__xludf.DUMMYFUNCTION("""COMPUTED_VALUE"""),46175.6666666666)</f>
        <v/>
      </c>
      <c r="AR215" s="513">
        <f>IFERROR(__xludf.DUMMYFUNCTION("""COMPUTED_VALUE"""),105.02)</f>
        <v/>
      </c>
      <c r="AT215" s="512">
        <f>IFERROR(__xludf.DUMMYFUNCTION("""COMPUTED_VALUE"""),46175.6666666666)</f>
        <v/>
      </c>
      <c r="AU215" s="513">
        <f>IFERROR(__xludf.DUMMYFUNCTION("""COMPUTED_VALUE"""),70.8)</f>
        <v/>
      </c>
      <c r="AW215" s="512">
        <f>IFERROR(__xludf.DUMMYFUNCTION("""COMPUTED_VALUE"""),46175.6666666666)</f>
        <v/>
      </c>
      <c r="AX215" s="513">
        <f>IFERROR(__xludf.DUMMYFUNCTION("""COMPUTED_VALUE"""),98.71)</f>
        <v/>
      </c>
      <c r="AZ215" s="512">
        <f>IFERROR(__xludf.DUMMYFUNCTION("""COMPUTED_VALUE"""),46175.6666666666)</f>
        <v/>
      </c>
      <c r="BA215" s="513">
        <f>IFERROR(__xludf.DUMMYFUNCTION("""COMPUTED_VALUE"""),108.92)</f>
        <v/>
      </c>
      <c r="BC215" s="512">
        <f>IFERROR(__xludf.DUMMYFUNCTION("""COMPUTED_VALUE"""),46175.6666666666)</f>
        <v/>
      </c>
      <c r="BD215" s="513">
        <f>IFERROR(__xludf.DUMMYFUNCTION("""COMPUTED_VALUE"""),94.24)</f>
        <v/>
      </c>
      <c r="BF215" s="512">
        <f>IFERROR(__xludf.DUMMYFUNCTION("""COMPUTED_VALUE"""),46175.6666666666)</f>
        <v/>
      </c>
      <c r="BG215" s="513">
        <f>IFERROR(__xludf.DUMMYFUNCTION("""COMPUTED_VALUE"""),82.01)</f>
        <v/>
      </c>
      <c r="BI215" s="512">
        <f>IFERROR(__xludf.DUMMYFUNCTION("""COMPUTED_VALUE"""),46175.6666666666)</f>
        <v/>
      </c>
      <c r="BJ215" s="513">
        <f>IFERROR(__xludf.DUMMYFUNCTION("""COMPUTED_VALUE"""),85.65)</f>
        <v/>
      </c>
      <c r="BL215" s="512">
        <f>IFERROR(__xludf.DUMMYFUNCTION("""COMPUTED_VALUE"""),46175.6666666666)</f>
        <v/>
      </c>
      <c r="BM215" s="513">
        <f>IFERROR(__xludf.DUMMYFUNCTION("""COMPUTED_VALUE"""),411.95)</f>
        <v/>
      </c>
      <c r="BO215" s="512">
        <f>IFERROR(__xludf.DUMMYFUNCTION("""COMPUTED_VALUE"""),46175.6666666666)</f>
        <v/>
      </c>
      <c r="BP215" s="513">
        <f>IFERROR(__xludf.DUMMYFUNCTION("""COMPUTED_VALUE"""),91.39)</f>
        <v/>
      </c>
    </row>
    <row r="216">
      <c r="A216" s="512">
        <f>IFERROR(__xludf.DUMMYFUNCTION("""COMPUTED_VALUE"""),46176.6666666666)</f>
        <v/>
      </c>
      <c r="B216" s="513">
        <f>IFERROR(__xludf.DUMMYFUNCTION("""COMPUTED_VALUE"""),754.24)</f>
        <v/>
      </c>
      <c r="D216" s="512">
        <f>IFERROR(__xludf.DUMMYFUNCTION("""COMPUTED_VALUE"""),46176.6666666666)</f>
        <v/>
      </c>
      <c r="E216" s="513">
        <f>IFERROR(__xludf.DUMMYFUNCTION("""COMPUTED_VALUE"""),94.41)</f>
        <v/>
      </c>
      <c r="G216" s="512" t="n"/>
      <c r="H216" s="513" t="n"/>
      <c r="J216" s="512">
        <f>IFERROR(__xludf.DUMMYFUNCTION("""COMPUTED_VALUE"""),46176.6666666666)</f>
        <v/>
      </c>
      <c r="K216" s="513">
        <f>IFERROR(__xludf.DUMMYFUNCTION("""COMPUTED_VALUE"""),93.94)</f>
        <v/>
      </c>
      <c r="M216" s="512">
        <f>IFERROR(__xludf.DUMMYFUNCTION("""COMPUTED_VALUE"""),46176.6666666666)</f>
        <v/>
      </c>
      <c r="N216" s="513">
        <f>IFERROR(__xludf.DUMMYFUNCTION("""COMPUTED_VALUE"""),287.67)</f>
        <v/>
      </c>
      <c r="P216" s="512">
        <f>IFERROR(__xludf.DUMMYFUNCTION("""COMPUTED_VALUE"""),46176.6666666666)</f>
        <v/>
      </c>
      <c r="Q216" s="513">
        <f>IFERROR(__xludf.DUMMYFUNCTION("""COMPUTED_VALUE"""),87.9)</f>
        <v/>
      </c>
      <c r="S216" s="512">
        <f>IFERROR(__xludf.DUMMYFUNCTION("""COMPUTED_VALUE"""),45446.6666666666)</f>
        <v/>
      </c>
      <c r="T216" s="513">
        <f>IFERROR(__xludf.DUMMYFUNCTION("""COMPUTED_VALUE"""),194.03)</f>
        <v/>
      </c>
      <c r="V216" s="512">
        <f>IFERROR(__xludf.DUMMYFUNCTION("""COMPUTED_VALUE"""),46176.6666666666)</f>
        <v/>
      </c>
      <c r="W216" s="513">
        <f>IFERROR(__xludf.DUMMYFUNCTION("""COMPUTED_VALUE"""),30.29)</f>
        <v/>
      </c>
      <c r="Y216" s="512">
        <f>IFERROR(__xludf.DUMMYFUNCTION("""COMPUTED_VALUE"""),46176.6666666666)</f>
        <v/>
      </c>
      <c r="Z216" s="513">
        <f>IFERROR(__xludf.DUMMYFUNCTION("""COMPUTED_VALUE"""),73.06)</f>
        <v/>
      </c>
      <c r="AB216" s="512">
        <f>IFERROR(__xludf.DUMMYFUNCTION("""COMPUTED_VALUE"""),46176.6666666666)</f>
        <v/>
      </c>
      <c r="AC216" s="513">
        <f>IFERROR(__xludf.DUMMYFUNCTION("""COMPUTED_VALUE"""),60.33)</f>
        <v/>
      </c>
      <c r="AE216" s="512">
        <f>IFERROR(__xludf.DUMMYFUNCTION("""COMPUTED_VALUE"""),46176.6666666666)</f>
        <v/>
      </c>
      <c r="AF216" s="513">
        <f>IFERROR(__xludf.DUMMYFUNCTION("""COMPUTED_VALUE"""),95.9)</f>
        <v/>
      </c>
      <c r="AH216" s="512">
        <f>IFERROR(__xludf.DUMMYFUNCTION("""COMPUTED_VALUE"""),46176.6666666666)</f>
        <v/>
      </c>
      <c r="AI216" s="513">
        <f>IFERROR(__xludf.DUMMYFUNCTION("""COMPUTED_VALUE"""),21.89)</f>
        <v/>
      </c>
      <c r="AK216" s="512">
        <f>IFERROR(__xludf.DUMMYFUNCTION("""COMPUTED_VALUE"""),46176.6666666666)</f>
        <v/>
      </c>
      <c r="AL216" s="513">
        <f>IFERROR(__xludf.DUMMYFUNCTION("""COMPUTED_VALUE"""),79.68)</f>
        <v/>
      </c>
      <c r="AN216" s="512">
        <f>IFERROR(__xludf.DUMMYFUNCTION("""COMPUTED_VALUE"""),46176.6666666666)</f>
        <v/>
      </c>
      <c r="AO216" s="513">
        <f>IFERROR(__xludf.DUMMYFUNCTION("""COMPUTED_VALUE"""),109.77)</f>
        <v/>
      </c>
      <c r="AQ216" s="512">
        <f>IFERROR(__xludf.DUMMYFUNCTION("""COMPUTED_VALUE"""),46176.6666666666)</f>
        <v/>
      </c>
      <c r="AR216" s="513">
        <f>IFERROR(__xludf.DUMMYFUNCTION("""COMPUTED_VALUE"""),104.12)</f>
        <v/>
      </c>
      <c r="AT216" s="512">
        <f>IFERROR(__xludf.DUMMYFUNCTION("""COMPUTED_VALUE"""),46176.6666666666)</f>
        <v/>
      </c>
      <c r="AU216" s="513">
        <f>IFERROR(__xludf.DUMMYFUNCTION("""COMPUTED_VALUE"""),69.92)</f>
        <v/>
      </c>
      <c r="AW216" s="512">
        <f>IFERROR(__xludf.DUMMYFUNCTION("""COMPUTED_VALUE"""),46176.6666666666)</f>
        <v/>
      </c>
      <c r="AX216" s="513">
        <f>IFERROR(__xludf.DUMMYFUNCTION("""COMPUTED_VALUE"""),98.5)</f>
        <v/>
      </c>
      <c r="AZ216" s="512">
        <f>IFERROR(__xludf.DUMMYFUNCTION("""COMPUTED_VALUE"""),46176.6666666666)</f>
        <v/>
      </c>
      <c r="BA216" s="513">
        <f>IFERROR(__xludf.DUMMYFUNCTION("""COMPUTED_VALUE"""),108.62)</f>
        <v/>
      </c>
      <c r="BC216" s="512">
        <f>IFERROR(__xludf.DUMMYFUNCTION("""COMPUTED_VALUE"""),46176.6666666666)</f>
        <v/>
      </c>
      <c r="BD216" s="513">
        <f>IFERROR(__xludf.DUMMYFUNCTION("""COMPUTED_VALUE"""),94)</f>
        <v/>
      </c>
      <c r="BF216" s="512">
        <f>IFERROR(__xludf.DUMMYFUNCTION("""COMPUTED_VALUE"""),46176.6666666666)</f>
        <v/>
      </c>
      <c r="BG216" s="513">
        <f>IFERROR(__xludf.DUMMYFUNCTION("""COMPUTED_VALUE"""),81.97)</f>
        <v/>
      </c>
      <c r="BI216" s="512">
        <f>IFERROR(__xludf.DUMMYFUNCTION("""COMPUTED_VALUE"""),46176.6666666666)</f>
        <v/>
      </c>
      <c r="BJ216" s="513">
        <f>IFERROR(__xludf.DUMMYFUNCTION("""COMPUTED_VALUE"""),85.31)</f>
        <v/>
      </c>
      <c r="BL216" s="512">
        <f>IFERROR(__xludf.DUMMYFUNCTION("""COMPUTED_VALUE"""),46176.6666666666)</f>
        <v/>
      </c>
      <c r="BM216" s="513">
        <f>IFERROR(__xludf.DUMMYFUNCTION("""COMPUTED_VALUE"""),407.87)</f>
        <v/>
      </c>
      <c r="BO216" s="512">
        <f>IFERROR(__xludf.DUMMYFUNCTION("""COMPUTED_VALUE"""),46176.6666666666)</f>
        <v/>
      </c>
      <c r="BP216" s="513">
        <f>IFERROR(__xludf.DUMMYFUNCTION("""COMPUTED_VALUE"""),91.41)</f>
        <v/>
      </c>
    </row>
    <row r="217">
      <c r="A217" s="512">
        <f>IFERROR(__xludf.DUMMYFUNCTION("""COMPUTED_VALUE"""),46177.6666666666)</f>
        <v/>
      </c>
      <c r="B217" s="513">
        <f>IFERROR(__xludf.DUMMYFUNCTION("""COMPUTED_VALUE"""),757.09)</f>
        <v/>
      </c>
      <c r="D217" s="512">
        <f>IFERROR(__xludf.DUMMYFUNCTION("""COMPUTED_VALUE"""),46177.6666666666)</f>
        <v/>
      </c>
      <c r="E217" s="513">
        <f>IFERROR(__xludf.DUMMYFUNCTION("""COMPUTED_VALUE"""),96.1)</f>
        <v/>
      </c>
      <c r="G217" s="512" t="n"/>
      <c r="H217" s="513" t="n"/>
      <c r="J217" s="512">
        <f>IFERROR(__xludf.DUMMYFUNCTION("""COMPUTED_VALUE"""),46177.6666666666)</f>
        <v/>
      </c>
      <c r="K217" s="513">
        <f>IFERROR(__xludf.DUMMYFUNCTION("""COMPUTED_VALUE"""),94.13)</f>
        <v/>
      </c>
      <c r="M217" s="512">
        <f>IFERROR(__xludf.DUMMYFUNCTION("""COMPUTED_VALUE"""),46177.6666666666)</f>
        <v/>
      </c>
      <c r="N217" s="513">
        <f>IFERROR(__xludf.DUMMYFUNCTION("""COMPUTED_VALUE"""),292.01)</f>
        <v/>
      </c>
      <c r="P217" s="512">
        <f>IFERROR(__xludf.DUMMYFUNCTION("""COMPUTED_VALUE"""),46177.6666666666)</f>
        <v/>
      </c>
      <c r="Q217" s="513">
        <f>IFERROR(__xludf.DUMMYFUNCTION("""COMPUTED_VALUE"""),88.89)</f>
        <v/>
      </c>
      <c r="S217" s="512">
        <f>IFERROR(__xludf.DUMMYFUNCTION("""COMPUTED_VALUE"""),45447.6666666666)</f>
        <v/>
      </c>
      <c r="T217" s="513">
        <f>IFERROR(__xludf.DUMMYFUNCTION("""COMPUTED_VALUE"""),194.35)</f>
        <v/>
      </c>
      <c r="V217" s="512">
        <f>IFERROR(__xludf.DUMMYFUNCTION("""COMPUTED_VALUE"""),46177.6666666666)</f>
        <v/>
      </c>
      <c r="W217" s="513">
        <f>IFERROR(__xludf.DUMMYFUNCTION("""COMPUTED_VALUE"""),29.88)</f>
        <v/>
      </c>
      <c r="Y217" s="512">
        <f>IFERROR(__xludf.DUMMYFUNCTION("""COMPUTED_VALUE"""),46177.6666666666)</f>
        <v/>
      </c>
      <c r="Z217" s="513">
        <f>IFERROR(__xludf.DUMMYFUNCTION("""COMPUTED_VALUE"""),73.16)</f>
        <v/>
      </c>
      <c r="AB217" s="512">
        <f>IFERROR(__xludf.DUMMYFUNCTION("""COMPUTED_VALUE"""),46177.6666666666)</f>
        <v/>
      </c>
      <c r="AC217" s="513">
        <f>IFERROR(__xludf.DUMMYFUNCTION("""COMPUTED_VALUE"""),60.31)</f>
        <v/>
      </c>
      <c r="AE217" s="512">
        <f>IFERROR(__xludf.DUMMYFUNCTION("""COMPUTED_VALUE"""),46177.6666666666)</f>
        <v/>
      </c>
      <c r="AF217" s="513">
        <f>IFERROR(__xludf.DUMMYFUNCTION("""COMPUTED_VALUE"""),96.1)</f>
        <v/>
      </c>
      <c r="AH217" s="512">
        <f>IFERROR(__xludf.DUMMYFUNCTION("""COMPUTED_VALUE"""),46177.6666666666)</f>
        <v/>
      </c>
      <c r="AI217" s="513">
        <f>IFERROR(__xludf.DUMMYFUNCTION("""COMPUTED_VALUE"""),21.93)</f>
        <v/>
      </c>
      <c r="AK217" s="512">
        <f>IFERROR(__xludf.DUMMYFUNCTION("""COMPUTED_VALUE"""),46177.6666666666)</f>
        <v/>
      </c>
      <c r="AL217" s="513">
        <f>IFERROR(__xludf.DUMMYFUNCTION("""COMPUTED_VALUE"""),79.83)</f>
        <v/>
      </c>
      <c r="AN217" s="512">
        <f>IFERROR(__xludf.DUMMYFUNCTION("""COMPUTED_VALUE"""),46177.6666666666)</f>
        <v/>
      </c>
      <c r="AO217" s="513">
        <f>IFERROR(__xludf.DUMMYFUNCTION("""COMPUTED_VALUE"""),109.78)</f>
        <v/>
      </c>
      <c r="AQ217" s="512">
        <f>IFERROR(__xludf.DUMMYFUNCTION("""COMPUTED_VALUE"""),46177.6666666666)</f>
        <v/>
      </c>
      <c r="AR217" s="513">
        <f>IFERROR(__xludf.DUMMYFUNCTION("""COMPUTED_VALUE"""),104.95)</f>
        <v/>
      </c>
      <c r="AT217" s="512">
        <f>IFERROR(__xludf.DUMMYFUNCTION("""COMPUTED_VALUE"""),46177.6666666666)</f>
        <v/>
      </c>
      <c r="AU217" s="513">
        <f>IFERROR(__xludf.DUMMYFUNCTION("""COMPUTED_VALUE"""),69.1)</f>
        <v/>
      </c>
      <c r="AW217" s="512">
        <f>IFERROR(__xludf.DUMMYFUNCTION("""COMPUTED_VALUE"""),46177.6666666666)</f>
        <v/>
      </c>
      <c r="AX217" s="513">
        <f>IFERROR(__xludf.DUMMYFUNCTION("""COMPUTED_VALUE"""),98.66)</f>
        <v/>
      </c>
      <c r="AZ217" s="512">
        <f>IFERROR(__xludf.DUMMYFUNCTION("""COMPUTED_VALUE"""),46177.6666666666)</f>
        <v/>
      </c>
      <c r="BA217" s="513">
        <f>IFERROR(__xludf.DUMMYFUNCTION("""COMPUTED_VALUE"""),108.85)</f>
        <v/>
      </c>
      <c r="BC217" s="512">
        <f>IFERROR(__xludf.DUMMYFUNCTION("""COMPUTED_VALUE"""),46177.6666666666)</f>
        <v/>
      </c>
      <c r="BD217" s="513">
        <f>IFERROR(__xludf.DUMMYFUNCTION("""COMPUTED_VALUE"""),94.12)</f>
        <v/>
      </c>
      <c r="BF217" s="512">
        <f>IFERROR(__xludf.DUMMYFUNCTION("""COMPUTED_VALUE"""),46177.6666666666)</f>
        <v/>
      </c>
      <c r="BG217" s="513">
        <f>IFERROR(__xludf.DUMMYFUNCTION("""COMPUTED_VALUE"""),82.03)</f>
        <v/>
      </c>
      <c r="BI217" s="512">
        <f>IFERROR(__xludf.DUMMYFUNCTION("""COMPUTED_VALUE"""),46177.6666666666)</f>
        <v/>
      </c>
      <c r="BJ217" s="513">
        <f>IFERROR(__xludf.DUMMYFUNCTION("""COMPUTED_VALUE"""),85.5)</f>
        <v/>
      </c>
      <c r="BL217" s="512">
        <f>IFERROR(__xludf.DUMMYFUNCTION("""COMPUTED_VALUE"""),46177.6666666666)</f>
        <v/>
      </c>
      <c r="BM217" s="513">
        <f>IFERROR(__xludf.DUMMYFUNCTION("""COMPUTED_VALUE"""),411.27)</f>
        <v/>
      </c>
      <c r="BO217" s="512">
        <f>IFERROR(__xludf.DUMMYFUNCTION("""COMPUTED_VALUE"""),46177.6666666666)</f>
        <v/>
      </c>
      <c r="BP217" s="513">
        <f>IFERROR(__xludf.DUMMYFUNCTION("""COMPUTED_VALUE"""),91.41)</f>
        <v/>
      </c>
    </row>
    <row r="218">
      <c r="A218" s="512">
        <f>IFERROR(__xludf.DUMMYFUNCTION("""COMPUTED_VALUE"""),46178.6666666666)</f>
        <v/>
      </c>
      <c r="B218" s="513">
        <f>IFERROR(__xludf.DUMMYFUNCTION("""COMPUTED_VALUE"""),737.55)</f>
        <v/>
      </c>
      <c r="D218" s="512">
        <f>IFERROR(__xludf.DUMMYFUNCTION("""COMPUTED_VALUE"""),46178.6666666666)</f>
        <v/>
      </c>
      <c r="E218" s="513">
        <f>IFERROR(__xludf.DUMMYFUNCTION("""COMPUTED_VALUE"""),96.79)</f>
        <v/>
      </c>
      <c r="G218" s="512" t="n"/>
      <c r="H218" s="513" t="n"/>
      <c r="J218" s="512">
        <f>IFERROR(__xludf.DUMMYFUNCTION("""COMPUTED_VALUE"""),46178.6666666666)</f>
        <v/>
      </c>
      <c r="K218" s="513">
        <f>IFERROR(__xludf.DUMMYFUNCTION("""COMPUTED_VALUE"""),90.72)</f>
        <v/>
      </c>
      <c r="M218" s="512">
        <f>IFERROR(__xludf.DUMMYFUNCTION("""COMPUTED_VALUE"""),46178.6666666666)</f>
        <v/>
      </c>
      <c r="N218" s="513">
        <f>IFERROR(__xludf.DUMMYFUNCTION("""COMPUTED_VALUE"""),281.65)</f>
        <v/>
      </c>
      <c r="P218" s="512">
        <f>IFERROR(__xludf.DUMMYFUNCTION("""COMPUTED_VALUE"""),46178.6666666666)</f>
        <v/>
      </c>
      <c r="Q218" s="513">
        <f>IFERROR(__xludf.DUMMYFUNCTION("""COMPUTED_VALUE"""),87.13)</f>
        <v/>
      </c>
      <c r="S218" s="512">
        <f>IFERROR(__xludf.DUMMYFUNCTION("""COMPUTED_VALUE"""),45448.6666666666)</f>
        <v/>
      </c>
      <c r="T218" s="513">
        <f>IFERROR(__xludf.DUMMYFUNCTION("""COMPUTED_VALUE"""),195.87)</f>
        <v/>
      </c>
      <c r="V218" s="512">
        <f>IFERROR(__xludf.DUMMYFUNCTION("""COMPUTED_VALUE"""),46178.6666666666)</f>
        <v/>
      </c>
      <c r="W218" s="513">
        <f>IFERROR(__xludf.DUMMYFUNCTION("""COMPUTED_VALUE"""),29.23)</f>
        <v/>
      </c>
      <c r="Y218" s="512">
        <f>IFERROR(__xludf.DUMMYFUNCTION("""COMPUTED_VALUE"""),46178.6666666666)</f>
        <v/>
      </c>
      <c r="Z218" s="513">
        <f>IFERROR(__xludf.DUMMYFUNCTION("""COMPUTED_VALUE"""),72.83)</f>
        <v/>
      </c>
      <c r="AB218" s="512">
        <f>IFERROR(__xludf.DUMMYFUNCTION("""COMPUTED_VALUE"""),46178.6666666666)</f>
        <v/>
      </c>
      <c r="AC218" s="513">
        <f>IFERROR(__xludf.DUMMYFUNCTION("""COMPUTED_VALUE"""),58.03)</f>
        <v/>
      </c>
      <c r="AE218" s="512">
        <f>IFERROR(__xludf.DUMMYFUNCTION("""COMPUTED_VALUE"""),46178.6666666666)</f>
        <v/>
      </c>
      <c r="AF218" s="513">
        <f>IFERROR(__xludf.DUMMYFUNCTION("""COMPUTED_VALUE"""),95.4)</f>
        <v/>
      </c>
      <c r="AH218" s="512">
        <f>IFERROR(__xludf.DUMMYFUNCTION("""COMPUTED_VALUE"""),46178.6666666666)</f>
        <v/>
      </c>
      <c r="AI218" s="513">
        <f>IFERROR(__xludf.DUMMYFUNCTION("""COMPUTED_VALUE"""),21.74)</f>
        <v/>
      </c>
      <c r="AK218" s="512">
        <f>IFERROR(__xludf.DUMMYFUNCTION("""COMPUTED_VALUE"""),46178.6666666666)</f>
        <v/>
      </c>
      <c r="AL218" s="513">
        <f>IFERROR(__xludf.DUMMYFUNCTION("""COMPUTED_VALUE"""),79.43)</f>
        <v/>
      </c>
      <c r="AN218" s="512">
        <f>IFERROR(__xludf.DUMMYFUNCTION("""COMPUTED_VALUE"""),46178.6666666666)</f>
        <v/>
      </c>
      <c r="AO218" s="513">
        <f>IFERROR(__xludf.DUMMYFUNCTION("""COMPUTED_VALUE"""),109.25)</f>
        <v/>
      </c>
      <c r="AQ218" s="512">
        <f>IFERROR(__xludf.DUMMYFUNCTION("""COMPUTED_VALUE"""),46178.6666666666)</f>
        <v/>
      </c>
      <c r="AR218" s="513">
        <f>IFERROR(__xludf.DUMMYFUNCTION("""COMPUTED_VALUE"""),102.26)</f>
        <v/>
      </c>
      <c r="AT218" s="512">
        <f>IFERROR(__xludf.DUMMYFUNCTION("""COMPUTED_VALUE"""),46178.6666666666)</f>
        <v/>
      </c>
      <c r="AU218" s="513">
        <f>IFERROR(__xludf.DUMMYFUNCTION("""COMPUTED_VALUE"""),64.59)</f>
        <v/>
      </c>
      <c r="AW218" s="512">
        <f>IFERROR(__xludf.DUMMYFUNCTION("""COMPUTED_VALUE"""),46178.6666666666)</f>
        <v/>
      </c>
      <c r="AX218" s="513">
        <f>IFERROR(__xludf.DUMMYFUNCTION("""COMPUTED_VALUE"""),98.17)</f>
        <v/>
      </c>
      <c r="AZ218" s="512">
        <f>IFERROR(__xludf.DUMMYFUNCTION("""COMPUTED_VALUE"""),46178.6666666666)</f>
        <v/>
      </c>
      <c r="BA218" s="513">
        <f>IFERROR(__xludf.DUMMYFUNCTION("""COMPUTED_VALUE"""),108.17)</f>
        <v/>
      </c>
      <c r="BC218" s="512">
        <f>IFERROR(__xludf.DUMMYFUNCTION("""COMPUTED_VALUE"""),46178.6666666666)</f>
        <v/>
      </c>
      <c r="BD218" s="513">
        <f>IFERROR(__xludf.DUMMYFUNCTION("""COMPUTED_VALUE"""),93.62)</f>
        <v/>
      </c>
      <c r="BF218" s="512">
        <f>IFERROR(__xludf.DUMMYFUNCTION("""COMPUTED_VALUE"""),46178.6666666666)</f>
        <v/>
      </c>
      <c r="BG218" s="513">
        <f>IFERROR(__xludf.DUMMYFUNCTION("""COMPUTED_VALUE"""),81.86)</f>
        <v/>
      </c>
      <c r="BI218" s="512">
        <f>IFERROR(__xludf.DUMMYFUNCTION("""COMPUTED_VALUE"""),46178.6666666666)</f>
        <v/>
      </c>
      <c r="BJ218" s="513">
        <f>IFERROR(__xludf.DUMMYFUNCTION("""COMPUTED_VALUE"""),85.06)</f>
        <v/>
      </c>
      <c r="BL218" s="512">
        <f>IFERROR(__xludf.DUMMYFUNCTION("""COMPUTED_VALUE"""),46178.6666666666)</f>
        <v/>
      </c>
      <c r="BM218" s="513">
        <f>IFERROR(__xludf.DUMMYFUNCTION("""COMPUTED_VALUE"""),396.24)</f>
        <v/>
      </c>
      <c r="BO218" s="512">
        <f>IFERROR(__xludf.DUMMYFUNCTION("""COMPUTED_VALUE"""),46178.6666666666)</f>
        <v/>
      </c>
      <c r="BP218" s="513">
        <f>IFERROR(__xludf.DUMMYFUNCTION("""COMPUTED_VALUE"""),91.45)</f>
        <v/>
      </c>
    </row>
    <row r="219">
      <c r="A219" s="512">
        <f>IFERROR(__xludf.DUMMYFUNCTION("""COMPUTED_VALUE"""),46181.6666666666)</f>
        <v/>
      </c>
      <c r="B219" s="513">
        <f>IFERROR(__xludf.DUMMYFUNCTION("""COMPUTED_VALUE"""),739.22)</f>
        <v/>
      </c>
      <c r="D219" s="512">
        <f>IFERROR(__xludf.DUMMYFUNCTION("""COMPUTED_VALUE"""),46181.6666666666)</f>
        <v/>
      </c>
      <c r="E219" s="513">
        <f>IFERROR(__xludf.DUMMYFUNCTION("""COMPUTED_VALUE"""),95.47)</f>
        <v/>
      </c>
      <c r="G219" s="512" t="n"/>
      <c r="H219" s="513" t="n"/>
      <c r="J219" s="512">
        <f>IFERROR(__xludf.DUMMYFUNCTION("""COMPUTED_VALUE"""),46181.6666666666)</f>
        <v/>
      </c>
      <c r="K219" s="513">
        <f>IFERROR(__xludf.DUMMYFUNCTION("""COMPUTED_VALUE"""),91.95)</f>
        <v/>
      </c>
      <c r="M219" s="512">
        <f>IFERROR(__xludf.DUMMYFUNCTION("""COMPUTED_VALUE"""),46181.6666666666)</f>
        <v/>
      </c>
      <c r="N219" s="513">
        <f>IFERROR(__xludf.DUMMYFUNCTION("""COMPUTED_VALUE"""),284.11)</f>
        <v/>
      </c>
      <c r="P219" s="512">
        <f>IFERROR(__xludf.DUMMYFUNCTION("""COMPUTED_VALUE"""),46181.6666666666)</f>
        <v/>
      </c>
      <c r="Q219" s="513">
        <f>IFERROR(__xludf.DUMMYFUNCTION("""COMPUTED_VALUE"""),87.52)</f>
        <v/>
      </c>
      <c r="S219" s="512">
        <f>IFERROR(__xludf.DUMMYFUNCTION("""COMPUTED_VALUE"""),45449.6666666666)</f>
        <v/>
      </c>
      <c r="T219" s="513">
        <f>IFERROR(__xludf.DUMMYFUNCTION("""COMPUTED_VALUE"""),194.48)</f>
        <v/>
      </c>
      <c r="V219" s="512">
        <f>IFERROR(__xludf.DUMMYFUNCTION("""COMPUTED_VALUE"""),46181.6666666666)</f>
        <v/>
      </c>
      <c r="W219" s="513">
        <f>IFERROR(__xludf.DUMMYFUNCTION("""COMPUTED_VALUE"""),29.47)</f>
        <v/>
      </c>
      <c r="Y219" s="512">
        <f>IFERROR(__xludf.DUMMYFUNCTION("""COMPUTED_VALUE"""),46181.6666666666)</f>
        <v/>
      </c>
      <c r="Z219" s="513">
        <f>IFERROR(__xludf.DUMMYFUNCTION("""COMPUTED_VALUE"""),72.81)</f>
        <v/>
      </c>
      <c r="AB219" s="512">
        <f>IFERROR(__xludf.DUMMYFUNCTION("""COMPUTED_VALUE"""),46181.6666666666)</f>
        <v/>
      </c>
      <c r="AC219" s="513">
        <f>IFERROR(__xludf.DUMMYFUNCTION("""COMPUTED_VALUE"""),58.33)</f>
        <v/>
      </c>
      <c r="AE219" s="512">
        <f>IFERROR(__xludf.DUMMYFUNCTION("""COMPUTED_VALUE"""),46181.6666666666)</f>
        <v/>
      </c>
      <c r="AF219" s="513">
        <f>IFERROR(__xludf.DUMMYFUNCTION("""COMPUTED_VALUE"""),95.28)</f>
        <v/>
      </c>
      <c r="AH219" s="512">
        <f>IFERROR(__xludf.DUMMYFUNCTION("""COMPUTED_VALUE"""),46181.6666666666)</f>
        <v/>
      </c>
      <c r="AI219" s="513">
        <f>IFERROR(__xludf.DUMMYFUNCTION("""COMPUTED_VALUE"""),21.7)</f>
        <v/>
      </c>
      <c r="AK219" s="512">
        <f>IFERROR(__xludf.DUMMYFUNCTION("""COMPUTED_VALUE"""),46181.6666666666)</f>
        <v/>
      </c>
      <c r="AL219" s="513">
        <f>IFERROR(__xludf.DUMMYFUNCTION("""COMPUTED_VALUE"""),79.54)</f>
        <v/>
      </c>
      <c r="AN219" s="512">
        <f>IFERROR(__xludf.DUMMYFUNCTION("""COMPUTED_VALUE"""),46181.6666666666)</f>
        <v/>
      </c>
      <c r="AO219" s="513">
        <f>IFERROR(__xludf.DUMMYFUNCTION("""COMPUTED_VALUE"""),109.13)</f>
        <v/>
      </c>
      <c r="AQ219" s="512">
        <f>IFERROR(__xludf.DUMMYFUNCTION("""COMPUTED_VALUE"""),46181.6666666666)</f>
        <v/>
      </c>
      <c r="AR219" s="513">
        <f>IFERROR(__xludf.DUMMYFUNCTION("""COMPUTED_VALUE"""),102.88)</f>
        <v/>
      </c>
      <c r="AT219" s="512">
        <f>IFERROR(__xludf.DUMMYFUNCTION("""COMPUTED_VALUE"""),46181.6666666666)</f>
        <v/>
      </c>
      <c r="AU219" s="513">
        <f>IFERROR(__xludf.DUMMYFUNCTION("""COMPUTED_VALUE"""),65.75)</f>
        <v/>
      </c>
      <c r="AW219" s="512">
        <f>IFERROR(__xludf.DUMMYFUNCTION("""COMPUTED_VALUE"""),46181.6666666666)</f>
        <v/>
      </c>
      <c r="AX219" s="513">
        <f>IFERROR(__xludf.DUMMYFUNCTION("""COMPUTED_VALUE"""),98.17)</f>
        <v/>
      </c>
      <c r="AZ219" s="512">
        <f>IFERROR(__xludf.DUMMYFUNCTION("""COMPUTED_VALUE"""),46181.6666666666)</f>
        <v/>
      </c>
      <c r="BA219" s="513">
        <f>IFERROR(__xludf.DUMMYFUNCTION("""COMPUTED_VALUE"""),108.06)</f>
        <v/>
      </c>
      <c r="BC219" s="512">
        <f>IFERROR(__xludf.DUMMYFUNCTION("""COMPUTED_VALUE"""),46181.6666666666)</f>
        <v/>
      </c>
      <c r="BD219" s="513">
        <f>IFERROR(__xludf.DUMMYFUNCTION("""COMPUTED_VALUE"""),93.52)</f>
        <v/>
      </c>
      <c r="BF219" s="512">
        <f>IFERROR(__xludf.DUMMYFUNCTION("""COMPUTED_VALUE"""),46181.6666666666)</f>
        <v/>
      </c>
      <c r="BG219" s="513">
        <f>IFERROR(__xludf.DUMMYFUNCTION("""COMPUTED_VALUE"""),81.9)</f>
        <v/>
      </c>
      <c r="BI219" s="512">
        <f>IFERROR(__xludf.DUMMYFUNCTION("""COMPUTED_VALUE"""),46181.6666666666)</f>
        <v/>
      </c>
      <c r="BJ219" s="513">
        <f>IFERROR(__xludf.DUMMYFUNCTION("""COMPUTED_VALUE"""),84.62)</f>
        <v/>
      </c>
      <c r="BL219" s="512">
        <f>IFERROR(__xludf.DUMMYFUNCTION("""COMPUTED_VALUE"""),46181.6666666666)</f>
        <v/>
      </c>
      <c r="BM219" s="513">
        <f>IFERROR(__xludf.DUMMYFUNCTION("""COMPUTED_VALUE"""),397.27)</f>
        <v/>
      </c>
      <c r="BO219" s="512">
        <f>IFERROR(__xludf.DUMMYFUNCTION("""COMPUTED_VALUE"""),46181.6666666666)</f>
        <v/>
      </c>
      <c r="BP219" s="513">
        <f>IFERROR(__xludf.DUMMYFUNCTION("""COMPUTED_VALUE"""),91.46)</f>
        <v/>
      </c>
    </row>
    <row r="220">
      <c r="A220" s="512">
        <f>IFERROR(__xludf.DUMMYFUNCTION("""COMPUTED_VALUE"""),46182.6666666666)</f>
        <v/>
      </c>
      <c r="B220" s="513">
        <f>IFERROR(__xludf.DUMMYFUNCTION("""COMPUTED_VALUE"""),737.05)</f>
        <v/>
      </c>
      <c r="D220" s="512">
        <f>IFERROR(__xludf.DUMMYFUNCTION("""COMPUTED_VALUE"""),46182.6666666666)</f>
        <v/>
      </c>
      <c r="E220" s="513">
        <f>IFERROR(__xludf.DUMMYFUNCTION("""COMPUTED_VALUE"""),97.67)</f>
        <v/>
      </c>
      <c r="G220" s="512" t="n"/>
      <c r="H220" s="513" t="n"/>
      <c r="J220" s="512">
        <f>IFERROR(__xludf.DUMMYFUNCTION("""COMPUTED_VALUE"""),46182.6666666666)</f>
        <v/>
      </c>
      <c r="K220" s="513">
        <f>IFERROR(__xludf.DUMMYFUNCTION("""COMPUTED_VALUE"""),90.95)</f>
        <v/>
      </c>
      <c r="M220" s="512">
        <f>IFERROR(__xludf.DUMMYFUNCTION("""COMPUTED_VALUE"""),46182.6666666666)</f>
        <v/>
      </c>
      <c r="N220" s="513">
        <f>IFERROR(__xludf.DUMMYFUNCTION("""COMPUTED_VALUE"""),285.02)</f>
        <v/>
      </c>
      <c r="P220" s="512">
        <f>IFERROR(__xludf.DUMMYFUNCTION("""COMPUTED_VALUE"""),46182.6666666666)</f>
        <v/>
      </c>
      <c r="Q220" s="513">
        <f>IFERROR(__xludf.DUMMYFUNCTION("""COMPUTED_VALUE"""),87.88)</f>
        <v/>
      </c>
      <c r="S220" s="512">
        <f>IFERROR(__xludf.DUMMYFUNCTION("""COMPUTED_VALUE"""),45450.6666666666)</f>
        <v/>
      </c>
      <c r="T220" s="513">
        <f>IFERROR(__xludf.DUMMYFUNCTION("""COMPUTED_VALUE"""),196.89)</f>
        <v/>
      </c>
      <c r="V220" s="512">
        <f>IFERROR(__xludf.DUMMYFUNCTION("""COMPUTED_VALUE"""),46182.6666666666)</f>
        <v/>
      </c>
      <c r="W220" s="513">
        <f>IFERROR(__xludf.DUMMYFUNCTION("""COMPUTED_VALUE"""),29.07)</f>
        <v/>
      </c>
      <c r="Y220" s="512">
        <f>IFERROR(__xludf.DUMMYFUNCTION("""COMPUTED_VALUE"""),46182.6666666666)</f>
        <v/>
      </c>
      <c r="Z220" s="513">
        <f>IFERROR(__xludf.DUMMYFUNCTION("""COMPUTED_VALUE"""),72.97)</f>
        <v/>
      </c>
      <c r="AB220" s="512">
        <f>IFERROR(__xludf.DUMMYFUNCTION("""COMPUTED_VALUE"""),46182.6666666666)</f>
        <v/>
      </c>
      <c r="AC220" s="513">
        <f>IFERROR(__xludf.DUMMYFUNCTION("""COMPUTED_VALUE"""),58.45)</f>
        <v/>
      </c>
      <c r="AE220" s="512">
        <f>IFERROR(__xludf.DUMMYFUNCTION("""COMPUTED_VALUE"""),46182.6666666666)</f>
        <v/>
      </c>
      <c r="AF220" s="513">
        <f>IFERROR(__xludf.DUMMYFUNCTION("""COMPUTED_VALUE"""),95.67)</f>
        <v/>
      </c>
      <c r="AH220" s="512">
        <f>IFERROR(__xludf.DUMMYFUNCTION("""COMPUTED_VALUE"""),46182.6666666666)</f>
        <v/>
      </c>
      <c r="AI220" s="513">
        <f>IFERROR(__xludf.DUMMYFUNCTION("""COMPUTED_VALUE"""),21.78)</f>
        <v/>
      </c>
      <c r="AK220" s="512">
        <f>IFERROR(__xludf.DUMMYFUNCTION("""COMPUTED_VALUE"""),46182.6666666666)</f>
        <v/>
      </c>
      <c r="AL220" s="513">
        <f>IFERROR(__xludf.DUMMYFUNCTION("""COMPUTED_VALUE"""),79.62)</f>
        <v/>
      </c>
      <c r="AN220" s="512">
        <f>IFERROR(__xludf.DUMMYFUNCTION("""COMPUTED_VALUE"""),46182.6666666666)</f>
        <v/>
      </c>
      <c r="AO220" s="513">
        <f>IFERROR(__xludf.DUMMYFUNCTION("""COMPUTED_VALUE"""),109.32)</f>
        <v/>
      </c>
      <c r="AQ220" s="512">
        <f>IFERROR(__xludf.DUMMYFUNCTION("""COMPUTED_VALUE"""),46182.6666666666)</f>
        <v/>
      </c>
      <c r="AR220" s="513">
        <f>IFERROR(__xludf.DUMMYFUNCTION("""COMPUTED_VALUE"""),102.9)</f>
        <v/>
      </c>
      <c r="AT220" s="512">
        <f>IFERROR(__xludf.DUMMYFUNCTION("""COMPUTED_VALUE"""),46182.6666666666)</f>
        <v/>
      </c>
      <c r="AU220" s="513">
        <f>IFERROR(__xludf.DUMMYFUNCTION("""COMPUTED_VALUE"""),65.82)</f>
        <v/>
      </c>
      <c r="AW220" s="512">
        <f>IFERROR(__xludf.DUMMYFUNCTION("""COMPUTED_VALUE"""),46182.6666666666)</f>
        <v/>
      </c>
      <c r="AX220" s="513">
        <f>IFERROR(__xludf.DUMMYFUNCTION("""COMPUTED_VALUE"""),98.37)</f>
        <v/>
      </c>
      <c r="AZ220" s="512">
        <f>IFERROR(__xludf.DUMMYFUNCTION("""COMPUTED_VALUE"""),46182.6666666666)</f>
        <v/>
      </c>
      <c r="BA220" s="513">
        <f>IFERROR(__xludf.DUMMYFUNCTION("""COMPUTED_VALUE"""),108.41)</f>
        <v/>
      </c>
      <c r="BC220" s="512">
        <f>IFERROR(__xludf.DUMMYFUNCTION("""COMPUTED_VALUE"""),46182.6666666666)</f>
        <v/>
      </c>
      <c r="BD220" s="513">
        <f>IFERROR(__xludf.DUMMYFUNCTION("""COMPUTED_VALUE"""),93.78)</f>
        <v/>
      </c>
      <c r="BF220" s="512">
        <f>IFERROR(__xludf.DUMMYFUNCTION("""COMPUTED_VALUE"""),46182.6666666666)</f>
        <v/>
      </c>
      <c r="BG220" s="513">
        <f>IFERROR(__xludf.DUMMYFUNCTION("""COMPUTED_VALUE"""),81.94)</f>
        <v/>
      </c>
      <c r="BI220" s="512">
        <f>IFERROR(__xludf.DUMMYFUNCTION("""COMPUTED_VALUE"""),46182.6666666666)</f>
        <v/>
      </c>
      <c r="BJ220" s="513">
        <f>IFERROR(__xludf.DUMMYFUNCTION("""COMPUTED_VALUE"""),85.12)</f>
        <v/>
      </c>
      <c r="BL220" s="512">
        <f>IFERROR(__xludf.DUMMYFUNCTION("""COMPUTED_VALUE"""),46182.6666666666)</f>
        <v/>
      </c>
      <c r="BM220" s="513">
        <f>IFERROR(__xludf.DUMMYFUNCTION("""COMPUTED_VALUE"""),390.78)</f>
        <v/>
      </c>
      <c r="BO220" s="512">
        <f>IFERROR(__xludf.DUMMYFUNCTION("""COMPUTED_VALUE"""),46182.6666666666)</f>
        <v/>
      </c>
      <c r="BP220" s="513">
        <f>IFERROR(__xludf.DUMMYFUNCTION("""COMPUTED_VALUE"""),91.46)</f>
        <v/>
      </c>
    </row>
    <row r="221">
      <c r="A221" s="512">
        <f>IFERROR(__xludf.DUMMYFUNCTION("""COMPUTED_VALUE"""),46183.6666666666)</f>
        <v/>
      </c>
      <c r="B221" s="513">
        <f>IFERROR(__xludf.DUMMYFUNCTION("""COMPUTED_VALUE"""),725.43)</f>
        <v/>
      </c>
      <c r="D221" s="512">
        <f>IFERROR(__xludf.DUMMYFUNCTION("""COMPUTED_VALUE"""),46183.6666666666)</f>
        <v/>
      </c>
      <c r="E221" s="513">
        <f>IFERROR(__xludf.DUMMYFUNCTION("""COMPUTED_VALUE"""),97.68)</f>
        <v/>
      </c>
      <c r="G221" s="512" t="n"/>
      <c r="H221" s="513" t="n"/>
      <c r="J221" s="512">
        <f>IFERROR(__xludf.DUMMYFUNCTION("""COMPUTED_VALUE"""),46183.6666666666)</f>
        <v/>
      </c>
      <c r="K221" s="513">
        <f>IFERROR(__xludf.DUMMYFUNCTION("""COMPUTED_VALUE"""),89.29)</f>
        <v/>
      </c>
      <c r="M221" s="512">
        <f>IFERROR(__xludf.DUMMYFUNCTION("""COMPUTED_VALUE"""),46183.6666666666)</f>
        <v/>
      </c>
      <c r="N221" s="513">
        <f>IFERROR(__xludf.DUMMYFUNCTION("""COMPUTED_VALUE"""),282.05)</f>
        <v/>
      </c>
      <c r="P221" s="512">
        <f>IFERROR(__xludf.DUMMYFUNCTION("""COMPUTED_VALUE"""),46183.6666666666)</f>
        <v/>
      </c>
      <c r="Q221" s="513">
        <f>IFERROR(__xludf.DUMMYFUNCTION("""COMPUTED_VALUE"""),86.69)</f>
        <v/>
      </c>
      <c r="S221" s="512">
        <f>IFERROR(__xludf.DUMMYFUNCTION("""COMPUTED_VALUE"""),45453.6666666666)</f>
        <v/>
      </c>
      <c r="T221" s="513">
        <f>IFERROR(__xludf.DUMMYFUNCTION("""COMPUTED_VALUE"""),193.12)</f>
        <v/>
      </c>
      <c r="V221" s="512">
        <f>IFERROR(__xludf.DUMMYFUNCTION("""COMPUTED_VALUE"""),46183.6666666666)</f>
        <v/>
      </c>
      <c r="W221" s="513">
        <f>IFERROR(__xludf.DUMMYFUNCTION("""COMPUTED_VALUE"""),29.17)</f>
        <v/>
      </c>
      <c r="Y221" s="512">
        <f>IFERROR(__xludf.DUMMYFUNCTION("""COMPUTED_VALUE"""),46183.6666666666)</f>
        <v/>
      </c>
      <c r="Z221" s="513">
        <f>IFERROR(__xludf.DUMMYFUNCTION("""COMPUTED_VALUE"""),72.91)</f>
        <v/>
      </c>
      <c r="AB221" s="512">
        <f>IFERROR(__xludf.DUMMYFUNCTION("""COMPUTED_VALUE"""),46183.6666666666)</f>
        <v/>
      </c>
      <c r="AC221" s="513">
        <f>IFERROR(__xludf.DUMMYFUNCTION("""COMPUTED_VALUE"""),57.72)</f>
        <v/>
      </c>
      <c r="AE221" s="512">
        <f>IFERROR(__xludf.DUMMYFUNCTION("""COMPUTED_VALUE"""),46183.6666666666)</f>
        <v/>
      </c>
      <c r="AF221" s="513">
        <f>IFERROR(__xludf.DUMMYFUNCTION("""COMPUTED_VALUE"""),95.35)</f>
        <v/>
      </c>
      <c r="AH221" s="512">
        <f>IFERROR(__xludf.DUMMYFUNCTION("""COMPUTED_VALUE"""),46183.6666666666)</f>
        <v/>
      </c>
      <c r="AI221" s="513">
        <f>IFERROR(__xludf.DUMMYFUNCTION("""COMPUTED_VALUE"""),21.72)</f>
        <v/>
      </c>
      <c r="AK221" s="512">
        <f>IFERROR(__xludf.DUMMYFUNCTION("""COMPUTED_VALUE"""),46183.6666666666)</f>
        <v/>
      </c>
      <c r="AL221" s="513">
        <f>IFERROR(__xludf.DUMMYFUNCTION("""COMPUTED_VALUE"""),79.47)</f>
        <v/>
      </c>
      <c r="AN221" s="512">
        <f>IFERROR(__xludf.DUMMYFUNCTION("""COMPUTED_VALUE"""),46183.6666666666)</f>
        <v/>
      </c>
      <c r="AO221" s="513">
        <f>IFERROR(__xludf.DUMMYFUNCTION("""COMPUTED_VALUE"""),109.21)</f>
        <v/>
      </c>
      <c r="AQ221" s="512">
        <f>IFERROR(__xludf.DUMMYFUNCTION("""COMPUTED_VALUE"""),46183.6666666666)</f>
        <v/>
      </c>
      <c r="AR221" s="513">
        <f>IFERROR(__xludf.DUMMYFUNCTION("""COMPUTED_VALUE"""),101.57)</f>
        <v/>
      </c>
      <c r="AT221" s="512">
        <f>IFERROR(__xludf.DUMMYFUNCTION("""COMPUTED_VALUE"""),46183.6666666666)</f>
        <v/>
      </c>
      <c r="AU221" s="513">
        <f>IFERROR(__xludf.DUMMYFUNCTION("""COMPUTED_VALUE"""),64.66)</f>
        <v/>
      </c>
      <c r="AW221" s="512">
        <f>IFERROR(__xludf.DUMMYFUNCTION("""COMPUTED_VALUE"""),46183.6666666666)</f>
        <v/>
      </c>
      <c r="AX221" s="513">
        <f>IFERROR(__xludf.DUMMYFUNCTION("""COMPUTED_VALUE"""),98.31)</f>
        <v/>
      </c>
      <c r="AZ221" s="512">
        <f>IFERROR(__xludf.DUMMYFUNCTION("""COMPUTED_VALUE"""),46183.6666666666)</f>
        <v/>
      </c>
      <c r="BA221" s="513">
        <f>IFERROR(__xludf.DUMMYFUNCTION("""COMPUTED_VALUE"""),108.16)</f>
        <v/>
      </c>
      <c r="BC221" s="512">
        <f>IFERROR(__xludf.DUMMYFUNCTION("""COMPUTED_VALUE"""),46183.6666666666)</f>
        <v/>
      </c>
      <c r="BD221" s="513">
        <f>IFERROR(__xludf.DUMMYFUNCTION("""COMPUTED_VALUE"""),93.69)</f>
        <v/>
      </c>
      <c r="BF221" s="512">
        <f>IFERROR(__xludf.DUMMYFUNCTION("""COMPUTED_VALUE"""),46183.6666666666)</f>
        <v/>
      </c>
      <c r="BG221" s="513">
        <f>IFERROR(__xludf.DUMMYFUNCTION("""COMPUTED_VALUE"""),81.94)</f>
        <v/>
      </c>
      <c r="BI221" s="512">
        <f>IFERROR(__xludf.DUMMYFUNCTION("""COMPUTED_VALUE"""),46183.6666666666)</f>
        <v/>
      </c>
      <c r="BJ221" s="513">
        <f>IFERROR(__xludf.DUMMYFUNCTION("""COMPUTED_VALUE"""),84.88)</f>
        <v/>
      </c>
      <c r="BL221" s="512">
        <f>IFERROR(__xludf.DUMMYFUNCTION("""COMPUTED_VALUE"""),46183.6666666666)</f>
        <v/>
      </c>
      <c r="BM221" s="513">
        <f>IFERROR(__xludf.DUMMYFUNCTION("""COMPUTED_VALUE"""),374.58)</f>
        <v/>
      </c>
      <c r="BO221" s="512">
        <f>IFERROR(__xludf.DUMMYFUNCTION("""COMPUTED_VALUE"""),46183.6666666666)</f>
        <v/>
      </c>
      <c r="BP221" s="513">
        <f>IFERROR(__xludf.DUMMYFUNCTION("""COMPUTED_VALUE"""),91.47)</f>
        <v/>
      </c>
    </row>
    <row r="222">
      <c r="A222" s="512">
        <f>IFERROR(__xludf.DUMMYFUNCTION("""COMPUTED_VALUE"""),46184.6666666666)</f>
        <v/>
      </c>
      <c r="B222" s="513">
        <f>IFERROR(__xludf.DUMMYFUNCTION("""COMPUTED_VALUE"""),737.76)</f>
        <v/>
      </c>
      <c r="D222" s="512">
        <f>IFERROR(__xludf.DUMMYFUNCTION("""COMPUTED_VALUE"""),46184.6666666666)</f>
        <v/>
      </c>
      <c r="E222" s="513">
        <f>IFERROR(__xludf.DUMMYFUNCTION("""COMPUTED_VALUE"""),97.61)</f>
        <v/>
      </c>
      <c r="G222" s="512" t="n"/>
      <c r="H222" s="513" t="n"/>
      <c r="J222" s="512">
        <f>IFERROR(__xludf.DUMMYFUNCTION("""COMPUTED_VALUE"""),46184.6666666666)</f>
        <v/>
      </c>
      <c r="K222" s="513">
        <f>IFERROR(__xludf.DUMMYFUNCTION("""COMPUTED_VALUE"""),92.18)</f>
        <v/>
      </c>
      <c r="M222" s="512">
        <f>IFERROR(__xludf.DUMMYFUNCTION("""COMPUTED_VALUE"""),46184.6666666666)</f>
        <v/>
      </c>
      <c r="N222" s="513">
        <f>IFERROR(__xludf.DUMMYFUNCTION("""COMPUTED_VALUE"""),290.41)</f>
        <v/>
      </c>
      <c r="P222" s="512">
        <f>IFERROR(__xludf.DUMMYFUNCTION("""COMPUTED_VALUE"""),46184.6666666666)</f>
        <v/>
      </c>
      <c r="Q222" s="513">
        <f>IFERROR(__xludf.DUMMYFUNCTION("""COMPUTED_VALUE"""),89.46)</f>
        <v/>
      </c>
      <c r="S222" s="512">
        <f>IFERROR(__xludf.DUMMYFUNCTION("""COMPUTED_VALUE"""),45454.6666666666)</f>
        <v/>
      </c>
      <c r="T222" s="513">
        <f>IFERROR(__xludf.DUMMYFUNCTION("""COMPUTED_VALUE"""),207.15)</f>
        <v/>
      </c>
      <c r="V222" s="512">
        <f>IFERROR(__xludf.DUMMYFUNCTION("""COMPUTED_VALUE"""),46184.6666666666)</f>
        <v/>
      </c>
      <c r="W222" s="513">
        <f>IFERROR(__xludf.DUMMYFUNCTION("""COMPUTED_VALUE"""),28.85)</f>
        <v/>
      </c>
      <c r="Y222" s="512">
        <f>IFERROR(__xludf.DUMMYFUNCTION("""COMPUTED_VALUE"""),46184.6666666666)</f>
        <v/>
      </c>
      <c r="Z222" s="513">
        <f>IFERROR(__xludf.DUMMYFUNCTION("""COMPUTED_VALUE"""),73.33)</f>
        <v/>
      </c>
      <c r="AB222" s="512">
        <f>IFERROR(__xludf.DUMMYFUNCTION("""COMPUTED_VALUE"""),46184.6666666666)</f>
        <v/>
      </c>
      <c r="AC222" s="513">
        <f>IFERROR(__xludf.DUMMYFUNCTION("""COMPUTED_VALUE"""),59.1)</f>
        <v/>
      </c>
      <c r="AE222" s="512">
        <f>IFERROR(__xludf.DUMMYFUNCTION("""COMPUTED_VALUE"""),46184.6666666666)</f>
        <v/>
      </c>
      <c r="AF222" s="513">
        <f>IFERROR(__xludf.DUMMYFUNCTION("""COMPUTED_VALUE"""),96.27)</f>
        <v/>
      </c>
      <c r="AH222" s="512">
        <f>IFERROR(__xludf.DUMMYFUNCTION("""COMPUTED_VALUE"""),46184.6666666666)</f>
        <v/>
      </c>
      <c r="AI222" s="513">
        <f>IFERROR(__xludf.DUMMYFUNCTION("""COMPUTED_VALUE"""),21.94)</f>
        <v/>
      </c>
      <c r="AK222" s="512">
        <f>IFERROR(__xludf.DUMMYFUNCTION("""COMPUTED_VALUE"""),46184.6666666666)</f>
        <v/>
      </c>
      <c r="AL222" s="513">
        <f>IFERROR(__xludf.DUMMYFUNCTION("""COMPUTED_VALUE"""),79.94)</f>
        <v/>
      </c>
      <c r="AN222" s="512">
        <f>IFERROR(__xludf.DUMMYFUNCTION("""COMPUTED_VALUE"""),46184.6666666666)</f>
        <v/>
      </c>
      <c r="AO222" s="513">
        <f>IFERROR(__xludf.DUMMYFUNCTION("""COMPUTED_VALUE"""),109.6)</f>
        <v/>
      </c>
      <c r="AQ222" s="512">
        <f>IFERROR(__xludf.DUMMYFUNCTION("""COMPUTED_VALUE"""),46184.6666666666)</f>
        <v/>
      </c>
      <c r="AR222" s="513">
        <f>IFERROR(__xludf.DUMMYFUNCTION("""COMPUTED_VALUE"""),104.73)</f>
        <v/>
      </c>
      <c r="AT222" s="512">
        <f>IFERROR(__xludf.DUMMYFUNCTION("""COMPUTED_VALUE"""),46184.6666666666)</f>
        <v/>
      </c>
      <c r="AU222" s="513">
        <f>IFERROR(__xludf.DUMMYFUNCTION("""COMPUTED_VALUE"""),67.5)</f>
        <v/>
      </c>
      <c r="AW222" s="512">
        <f>IFERROR(__xludf.DUMMYFUNCTION("""COMPUTED_VALUE"""),46184.6666666666)</f>
        <v/>
      </c>
      <c r="AX222" s="513">
        <f>IFERROR(__xludf.DUMMYFUNCTION("""COMPUTED_VALUE"""),98.88)</f>
        <v/>
      </c>
      <c r="AZ222" s="512">
        <f>IFERROR(__xludf.DUMMYFUNCTION("""COMPUTED_VALUE"""),46184.6666666666)</f>
        <v/>
      </c>
      <c r="BA222" s="513">
        <f>IFERROR(__xludf.DUMMYFUNCTION("""COMPUTED_VALUE"""),109.08)</f>
        <v/>
      </c>
      <c r="BC222" s="512">
        <f>IFERROR(__xludf.DUMMYFUNCTION("""COMPUTED_VALUE"""),46184.6666666666)</f>
        <v/>
      </c>
      <c r="BD222" s="513">
        <f>IFERROR(__xludf.DUMMYFUNCTION("""COMPUTED_VALUE"""),94.34)</f>
        <v/>
      </c>
      <c r="BF222" s="512">
        <f>IFERROR(__xludf.DUMMYFUNCTION("""COMPUTED_VALUE"""),46184.6666666666)</f>
        <v/>
      </c>
      <c r="BG222" s="513">
        <f>IFERROR(__xludf.DUMMYFUNCTION("""COMPUTED_VALUE"""),82.09)</f>
        <v/>
      </c>
      <c r="BI222" s="512">
        <f>IFERROR(__xludf.DUMMYFUNCTION("""COMPUTED_VALUE"""),46184.6666666666)</f>
        <v/>
      </c>
      <c r="BJ222" s="513">
        <f>IFERROR(__xludf.DUMMYFUNCTION("""COMPUTED_VALUE"""),85.98)</f>
        <v/>
      </c>
      <c r="BL222" s="512">
        <f>IFERROR(__xludf.DUMMYFUNCTION("""COMPUTED_VALUE"""),46184.6666666666)</f>
        <v/>
      </c>
      <c r="BM222" s="513">
        <f>IFERROR(__xludf.DUMMYFUNCTION("""COMPUTED_VALUE"""),386.32)</f>
        <v/>
      </c>
      <c r="BO222" s="512">
        <f>IFERROR(__xludf.DUMMYFUNCTION("""COMPUTED_VALUE"""),46184.6666666666)</f>
        <v/>
      </c>
      <c r="BP222" s="513">
        <f>IFERROR(__xludf.DUMMYFUNCTION("""COMPUTED_VALUE"""),91.48)</f>
        <v/>
      </c>
    </row>
    <row r="223">
      <c r="A223" s="512">
        <f>IFERROR(__xludf.DUMMYFUNCTION("""COMPUTED_VALUE"""),46185.6666666666)</f>
        <v/>
      </c>
      <c r="B223" s="513">
        <f>IFERROR(__xludf.DUMMYFUNCTION("""COMPUTED_VALUE"""),741.75)</f>
        <v/>
      </c>
      <c r="D223" s="512">
        <f>IFERROR(__xludf.DUMMYFUNCTION("""COMPUTED_VALUE"""),46185.6666666666)</f>
        <v/>
      </c>
      <c r="E223" s="513">
        <f>IFERROR(__xludf.DUMMYFUNCTION("""COMPUTED_VALUE"""),98.51)</f>
        <v/>
      </c>
      <c r="G223" s="512" t="n"/>
      <c r="H223" s="513" t="n"/>
      <c r="J223" s="512">
        <f>IFERROR(__xludf.DUMMYFUNCTION("""COMPUTED_VALUE"""),46185.6666666666)</f>
        <v/>
      </c>
      <c r="K223" s="513">
        <f>IFERROR(__xludf.DUMMYFUNCTION("""COMPUTED_VALUE"""),92.71)</f>
        <v/>
      </c>
      <c r="M223" s="512">
        <f>IFERROR(__xludf.DUMMYFUNCTION("""COMPUTED_VALUE"""),46185.6666666666)</f>
        <v/>
      </c>
      <c r="N223" s="513">
        <f>IFERROR(__xludf.DUMMYFUNCTION("""COMPUTED_VALUE"""),292.95)</f>
        <v/>
      </c>
      <c r="P223" s="512">
        <f>IFERROR(__xludf.DUMMYFUNCTION("""COMPUTED_VALUE"""),46185.6666666666)</f>
        <v/>
      </c>
      <c r="Q223" s="513">
        <f>IFERROR(__xludf.DUMMYFUNCTION("""COMPUTED_VALUE"""),89.62)</f>
        <v/>
      </c>
      <c r="S223" s="512">
        <f>IFERROR(__xludf.DUMMYFUNCTION("""COMPUTED_VALUE"""),45455.6666666666)</f>
        <v/>
      </c>
      <c r="T223" s="513">
        <f>IFERROR(__xludf.DUMMYFUNCTION("""COMPUTED_VALUE"""),213.07)</f>
        <v/>
      </c>
      <c r="V223" s="512">
        <f>IFERROR(__xludf.DUMMYFUNCTION("""COMPUTED_VALUE"""),46185.6666666666)</f>
        <v/>
      </c>
      <c r="W223" s="513">
        <f>IFERROR(__xludf.DUMMYFUNCTION("""COMPUTED_VALUE"""),28.55)</f>
        <v/>
      </c>
      <c r="Y223" s="512">
        <f>IFERROR(__xludf.DUMMYFUNCTION("""COMPUTED_VALUE"""),46185.6666666666)</f>
        <v/>
      </c>
      <c r="Z223" s="513">
        <f>IFERROR(__xludf.DUMMYFUNCTION("""COMPUTED_VALUE"""),73.24)</f>
        <v/>
      </c>
      <c r="AB223" s="512">
        <f>IFERROR(__xludf.DUMMYFUNCTION("""COMPUTED_VALUE"""),46185.6666666666)</f>
        <v/>
      </c>
      <c r="AC223" s="513">
        <f>IFERROR(__xludf.DUMMYFUNCTION("""COMPUTED_VALUE"""),59.55)</f>
        <v/>
      </c>
      <c r="AE223" s="512">
        <f>IFERROR(__xludf.DUMMYFUNCTION("""COMPUTED_VALUE"""),46185.6666666666)</f>
        <v/>
      </c>
      <c r="AF223" s="513">
        <f>IFERROR(__xludf.DUMMYFUNCTION("""COMPUTED_VALUE"""),96.36)</f>
        <v/>
      </c>
      <c r="AH223" s="512">
        <f>IFERROR(__xludf.DUMMYFUNCTION("""COMPUTED_VALUE"""),46185.6666666666)</f>
        <v/>
      </c>
      <c r="AI223" s="513">
        <f>IFERROR(__xludf.DUMMYFUNCTION("""COMPUTED_VALUE"""),21.94)</f>
        <v/>
      </c>
      <c r="AK223" s="512">
        <f>IFERROR(__xludf.DUMMYFUNCTION("""COMPUTED_VALUE"""),46185.6666666666)</f>
        <v/>
      </c>
      <c r="AL223" s="513">
        <f>IFERROR(__xludf.DUMMYFUNCTION("""COMPUTED_VALUE"""),79.94)</f>
        <v/>
      </c>
      <c r="AN223" s="512">
        <f>IFERROR(__xludf.DUMMYFUNCTION("""COMPUTED_VALUE"""),46185.6666666666)</f>
        <v/>
      </c>
      <c r="AO223" s="513">
        <f>IFERROR(__xludf.DUMMYFUNCTION("""COMPUTED_VALUE"""),109.61)</f>
        <v/>
      </c>
      <c r="AQ223" s="512">
        <f>IFERROR(__xludf.DUMMYFUNCTION("""COMPUTED_VALUE"""),46185.6666666666)</f>
        <v/>
      </c>
      <c r="AR223" s="513">
        <f>IFERROR(__xludf.DUMMYFUNCTION("""COMPUTED_VALUE"""),105.02)</f>
        <v/>
      </c>
      <c r="AT223" s="512">
        <f>IFERROR(__xludf.DUMMYFUNCTION("""COMPUTED_VALUE"""),46185.6666666666)</f>
        <v/>
      </c>
      <c r="AU223" s="513">
        <f>IFERROR(__xludf.DUMMYFUNCTION("""COMPUTED_VALUE"""),67.88)</f>
        <v/>
      </c>
      <c r="AW223" s="512">
        <f>IFERROR(__xludf.DUMMYFUNCTION("""COMPUTED_VALUE"""),46185.6666666666)</f>
        <v/>
      </c>
      <c r="AX223" s="513">
        <f>IFERROR(__xludf.DUMMYFUNCTION("""COMPUTED_VALUE"""),98.76)</f>
        <v/>
      </c>
      <c r="AZ223" s="512">
        <f>IFERROR(__xludf.DUMMYFUNCTION("""COMPUTED_VALUE"""),46185.6666666666)</f>
        <v/>
      </c>
      <c r="BA223" s="513">
        <f>IFERROR(__xludf.DUMMYFUNCTION("""COMPUTED_VALUE"""),109.01)</f>
        <v/>
      </c>
      <c r="BC223" s="512">
        <f>IFERROR(__xludf.DUMMYFUNCTION("""COMPUTED_VALUE"""),46185.6666666666)</f>
        <v/>
      </c>
      <c r="BD223" s="513">
        <f>IFERROR(__xludf.DUMMYFUNCTION("""COMPUTED_VALUE"""),94.18)</f>
        <v/>
      </c>
      <c r="BF223" s="512">
        <f>IFERROR(__xludf.DUMMYFUNCTION("""COMPUTED_VALUE"""),46185.6666666666)</f>
        <v/>
      </c>
      <c r="BG223" s="513">
        <f>IFERROR(__xludf.DUMMYFUNCTION("""COMPUTED_VALUE"""),82.07)</f>
        <v/>
      </c>
      <c r="BI223" s="512">
        <f>IFERROR(__xludf.DUMMYFUNCTION("""COMPUTED_VALUE"""),46185.6666666666)</f>
        <v/>
      </c>
      <c r="BJ223" s="513">
        <f>IFERROR(__xludf.DUMMYFUNCTION("""COMPUTED_VALUE"""),85.77)</f>
        <v/>
      </c>
      <c r="BL223" s="512">
        <f>IFERROR(__xludf.DUMMYFUNCTION("""COMPUTED_VALUE"""),46185.6666666666)</f>
        <v/>
      </c>
      <c r="BM223" s="513">
        <f>IFERROR(__xludf.DUMMYFUNCTION("""COMPUTED_VALUE"""),386.54)</f>
        <v/>
      </c>
      <c r="BO223" s="512">
        <f>IFERROR(__xludf.DUMMYFUNCTION("""COMPUTED_VALUE"""),46185.6666666666)</f>
        <v/>
      </c>
      <c r="BP223" s="513">
        <f>IFERROR(__xludf.DUMMYFUNCTION("""COMPUTED_VALUE"""),91.51)</f>
        <v/>
      </c>
    </row>
    <row r="224">
      <c r="A224" s="512">
        <f>IFERROR(__xludf.DUMMYFUNCTION("""COMPUTED_VALUE"""),46188.6666666666)</f>
        <v/>
      </c>
      <c r="B224" s="513">
        <f>IFERROR(__xludf.DUMMYFUNCTION("""COMPUTED_VALUE"""),754.83)</f>
        <v/>
      </c>
      <c r="D224" s="512">
        <f>IFERROR(__xludf.DUMMYFUNCTION("""COMPUTED_VALUE"""),46188.6666666666)</f>
        <v/>
      </c>
      <c r="E224" s="513">
        <f>IFERROR(__xludf.DUMMYFUNCTION("""COMPUTED_VALUE"""),97.82)</f>
        <v/>
      </c>
      <c r="G224" s="512" t="n"/>
      <c r="H224" s="513" t="n"/>
      <c r="J224" s="512">
        <f>IFERROR(__xludf.DUMMYFUNCTION("""COMPUTED_VALUE"""),46188.6666666666)</f>
        <v/>
      </c>
      <c r="K224" s="513">
        <f>IFERROR(__xludf.DUMMYFUNCTION("""COMPUTED_VALUE"""),94.06)</f>
        <v/>
      </c>
      <c r="M224" s="512">
        <f>IFERROR(__xludf.DUMMYFUNCTION("""COMPUTED_VALUE"""),46188.6666666666)</f>
        <v/>
      </c>
      <c r="N224" s="513">
        <f>IFERROR(__xludf.DUMMYFUNCTION("""COMPUTED_VALUE"""),294.64)</f>
        <v/>
      </c>
      <c r="P224" s="512">
        <f>IFERROR(__xludf.DUMMYFUNCTION("""COMPUTED_VALUE"""),46188.6666666666)</f>
        <v/>
      </c>
      <c r="Q224" s="513">
        <f>IFERROR(__xludf.DUMMYFUNCTION("""COMPUTED_VALUE"""),89.87)</f>
        <v/>
      </c>
      <c r="S224" s="512">
        <f>IFERROR(__xludf.DUMMYFUNCTION("""COMPUTED_VALUE"""),45456.6666666666)</f>
        <v/>
      </c>
      <c r="T224" s="513">
        <f>IFERROR(__xludf.DUMMYFUNCTION("""COMPUTED_VALUE"""),214.24)</f>
        <v/>
      </c>
      <c r="V224" s="512">
        <f>IFERROR(__xludf.DUMMYFUNCTION("""COMPUTED_VALUE"""),46188.6666666666)</f>
        <v/>
      </c>
      <c r="W224" s="513">
        <f>IFERROR(__xludf.DUMMYFUNCTION("""COMPUTED_VALUE"""),28.22)</f>
        <v/>
      </c>
      <c r="Y224" s="512">
        <f>IFERROR(__xludf.DUMMYFUNCTION("""COMPUTED_VALUE"""),46188.6666666666)</f>
        <v/>
      </c>
      <c r="Z224" s="513">
        <f>IFERROR(__xludf.DUMMYFUNCTION("""COMPUTED_VALUE"""),73.3)</f>
        <v/>
      </c>
      <c r="AB224" s="512">
        <f>IFERROR(__xludf.DUMMYFUNCTION("""COMPUTED_VALUE"""),46188.6666666666)</f>
        <v/>
      </c>
      <c r="AC224" s="513">
        <f>IFERROR(__xludf.DUMMYFUNCTION("""COMPUTED_VALUE"""),60.84)</f>
        <v/>
      </c>
      <c r="AE224" s="512">
        <f>IFERROR(__xludf.DUMMYFUNCTION("""COMPUTED_VALUE"""),46188.6666666666)</f>
        <v/>
      </c>
      <c r="AF224" s="513">
        <f>IFERROR(__xludf.DUMMYFUNCTION("""COMPUTED_VALUE"""),96.71)</f>
        <v/>
      </c>
      <c r="AH224" s="512">
        <f>IFERROR(__xludf.DUMMYFUNCTION("""COMPUTED_VALUE"""),46188.6666666666)</f>
        <v/>
      </c>
      <c r="AI224" s="513">
        <f>IFERROR(__xludf.DUMMYFUNCTION("""COMPUTED_VALUE"""),22)</f>
        <v/>
      </c>
      <c r="AK224" s="512">
        <f>IFERROR(__xludf.DUMMYFUNCTION("""COMPUTED_VALUE"""),46188.6666666666)</f>
        <v/>
      </c>
      <c r="AL224" s="513">
        <f>IFERROR(__xludf.DUMMYFUNCTION("""COMPUTED_VALUE"""),80.04)</f>
        <v/>
      </c>
      <c r="AN224" s="512">
        <f>IFERROR(__xludf.DUMMYFUNCTION("""COMPUTED_VALUE"""),46188.6666666666)</f>
        <v/>
      </c>
      <c r="AO224" s="513">
        <f>IFERROR(__xludf.DUMMYFUNCTION("""COMPUTED_VALUE"""),109.76)</f>
        <v/>
      </c>
      <c r="AQ224" s="512">
        <f>IFERROR(__xludf.DUMMYFUNCTION("""COMPUTED_VALUE"""),46188.6666666666)</f>
        <v/>
      </c>
      <c r="AR224" s="513">
        <f>IFERROR(__xludf.DUMMYFUNCTION("""COMPUTED_VALUE"""),104.08)</f>
        <v/>
      </c>
      <c r="AT224" s="512">
        <f>IFERROR(__xludf.DUMMYFUNCTION("""COMPUTED_VALUE"""),46188.6666666666)</f>
        <v/>
      </c>
      <c r="AU224" s="513">
        <f>IFERROR(__xludf.DUMMYFUNCTION("""COMPUTED_VALUE"""),69.75)</f>
        <v/>
      </c>
      <c r="AW224" s="512">
        <f>IFERROR(__xludf.DUMMYFUNCTION("""COMPUTED_VALUE"""),46188.6666666666)</f>
        <v/>
      </c>
      <c r="AX224" s="513">
        <f>IFERROR(__xludf.DUMMYFUNCTION("""COMPUTED_VALUE"""),98.85)</f>
        <v/>
      </c>
      <c r="AZ224" s="512">
        <f>IFERROR(__xludf.DUMMYFUNCTION("""COMPUTED_VALUE"""),46188.6666666666)</f>
        <v/>
      </c>
      <c r="BA224" s="513">
        <f>IFERROR(__xludf.DUMMYFUNCTION("""COMPUTED_VALUE"""),108.99)</f>
        <v/>
      </c>
      <c r="BC224" s="512">
        <f>IFERROR(__xludf.DUMMYFUNCTION("""COMPUTED_VALUE"""),46188.6666666666)</f>
        <v/>
      </c>
      <c r="BD224" s="513">
        <f>IFERROR(__xludf.DUMMYFUNCTION("""COMPUTED_VALUE"""),94.28)</f>
        <v/>
      </c>
      <c r="BF224" s="512">
        <f>IFERROR(__xludf.DUMMYFUNCTION("""COMPUTED_VALUE"""),46188.6666666666)</f>
        <v/>
      </c>
      <c r="BG224" s="513">
        <f>IFERROR(__xludf.DUMMYFUNCTION("""COMPUTED_VALUE"""),82.11)</f>
        <v/>
      </c>
      <c r="BI224" s="512">
        <f>IFERROR(__xludf.DUMMYFUNCTION("""COMPUTED_VALUE"""),46188.6666666666)</f>
        <v/>
      </c>
      <c r="BJ224" s="513">
        <f>IFERROR(__xludf.DUMMYFUNCTION("""COMPUTED_VALUE"""),85.72)</f>
        <v/>
      </c>
      <c r="BL224" s="512">
        <f>IFERROR(__xludf.DUMMYFUNCTION("""COMPUTED_VALUE"""),46188.6666666666)</f>
        <v/>
      </c>
      <c r="BM224" s="513">
        <f>IFERROR(__xludf.DUMMYFUNCTION("""COMPUTED_VALUE"""),396.55)</f>
        <v/>
      </c>
      <c r="BO224" s="512">
        <f>IFERROR(__xludf.DUMMYFUNCTION("""COMPUTED_VALUE"""),46188.6666666666)</f>
        <v/>
      </c>
      <c r="BP224" s="513">
        <f>IFERROR(__xludf.DUMMYFUNCTION("""COMPUTED_VALUE"""),91.51)</f>
        <v/>
      </c>
    </row>
    <row r="225">
      <c r="A225" s="512">
        <f>IFERROR(__xludf.DUMMYFUNCTION("""COMPUTED_VALUE"""),46189.6666666666)</f>
        <v/>
      </c>
      <c r="B225" s="513">
        <f>IFERROR(__xludf.DUMMYFUNCTION("""COMPUTED_VALUE"""),750.33)</f>
        <v/>
      </c>
      <c r="D225" s="512">
        <f>IFERROR(__xludf.DUMMYFUNCTION("""COMPUTED_VALUE"""),46189.6666666666)</f>
        <v/>
      </c>
      <c r="E225" s="513">
        <f>IFERROR(__xludf.DUMMYFUNCTION("""COMPUTED_VALUE"""),98.06)</f>
        <v/>
      </c>
      <c r="G225" s="512" t="n"/>
      <c r="H225" s="513" t="n"/>
      <c r="J225" s="512">
        <f>IFERROR(__xludf.DUMMYFUNCTION("""COMPUTED_VALUE"""),46189.6666666666)</f>
        <v/>
      </c>
      <c r="K225" s="513">
        <f>IFERROR(__xludf.DUMMYFUNCTION("""COMPUTED_VALUE"""),94.12)</f>
        <v/>
      </c>
      <c r="M225" s="512">
        <f>IFERROR(__xludf.DUMMYFUNCTION("""COMPUTED_VALUE"""),46189.6666666666)</f>
        <v/>
      </c>
      <c r="N225" s="513">
        <f>IFERROR(__xludf.DUMMYFUNCTION("""COMPUTED_VALUE"""),292.08)</f>
        <v/>
      </c>
      <c r="P225" s="512">
        <f>IFERROR(__xludf.DUMMYFUNCTION("""COMPUTED_VALUE"""),46189.6666666666)</f>
        <v/>
      </c>
      <c r="Q225" s="513">
        <f>IFERROR(__xludf.DUMMYFUNCTION("""COMPUTED_VALUE"""),90.01)</f>
        <v/>
      </c>
      <c r="S225" s="512">
        <f>IFERROR(__xludf.DUMMYFUNCTION("""COMPUTED_VALUE"""),45457.6666666666)</f>
        <v/>
      </c>
      <c r="T225" s="513">
        <f>IFERROR(__xludf.DUMMYFUNCTION("""COMPUTED_VALUE"""),212.49)</f>
        <v/>
      </c>
      <c r="V225" s="512">
        <f>IFERROR(__xludf.DUMMYFUNCTION("""COMPUTED_VALUE"""),46189.6666666666)</f>
        <v/>
      </c>
      <c r="W225" s="513">
        <f>IFERROR(__xludf.DUMMYFUNCTION("""COMPUTED_VALUE"""),27.9)</f>
        <v/>
      </c>
      <c r="Y225" s="512">
        <f>IFERROR(__xludf.DUMMYFUNCTION("""COMPUTED_VALUE"""),46189.6666666666)</f>
        <v/>
      </c>
      <c r="Z225" s="513">
        <f>IFERROR(__xludf.DUMMYFUNCTION("""COMPUTED_VALUE"""),73.41)</f>
        <v/>
      </c>
      <c r="AB225" s="512">
        <f>IFERROR(__xludf.DUMMYFUNCTION("""COMPUTED_VALUE"""),46189.6666666666)</f>
        <v/>
      </c>
      <c r="AC225" s="513">
        <f>IFERROR(__xludf.DUMMYFUNCTION("""COMPUTED_VALUE"""),60.16)</f>
        <v/>
      </c>
      <c r="AE225" s="512">
        <f>IFERROR(__xludf.DUMMYFUNCTION("""COMPUTED_VALUE"""),46189.6666666666)</f>
        <v/>
      </c>
      <c r="AF225" s="513">
        <f>IFERROR(__xludf.DUMMYFUNCTION("""COMPUTED_VALUE"""),96.67)</f>
        <v/>
      </c>
      <c r="AH225" s="512">
        <f>IFERROR(__xludf.DUMMYFUNCTION("""COMPUTED_VALUE"""),46189.6666666666)</f>
        <v/>
      </c>
      <c r="AI225" s="513">
        <f>IFERROR(__xludf.DUMMYFUNCTION("""COMPUTED_VALUE"""),22.06)</f>
        <v/>
      </c>
      <c r="AK225" s="512">
        <f>IFERROR(__xludf.DUMMYFUNCTION("""COMPUTED_VALUE"""),46189.6666666666)</f>
        <v/>
      </c>
      <c r="AL225" s="513">
        <f>IFERROR(__xludf.DUMMYFUNCTION("""COMPUTED_VALUE"""),80.03)</f>
        <v/>
      </c>
      <c r="AN225" s="512">
        <f>IFERROR(__xludf.DUMMYFUNCTION("""COMPUTED_VALUE"""),46189.6666666666)</f>
        <v/>
      </c>
      <c r="AO225" s="513">
        <f>IFERROR(__xludf.DUMMYFUNCTION("""COMPUTED_VALUE"""),109.76)</f>
        <v/>
      </c>
      <c r="AQ225" s="512">
        <f>IFERROR(__xludf.DUMMYFUNCTION("""COMPUTED_VALUE"""),46189.6666666666)</f>
        <v/>
      </c>
      <c r="AR225" s="513">
        <f>IFERROR(__xludf.DUMMYFUNCTION("""COMPUTED_VALUE"""),104.31)</f>
        <v/>
      </c>
      <c r="AT225" s="512">
        <f>IFERROR(__xludf.DUMMYFUNCTION("""COMPUTED_VALUE"""),46189.6666666666)</f>
        <v/>
      </c>
      <c r="AU225" s="513">
        <f>IFERROR(__xludf.DUMMYFUNCTION("""COMPUTED_VALUE"""),68.64)</f>
        <v/>
      </c>
      <c r="AW225" s="512">
        <f>IFERROR(__xludf.DUMMYFUNCTION("""COMPUTED_VALUE"""),46189.6666666666)</f>
        <v/>
      </c>
      <c r="AX225" s="513">
        <f>IFERROR(__xludf.DUMMYFUNCTION("""COMPUTED_VALUE"""),98.97)</f>
        <v/>
      </c>
      <c r="AZ225" s="512">
        <f>IFERROR(__xludf.DUMMYFUNCTION("""COMPUTED_VALUE"""),46189.6666666666)</f>
        <v/>
      </c>
      <c r="BA225" s="513">
        <f>IFERROR(__xludf.DUMMYFUNCTION("""COMPUTED_VALUE"""),109.12)</f>
        <v/>
      </c>
      <c r="BC225" s="512">
        <f>IFERROR(__xludf.DUMMYFUNCTION("""COMPUTED_VALUE"""),46189.6666666666)</f>
        <v/>
      </c>
      <c r="BD225" s="513">
        <f>IFERROR(__xludf.DUMMYFUNCTION("""COMPUTED_VALUE"""),94.52)</f>
        <v/>
      </c>
      <c r="BF225" s="512">
        <f>IFERROR(__xludf.DUMMYFUNCTION("""COMPUTED_VALUE"""),46189.6666666666)</f>
        <v/>
      </c>
      <c r="BG225" s="513">
        <f>IFERROR(__xludf.DUMMYFUNCTION("""COMPUTED_VALUE"""),82.13)</f>
        <v/>
      </c>
      <c r="BI225" s="512">
        <f>IFERROR(__xludf.DUMMYFUNCTION("""COMPUTED_VALUE"""),46189.6666666666)</f>
        <v/>
      </c>
      <c r="BJ225" s="513">
        <f>IFERROR(__xludf.DUMMYFUNCTION("""COMPUTED_VALUE"""),86.19)</f>
        <v/>
      </c>
      <c r="BL225" s="512">
        <f>IFERROR(__xludf.DUMMYFUNCTION("""COMPUTED_VALUE"""),46189.6666666666)</f>
        <v/>
      </c>
      <c r="BM225" s="513">
        <f>IFERROR(__xludf.DUMMYFUNCTION("""COMPUTED_VALUE"""),397.63)</f>
        <v/>
      </c>
      <c r="BO225" s="512">
        <f>IFERROR(__xludf.DUMMYFUNCTION("""COMPUTED_VALUE"""),46189.6666666666)</f>
        <v/>
      </c>
      <c r="BP225" s="513">
        <f>IFERROR(__xludf.DUMMYFUNCTION("""COMPUTED_VALUE"""),91.52)</f>
        <v/>
      </c>
    </row>
    <row r="226">
      <c r="A226" s="512">
        <f>IFERROR(__xludf.DUMMYFUNCTION("""COMPUTED_VALUE"""),46190.6666666666)</f>
        <v/>
      </c>
      <c r="B226" s="513">
        <f>IFERROR(__xludf.DUMMYFUNCTION("""COMPUTED_VALUE"""),740.96)</f>
        <v/>
      </c>
      <c r="D226" s="512">
        <f>IFERROR(__xludf.DUMMYFUNCTION("""COMPUTED_VALUE"""),46190.6666666666)</f>
        <v/>
      </c>
      <c r="E226" s="513">
        <f>IFERROR(__xludf.DUMMYFUNCTION("""COMPUTED_VALUE"""),95.61)</f>
        <v/>
      </c>
      <c r="G226" s="512" t="n"/>
      <c r="H226" s="513" t="n"/>
      <c r="J226" s="512">
        <f>IFERROR(__xludf.DUMMYFUNCTION("""COMPUTED_VALUE"""),46190.6666666666)</f>
        <v/>
      </c>
      <c r="K226" s="513">
        <f>IFERROR(__xludf.DUMMYFUNCTION("""COMPUTED_VALUE"""),94.45)</f>
        <v/>
      </c>
      <c r="M226" s="512">
        <f>IFERROR(__xludf.DUMMYFUNCTION("""COMPUTED_VALUE"""),46190.6666666666)</f>
        <v/>
      </c>
      <c r="N226" s="513">
        <f>IFERROR(__xludf.DUMMYFUNCTION("""COMPUTED_VALUE"""),289.88)</f>
        <v/>
      </c>
      <c r="P226" s="512">
        <f>IFERROR(__xludf.DUMMYFUNCTION("""COMPUTED_VALUE"""),46190.6666666666)</f>
        <v/>
      </c>
      <c r="Q226" s="513">
        <f>IFERROR(__xludf.DUMMYFUNCTION("""COMPUTED_VALUE"""),89.23)</f>
        <v/>
      </c>
      <c r="S226" s="512">
        <f>IFERROR(__xludf.DUMMYFUNCTION("""COMPUTED_VALUE"""),45460.6666666666)</f>
        <v/>
      </c>
      <c r="T226" s="513">
        <f>IFERROR(__xludf.DUMMYFUNCTION("""COMPUTED_VALUE"""),216.67)</f>
        <v/>
      </c>
      <c r="V226" s="512">
        <f>IFERROR(__xludf.DUMMYFUNCTION("""COMPUTED_VALUE"""),46190.6666666666)</f>
        <v/>
      </c>
      <c r="W226" s="513">
        <f>IFERROR(__xludf.DUMMYFUNCTION("""COMPUTED_VALUE"""),27.71)</f>
        <v/>
      </c>
      <c r="Y226" s="512">
        <f>IFERROR(__xludf.DUMMYFUNCTION("""COMPUTED_VALUE"""),46190.6666666666)</f>
        <v/>
      </c>
      <c r="Z226" s="513">
        <f>IFERROR(__xludf.DUMMYFUNCTION("""COMPUTED_VALUE"""),73.14)</f>
        <v/>
      </c>
      <c r="AB226" s="512">
        <f>IFERROR(__xludf.DUMMYFUNCTION("""COMPUTED_VALUE"""),46190.6666666666)</f>
        <v/>
      </c>
      <c r="AC226" s="513">
        <f>IFERROR(__xludf.DUMMYFUNCTION("""COMPUTED_VALUE"""),59.81)</f>
        <v/>
      </c>
      <c r="AE226" s="512">
        <f>IFERROR(__xludf.DUMMYFUNCTION("""COMPUTED_VALUE"""),46190.6666666666)</f>
        <v/>
      </c>
      <c r="AF226" s="513">
        <f>IFERROR(__xludf.DUMMYFUNCTION("""COMPUTED_VALUE"""),96.28)</f>
        <v/>
      </c>
      <c r="AH226" s="512">
        <f>IFERROR(__xludf.DUMMYFUNCTION("""COMPUTED_VALUE"""),46190.6666666666)</f>
        <v/>
      </c>
      <c r="AI226" s="513">
        <f>IFERROR(__xludf.DUMMYFUNCTION("""COMPUTED_VALUE"""),21.87)</f>
        <v/>
      </c>
      <c r="AK226" s="512">
        <f>IFERROR(__xludf.DUMMYFUNCTION("""COMPUTED_VALUE"""),46190.6666666666)</f>
        <v/>
      </c>
      <c r="AL226" s="513">
        <f>IFERROR(__xludf.DUMMYFUNCTION("""COMPUTED_VALUE"""),79.73)</f>
        <v/>
      </c>
      <c r="AN226" s="512">
        <f>IFERROR(__xludf.DUMMYFUNCTION("""COMPUTED_VALUE"""),46190.6666666666)</f>
        <v/>
      </c>
      <c r="AO226" s="513">
        <f>IFERROR(__xludf.DUMMYFUNCTION("""COMPUTED_VALUE"""),109.03)</f>
        <v/>
      </c>
      <c r="AQ226" s="512">
        <f>IFERROR(__xludf.DUMMYFUNCTION("""COMPUTED_VALUE"""),46190.6666666666)</f>
        <v/>
      </c>
      <c r="AR226" s="513">
        <f>IFERROR(__xludf.DUMMYFUNCTION("""COMPUTED_VALUE"""),103.78)</f>
        <v/>
      </c>
      <c r="AT226" s="512">
        <f>IFERROR(__xludf.DUMMYFUNCTION("""COMPUTED_VALUE"""),46190.6666666666)</f>
        <v/>
      </c>
      <c r="AU226" s="513">
        <f>IFERROR(__xludf.DUMMYFUNCTION("""COMPUTED_VALUE"""),68.56)</f>
        <v/>
      </c>
      <c r="AW226" s="512">
        <f>IFERROR(__xludf.DUMMYFUNCTION("""COMPUTED_VALUE"""),46190.6666666666)</f>
        <v/>
      </c>
      <c r="AX226" s="513">
        <f>IFERROR(__xludf.DUMMYFUNCTION("""COMPUTED_VALUE"""),98.61)</f>
        <v/>
      </c>
      <c r="AZ226" s="512">
        <f>IFERROR(__xludf.DUMMYFUNCTION("""COMPUTED_VALUE"""),46190.6666666666)</f>
        <v/>
      </c>
      <c r="BA226" s="513">
        <f>IFERROR(__xludf.DUMMYFUNCTION("""COMPUTED_VALUE"""),108.77)</f>
        <v/>
      </c>
      <c r="BC226" s="512">
        <f>IFERROR(__xludf.DUMMYFUNCTION("""COMPUTED_VALUE"""),46190.6666666666)</f>
        <v/>
      </c>
      <c r="BD226" s="513">
        <f>IFERROR(__xludf.DUMMYFUNCTION("""COMPUTED_VALUE"""),94.02)</f>
        <v/>
      </c>
      <c r="BF226" s="512">
        <f>IFERROR(__xludf.DUMMYFUNCTION("""COMPUTED_VALUE"""),46190.6666666666)</f>
        <v/>
      </c>
      <c r="BG226" s="513">
        <f>IFERROR(__xludf.DUMMYFUNCTION("""COMPUTED_VALUE"""),81.88)</f>
        <v/>
      </c>
      <c r="BI226" s="512">
        <f>IFERROR(__xludf.DUMMYFUNCTION("""COMPUTED_VALUE"""),46190.6666666666)</f>
        <v/>
      </c>
      <c r="BJ226" s="513">
        <f>IFERROR(__xludf.DUMMYFUNCTION("""COMPUTED_VALUE"""),86.33)</f>
        <v/>
      </c>
      <c r="BL226" s="512">
        <f>IFERROR(__xludf.DUMMYFUNCTION("""COMPUTED_VALUE"""),46190.6666666666)</f>
        <v/>
      </c>
      <c r="BM226" s="513">
        <f>IFERROR(__xludf.DUMMYFUNCTION("""COMPUTED_VALUE"""),388.6)</f>
        <v/>
      </c>
      <c r="BO226" s="512">
        <f>IFERROR(__xludf.DUMMYFUNCTION("""COMPUTED_VALUE"""),46190.6666666666)</f>
        <v/>
      </c>
      <c r="BP226" s="513">
        <f>IFERROR(__xludf.DUMMYFUNCTION("""COMPUTED_VALUE"""),91.53)</f>
        <v/>
      </c>
    </row>
    <row r="227">
      <c r="A227" s="512">
        <f>IFERROR(__xludf.DUMMYFUNCTION("""COMPUTED_VALUE"""),46191.6666666666)</f>
        <v/>
      </c>
      <c r="B227" s="513">
        <f>IFERROR(__xludf.DUMMYFUNCTION("""COMPUTED_VALUE"""),746.74)</f>
        <v/>
      </c>
      <c r="D227" s="512">
        <f>IFERROR(__xludf.DUMMYFUNCTION("""COMPUTED_VALUE"""),46191.6666666666)</f>
        <v/>
      </c>
      <c r="E227" s="513">
        <f>IFERROR(__xludf.DUMMYFUNCTION("""COMPUTED_VALUE"""),95.56)</f>
        <v/>
      </c>
      <c r="G227" s="512" t="n"/>
      <c r="H227" s="513" t="n"/>
      <c r="J227" s="512">
        <f>IFERROR(__xludf.DUMMYFUNCTION("""COMPUTED_VALUE"""),46191.6666666666)</f>
        <v/>
      </c>
      <c r="K227" s="513">
        <f>IFERROR(__xludf.DUMMYFUNCTION("""COMPUTED_VALUE"""),96.26)</f>
        <v/>
      </c>
      <c r="M227" s="512">
        <f>IFERROR(__xludf.DUMMYFUNCTION("""COMPUTED_VALUE"""),46191.6666666666)</f>
        <v/>
      </c>
      <c r="N227" s="513">
        <f>IFERROR(__xludf.DUMMYFUNCTION("""COMPUTED_VALUE"""),295.59)</f>
        <v/>
      </c>
      <c r="P227" s="512">
        <f>IFERROR(__xludf.DUMMYFUNCTION("""COMPUTED_VALUE"""),46191.6666666666)</f>
        <v/>
      </c>
      <c r="Q227" s="513">
        <f>IFERROR(__xludf.DUMMYFUNCTION("""COMPUTED_VALUE"""),88.27)</f>
        <v/>
      </c>
      <c r="S227" s="512">
        <f>IFERROR(__xludf.DUMMYFUNCTION("""COMPUTED_VALUE"""),45461.6666666666)</f>
        <v/>
      </c>
      <c r="T227" s="513">
        <f>IFERROR(__xludf.DUMMYFUNCTION("""COMPUTED_VALUE"""),214.29)</f>
        <v/>
      </c>
      <c r="V227" s="512">
        <f>IFERROR(__xludf.DUMMYFUNCTION("""COMPUTED_VALUE"""),46191.6666666666)</f>
        <v/>
      </c>
      <c r="W227" s="513">
        <f>IFERROR(__xludf.DUMMYFUNCTION("""COMPUTED_VALUE"""),27.63)</f>
        <v/>
      </c>
      <c r="Y227" s="512">
        <f>IFERROR(__xludf.DUMMYFUNCTION("""COMPUTED_VALUE"""),46191.6666666666)</f>
        <v/>
      </c>
      <c r="Z227" s="513">
        <f>IFERROR(__xludf.DUMMYFUNCTION("""COMPUTED_VALUE"""),73.34)</f>
        <v/>
      </c>
      <c r="AB227" s="512">
        <f>IFERROR(__xludf.DUMMYFUNCTION("""COMPUTED_VALUE"""),46191.6666666666)</f>
        <v/>
      </c>
      <c r="AC227" s="513">
        <f>IFERROR(__xludf.DUMMYFUNCTION("""COMPUTED_VALUE"""),60.77)</f>
        <v/>
      </c>
      <c r="AE227" s="512">
        <f>IFERROR(__xludf.DUMMYFUNCTION("""COMPUTED_VALUE"""),46191.6666666666)</f>
        <v/>
      </c>
      <c r="AF227" s="513">
        <f>IFERROR(__xludf.DUMMYFUNCTION("""COMPUTED_VALUE"""),96.73)</f>
        <v/>
      </c>
      <c r="AH227" s="512">
        <f>IFERROR(__xludf.DUMMYFUNCTION("""COMPUTED_VALUE"""),46191.6666666666)</f>
        <v/>
      </c>
      <c r="AI227" s="513">
        <f>IFERROR(__xludf.DUMMYFUNCTION("""COMPUTED_VALUE"""),21.82)</f>
        <v/>
      </c>
      <c r="AK227" s="512">
        <f>IFERROR(__xludf.DUMMYFUNCTION("""COMPUTED_VALUE"""),46191.6666666666)</f>
        <v/>
      </c>
      <c r="AL227" s="513">
        <f>IFERROR(__xludf.DUMMYFUNCTION("""COMPUTED_VALUE"""),80.01)</f>
        <v/>
      </c>
      <c r="AN227" s="512">
        <f>IFERROR(__xludf.DUMMYFUNCTION("""COMPUTED_VALUE"""),46191.6666666666)</f>
        <v/>
      </c>
      <c r="AO227" s="513">
        <f>IFERROR(__xludf.DUMMYFUNCTION("""COMPUTED_VALUE"""),109.39)</f>
        <v/>
      </c>
      <c r="AQ227" s="512">
        <f>IFERROR(__xludf.DUMMYFUNCTION("""COMPUTED_VALUE"""),46191.6666666666)</f>
        <v/>
      </c>
      <c r="AR227" s="513">
        <f>IFERROR(__xludf.DUMMYFUNCTION("""COMPUTED_VALUE"""),104.41)</f>
        <v/>
      </c>
      <c r="AT227" s="512">
        <f>IFERROR(__xludf.DUMMYFUNCTION("""COMPUTED_VALUE"""),46191.6666666666)</f>
        <v/>
      </c>
      <c r="AU227" s="513">
        <f>IFERROR(__xludf.DUMMYFUNCTION("""COMPUTED_VALUE"""),70.79)</f>
        <v/>
      </c>
      <c r="AW227" s="512">
        <f>IFERROR(__xludf.DUMMYFUNCTION("""COMPUTED_VALUE"""),46191.6666666666)</f>
        <v/>
      </c>
      <c r="AX227" s="513">
        <f>IFERROR(__xludf.DUMMYFUNCTION("""COMPUTED_VALUE"""),98.9)</f>
        <v/>
      </c>
      <c r="AZ227" s="512">
        <f>IFERROR(__xludf.DUMMYFUNCTION("""COMPUTED_VALUE"""),46191.6666666666)</f>
        <v/>
      </c>
      <c r="BA227" s="513">
        <f>IFERROR(__xludf.DUMMYFUNCTION("""COMPUTED_VALUE"""),109.07)</f>
        <v/>
      </c>
      <c r="BC227" s="512">
        <f>IFERROR(__xludf.DUMMYFUNCTION("""COMPUTED_VALUE"""),46191.6666666666)</f>
        <v/>
      </c>
      <c r="BD227" s="513">
        <f>IFERROR(__xludf.DUMMYFUNCTION("""COMPUTED_VALUE"""),94.36)</f>
        <v/>
      </c>
      <c r="BF227" s="512">
        <f>IFERROR(__xludf.DUMMYFUNCTION("""COMPUTED_VALUE"""),46191.6666666666)</f>
        <v/>
      </c>
      <c r="BG227" s="513">
        <f>IFERROR(__xludf.DUMMYFUNCTION("""COMPUTED_VALUE"""),81.99)</f>
        <v/>
      </c>
      <c r="BI227" s="512">
        <f>IFERROR(__xludf.DUMMYFUNCTION("""COMPUTED_VALUE"""),46191.6666666666)</f>
        <v/>
      </c>
      <c r="BJ227" s="513">
        <f>IFERROR(__xludf.DUMMYFUNCTION("""COMPUTED_VALUE"""),86.75)</f>
        <v/>
      </c>
      <c r="BL227" s="512">
        <f>IFERROR(__xludf.DUMMYFUNCTION("""COMPUTED_VALUE"""),46191.6666666666)</f>
        <v/>
      </c>
      <c r="BM227" s="513">
        <f>IFERROR(__xludf.DUMMYFUNCTION("""COMPUTED_VALUE"""),387.12)</f>
        <v/>
      </c>
      <c r="BO227" s="512">
        <f>IFERROR(__xludf.DUMMYFUNCTION("""COMPUTED_VALUE"""),46191.6666666666)</f>
        <v/>
      </c>
      <c r="BP227" s="513">
        <f>IFERROR(__xludf.DUMMYFUNCTION("""COMPUTED_VALUE"""),91.57)</f>
        <v/>
      </c>
    </row>
    <row r="228">
      <c r="A228" s="512">
        <f>IFERROR(__xludf.DUMMYFUNCTION("""COMPUTED_VALUE"""),46195.6666666666)</f>
        <v/>
      </c>
      <c r="B228" s="513">
        <f>IFERROR(__xludf.DUMMYFUNCTION("""COMPUTED_VALUE"""),744.39)</f>
        <v/>
      </c>
      <c r="D228" s="512">
        <f>IFERROR(__xludf.DUMMYFUNCTION("""COMPUTED_VALUE"""),46195.6666666666)</f>
        <v/>
      </c>
      <c r="E228" s="513">
        <f>IFERROR(__xludf.DUMMYFUNCTION("""COMPUTED_VALUE"""),96.59)</f>
        <v/>
      </c>
      <c r="G228" s="512" t="n"/>
      <c r="H228" s="513" t="n"/>
      <c r="J228" s="512">
        <f>IFERROR(__xludf.DUMMYFUNCTION("""COMPUTED_VALUE"""),46195.6666666666)</f>
        <v/>
      </c>
      <c r="K228" s="513">
        <f>IFERROR(__xludf.DUMMYFUNCTION("""COMPUTED_VALUE"""),96.97)</f>
        <v/>
      </c>
      <c r="M228" s="512">
        <f>IFERROR(__xludf.DUMMYFUNCTION("""COMPUTED_VALUE"""),46195.6666666666)</f>
        <v/>
      </c>
      <c r="N228" s="513">
        <f>IFERROR(__xludf.DUMMYFUNCTION("""COMPUTED_VALUE"""),298.18)</f>
        <v/>
      </c>
      <c r="P228" s="512">
        <f>IFERROR(__xludf.DUMMYFUNCTION("""COMPUTED_VALUE"""),46195.6666666666)</f>
        <v/>
      </c>
      <c r="Q228" s="513">
        <f>IFERROR(__xludf.DUMMYFUNCTION("""COMPUTED_VALUE"""),88.25)</f>
        <v/>
      </c>
      <c r="S228" s="512">
        <f>IFERROR(__xludf.DUMMYFUNCTION("""COMPUTED_VALUE"""),45463.6666666666)</f>
        <v/>
      </c>
      <c r="T228" s="513">
        <f>IFERROR(__xludf.DUMMYFUNCTION("""COMPUTED_VALUE"""),209.68)</f>
        <v/>
      </c>
      <c r="V228" s="512">
        <f>IFERROR(__xludf.DUMMYFUNCTION("""COMPUTED_VALUE"""),46195.6666666666)</f>
        <v/>
      </c>
      <c r="W228" s="513">
        <f>IFERROR(__xludf.DUMMYFUNCTION("""COMPUTED_VALUE"""),27.41)</f>
        <v/>
      </c>
      <c r="Y228" s="512">
        <f>IFERROR(__xludf.DUMMYFUNCTION("""COMPUTED_VALUE"""),46195.6666666666)</f>
        <v/>
      </c>
      <c r="Z228" s="513">
        <f>IFERROR(__xludf.DUMMYFUNCTION("""COMPUTED_VALUE"""),73.14)</f>
        <v/>
      </c>
      <c r="AB228" s="512">
        <f>IFERROR(__xludf.DUMMYFUNCTION("""COMPUTED_VALUE"""),46195.6666666666)</f>
        <v/>
      </c>
      <c r="AC228" s="513">
        <f>IFERROR(__xludf.DUMMYFUNCTION("""COMPUTED_VALUE"""),61.24)</f>
        <v/>
      </c>
      <c r="AE228" s="512">
        <f>IFERROR(__xludf.DUMMYFUNCTION("""COMPUTED_VALUE"""),46195.6666666666)</f>
        <v/>
      </c>
      <c r="AF228" s="513">
        <f>IFERROR(__xludf.DUMMYFUNCTION("""COMPUTED_VALUE"""),96.4)</f>
        <v/>
      </c>
      <c r="AH228" s="512">
        <f>IFERROR(__xludf.DUMMYFUNCTION("""COMPUTED_VALUE"""),46195.6666666666)</f>
        <v/>
      </c>
      <c r="AI228" s="513">
        <f>IFERROR(__xludf.DUMMYFUNCTION("""COMPUTED_VALUE"""),21.72)</f>
        <v/>
      </c>
      <c r="AK228" s="512">
        <f>IFERROR(__xludf.DUMMYFUNCTION("""COMPUTED_VALUE"""),46195.6666666666)</f>
        <v/>
      </c>
      <c r="AL228" s="513">
        <f>IFERROR(__xludf.DUMMYFUNCTION("""COMPUTED_VALUE"""),79.94)</f>
        <v/>
      </c>
      <c r="AN228" s="512">
        <f>IFERROR(__xludf.DUMMYFUNCTION("""COMPUTED_VALUE"""),46195.6666666666)</f>
        <v/>
      </c>
      <c r="AO228" s="513">
        <f>IFERROR(__xludf.DUMMYFUNCTION("""COMPUTED_VALUE"""),108.94)</f>
        <v/>
      </c>
      <c r="AQ228" s="512">
        <f>IFERROR(__xludf.DUMMYFUNCTION("""COMPUTED_VALUE"""),46195.6666666666)</f>
        <v/>
      </c>
      <c r="AR228" s="513">
        <f>IFERROR(__xludf.DUMMYFUNCTION("""COMPUTED_VALUE"""),104.58)</f>
        <v/>
      </c>
      <c r="AT228" s="512">
        <f>IFERROR(__xludf.DUMMYFUNCTION("""COMPUTED_VALUE"""),46195.6666666666)</f>
        <v/>
      </c>
      <c r="AU228" s="513">
        <f>IFERROR(__xludf.DUMMYFUNCTION("""COMPUTED_VALUE"""),71.21)</f>
        <v/>
      </c>
      <c r="AW228" s="512">
        <f>IFERROR(__xludf.DUMMYFUNCTION("""COMPUTED_VALUE"""),46195.6666666666)</f>
        <v/>
      </c>
      <c r="AX228" s="513">
        <f>IFERROR(__xludf.DUMMYFUNCTION("""COMPUTED_VALUE"""),98.63)</f>
        <v/>
      </c>
      <c r="AZ228" s="512">
        <f>IFERROR(__xludf.DUMMYFUNCTION("""COMPUTED_VALUE"""),46195.6666666666)</f>
        <v/>
      </c>
      <c r="BA228" s="513">
        <f>IFERROR(__xludf.DUMMYFUNCTION("""COMPUTED_VALUE"""),108.78)</f>
        <v/>
      </c>
      <c r="BC228" s="512">
        <f>IFERROR(__xludf.DUMMYFUNCTION("""COMPUTED_VALUE"""),46195.6666666666)</f>
        <v/>
      </c>
      <c r="BD228" s="513">
        <f>IFERROR(__xludf.DUMMYFUNCTION("""COMPUTED_VALUE"""),94)</f>
        <v/>
      </c>
      <c r="BF228" s="512">
        <f>IFERROR(__xludf.DUMMYFUNCTION("""COMPUTED_VALUE"""),46195.6666666666)</f>
        <v/>
      </c>
      <c r="BG228" s="513">
        <f>IFERROR(__xludf.DUMMYFUNCTION("""COMPUTED_VALUE"""),81.91)</f>
        <v/>
      </c>
      <c r="BI228" s="512">
        <f>IFERROR(__xludf.DUMMYFUNCTION("""COMPUTED_VALUE"""),46195.6666666666)</f>
        <v/>
      </c>
      <c r="BJ228" s="513">
        <f>IFERROR(__xludf.DUMMYFUNCTION("""COMPUTED_VALUE"""),86.09)</f>
        <v/>
      </c>
      <c r="BL228" s="512">
        <f>IFERROR(__xludf.DUMMYFUNCTION("""COMPUTED_VALUE"""),46195.6666666666)</f>
        <v/>
      </c>
      <c r="BM228" s="513">
        <f>IFERROR(__xludf.DUMMYFUNCTION("""COMPUTED_VALUE"""),384.59)</f>
        <v/>
      </c>
      <c r="BO228" s="512">
        <f>IFERROR(__xludf.DUMMYFUNCTION("""COMPUTED_VALUE"""),46195.6666666666)</f>
        <v/>
      </c>
      <c r="BP228" s="513">
        <f>IFERROR(__xludf.DUMMYFUNCTION("""COMPUTED_VALUE"""),91.57)</f>
        <v/>
      </c>
    </row>
    <row r="229">
      <c r="A229" s="512">
        <f>IFERROR(__xludf.DUMMYFUNCTION("""COMPUTED_VALUE"""),46196.6666666666)</f>
        <v/>
      </c>
      <c r="B229" s="513">
        <f>IFERROR(__xludf.DUMMYFUNCTION("""COMPUTED_VALUE"""),733.58)</f>
        <v/>
      </c>
      <c r="D229" s="512">
        <f>IFERROR(__xludf.DUMMYFUNCTION("""COMPUTED_VALUE"""),46196.6666666666)</f>
        <v/>
      </c>
      <c r="E229" s="513">
        <f>IFERROR(__xludf.DUMMYFUNCTION("""COMPUTED_VALUE"""),97.86)</f>
        <v/>
      </c>
      <c r="G229" s="512" t="n"/>
      <c r="H229" s="513" t="n"/>
      <c r="J229" s="512">
        <f>IFERROR(__xludf.DUMMYFUNCTION("""COMPUTED_VALUE"""),46196.6666666666)</f>
        <v/>
      </c>
      <c r="K229" s="513">
        <f>IFERROR(__xludf.DUMMYFUNCTION("""COMPUTED_VALUE"""),92.75)</f>
        <v/>
      </c>
      <c r="M229" s="512">
        <f>IFERROR(__xludf.DUMMYFUNCTION("""COMPUTED_VALUE"""),46196.6666666666)</f>
        <v/>
      </c>
      <c r="N229" s="513">
        <f>IFERROR(__xludf.DUMMYFUNCTION("""COMPUTED_VALUE"""),295.32)</f>
        <v/>
      </c>
      <c r="P229" s="512">
        <f>IFERROR(__xludf.DUMMYFUNCTION("""COMPUTED_VALUE"""),46196.6666666666)</f>
        <v/>
      </c>
      <c r="Q229" s="513">
        <f>IFERROR(__xludf.DUMMYFUNCTION("""COMPUTED_VALUE"""),87.16)</f>
        <v/>
      </c>
      <c r="S229" s="512">
        <f>IFERROR(__xludf.DUMMYFUNCTION("""COMPUTED_VALUE"""),45464.6666666666)</f>
        <v/>
      </c>
      <c r="T229" s="513">
        <f>IFERROR(__xludf.DUMMYFUNCTION("""COMPUTED_VALUE"""),207.49)</f>
        <v/>
      </c>
      <c r="V229" s="512">
        <f>IFERROR(__xludf.DUMMYFUNCTION("""COMPUTED_VALUE"""),46196.6666666666)</f>
        <v/>
      </c>
      <c r="W229" s="513">
        <f>IFERROR(__xludf.DUMMYFUNCTION("""COMPUTED_VALUE"""),27.12)</f>
        <v/>
      </c>
      <c r="Y229" s="512">
        <f>IFERROR(__xludf.DUMMYFUNCTION("""COMPUTED_VALUE"""),46196.6666666666)</f>
        <v/>
      </c>
      <c r="Z229" s="513">
        <f>IFERROR(__xludf.DUMMYFUNCTION("""COMPUTED_VALUE"""),73.22)</f>
        <v/>
      </c>
      <c r="AB229" s="512">
        <f>IFERROR(__xludf.DUMMYFUNCTION("""COMPUTED_VALUE"""),46196.6666666666)</f>
        <v/>
      </c>
      <c r="AC229" s="513">
        <f>IFERROR(__xludf.DUMMYFUNCTION("""COMPUTED_VALUE"""),59.36)</f>
        <v/>
      </c>
      <c r="AE229" s="512">
        <f>IFERROR(__xludf.DUMMYFUNCTION("""COMPUTED_VALUE"""),46196.6666666666)</f>
        <v/>
      </c>
      <c r="AF229" s="513">
        <f>IFERROR(__xludf.DUMMYFUNCTION("""COMPUTED_VALUE"""),96.26)</f>
        <v/>
      </c>
      <c r="AH229" s="512">
        <f>IFERROR(__xludf.DUMMYFUNCTION("""COMPUTED_VALUE"""),46196.6666666666)</f>
        <v/>
      </c>
      <c r="AI229" s="513">
        <f>IFERROR(__xludf.DUMMYFUNCTION("""COMPUTED_VALUE"""),21.67)</f>
        <v/>
      </c>
      <c r="AK229" s="512">
        <f>IFERROR(__xludf.DUMMYFUNCTION("""COMPUTED_VALUE"""),46196.6666666666)</f>
        <v/>
      </c>
      <c r="AL229" s="513">
        <f>IFERROR(__xludf.DUMMYFUNCTION("""COMPUTED_VALUE"""),79.87)</f>
        <v/>
      </c>
      <c r="AN229" s="512">
        <f>IFERROR(__xludf.DUMMYFUNCTION("""COMPUTED_VALUE"""),46196.6666666666)</f>
        <v/>
      </c>
      <c r="AO229" s="513">
        <f>IFERROR(__xludf.DUMMYFUNCTION("""COMPUTED_VALUE"""),108.9)</f>
        <v/>
      </c>
      <c r="AQ229" s="512">
        <f>IFERROR(__xludf.DUMMYFUNCTION("""COMPUTED_VALUE"""),46196.6666666666)</f>
        <v/>
      </c>
      <c r="AR229" s="513">
        <f>IFERROR(__xludf.DUMMYFUNCTION("""COMPUTED_VALUE"""),102.46)</f>
        <v/>
      </c>
      <c r="AT229" s="512">
        <f>IFERROR(__xludf.DUMMYFUNCTION("""COMPUTED_VALUE"""),46196.6666666666)</f>
        <v/>
      </c>
      <c r="AU229" s="513">
        <f>IFERROR(__xludf.DUMMYFUNCTION("""COMPUTED_VALUE"""),67.17)</f>
        <v/>
      </c>
      <c r="AW229" s="512">
        <f>IFERROR(__xludf.DUMMYFUNCTION("""COMPUTED_VALUE"""),46196.6666666666)</f>
        <v/>
      </c>
      <c r="AX229" s="513">
        <f>IFERROR(__xludf.DUMMYFUNCTION("""COMPUTED_VALUE"""),98.71)</f>
        <v/>
      </c>
      <c r="AZ229" s="512">
        <f>IFERROR(__xludf.DUMMYFUNCTION("""COMPUTED_VALUE"""),46196.6666666666)</f>
        <v/>
      </c>
      <c r="BA229" s="513">
        <f>IFERROR(__xludf.DUMMYFUNCTION("""COMPUTED_VALUE"""),108.91)</f>
        <v/>
      </c>
      <c r="BC229" s="512">
        <f>IFERROR(__xludf.DUMMYFUNCTION("""COMPUTED_VALUE"""),46196.6666666666)</f>
        <v/>
      </c>
      <c r="BD229" s="513">
        <f>IFERROR(__xludf.DUMMYFUNCTION("""COMPUTED_VALUE"""),94.12)</f>
        <v/>
      </c>
      <c r="BF229" s="512">
        <f>IFERROR(__xludf.DUMMYFUNCTION("""COMPUTED_VALUE"""),46196.6666666666)</f>
        <v/>
      </c>
      <c r="BG229" s="513">
        <f>IFERROR(__xludf.DUMMYFUNCTION("""COMPUTED_VALUE"""),81.97)</f>
        <v/>
      </c>
      <c r="BI229" s="512">
        <f>IFERROR(__xludf.DUMMYFUNCTION("""COMPUTED_VALUE"""),46196.6666666666)</f>
        <v/>
      </c>
      <c r="BJ229" s="513">
        <f>IFERROR(__xludf.DUMMYFUNCTION("""COMPUTED_VALUE"""),86.2)</f>
        <v/>
      </c>
      <c r="BL229" s="512">
        <f>IFERROR(__xludf.DUMMYFUNCTION("""COMPUTED_VALUE"""),46196.6666666666)</f>
        <v/>
      </c>
      <c r="BM229" s="513">
        <f>IFERROR(__xludf.DUMMYFUNCTION("""COMPUTED_VALUE"""),377.32)</f>
        <v/>
      </c>
      <c r="BO229" s="512">
        <f>IFERROR(__xludf.DUMMYFUNCTION("""COMPUTED_VALUE"""),46196.6666666666)</f>
        <v/>
      </c>
      <c r="BP229" s="513">
        <f>IFERROR(__xludf.DUMMYFUNCTION("""COMPUTED_VALUE"""),91.58)</f>
        <v/>
      </c>
    </row>
    <row r="230">
      <c r="A230" s="512">
        <f>IFERROR(__xludf.DUMMYFUNCTION("""COMPUTED_VALUE"""),46197.6666666666)</f>
        <v/>
      </c>
      <c r="B230" s="513">
        <f>IFERROR(__xludf.DUMMYFUNCTION("""COMPUTED_VALUE"""),733.24)</f>
        <v/>
      </c>
      <c r="D230" s="512">
        <f>IFERROR(__xludf.DUMMYFUNCTION("""COMPUTED_VALUE"""),46197.6666666666)</f>
        <v/>
      </c>
      <c r="E230" s="513">
        <f>IFERROR(__xludf.DUMMYFUNCTION("""COMPUTED_VALUE"""),97.01)</f>
        <v/>
      </c>
      <c r="G230" s="512" t="n"/>
      <c r="H230" s="513" t="n"/>
      <c r="J230" s="512">
        <f>IFERROR(__xludf.DUMMYFUNCTION("""COMPUTED_VALUE"""),46197.6666666666)</f>
        <v/>
      </c>
      <c r="K230" s="513">
        <f>IFERROR(__xludf.DUMMYFUNCTION("""COMPUTED_VALUE"""),92.61)</f>
        <v/>
      </c>
      <c r="M230" s="512">
        <f>IFERROR(__xludf.DUMMYFUNCTION("""COMPUTED_VALUE"""),46197.6666666666)</f>
        <v/>
      </c>
      <c r="N230" s="513">
        <f>IFERROR(__xludf.DUMMYFUNCTION("""COMPUTED_VALUE"""),296.69)</f>
        <v/>
      </c>
      <c r="P230" s="512">
        <f>IFERROR(__xludf.DUMMYFUNCTION("""COMPUTED_VALUE"""),46197.6666666666)</f>
        <v/>
      </c>
      <c r="Q230" s="513">
        <f>IFERROR(__xludf.DUMMYFUNCTION("""COMPUTED_VALUE"""),86.95)</f>
        <v/>
      </c>
      <c r="S230" s="512">
        <f>IFERROR(__xludf.DUMMYFUNCTION("""COMPUTED_VALUE"""),45467.6666666666)</f>
        <v/>
      </c>
      <c r="T230" s="513">
        <f>IFERROR(__xludf.DUMMYFUNCTION("""COMPUTED_VALUE"""),208.14)</f>
        <v/>
      </c>
      <c r="V230" s="512">
        <f>IFERROR(__xludf.DUMMYFUNCTION("""COMPUTED_VALUE"""),46197.6666666666)</f>
        <v/>
      </c>
      <c r="W230" s="513">
        <f>IFERROR(__xludf.DUMMYFUNCTION("""COMPUTED_VALUE"""),26.45)</f>
        <v/>
      </c>
      <c r="Y230" s="512">
        <f>IFERROR(__xludf.DUMMYFUNCTION("""COMPUTED_VALUE"""),46197.6666666666)</f>
        <v/>
      </c>
      <c r="Z230" s="513">
        <f>IFERROR(__xludf.DUMMYFUNCTION("""COMPUTED_VALUE"""),73.55)</f>
        <v/>
      </c>
      <c r="AB230" s="512">
        <f>IFERROR(__xludf.DUMMYFUNCTION("""COMPUTED_VALUE"""),46197.6666666666)</f>
        <v/>
      </c>
      <c r="AC230" s="513">
        <f>IFERROR(__xludf.DUMMYFUNCTION("""COMPUTED_VALUE"""),58.97)</f>
        <v/>
      </c>
      <c r="AE230" s="512">
        <f>IFERROR(__xludf.DUMMYFUNCTION("""COMPUTED_VALUE"""),46197.6666666666)</f>
        <v/>
      </c>
      <c r="AF230" s="513">
        <f>IFERROR(__xludf.DUMMYFUNCTION("""COMPUTED_VALUE"""),96.57)</f>
        <v/>
      </c>
      <c r="AH230" s="512">
        <f>IFERROR(__xludf.DUMMYFUNCTION("""COMPUTED_VALUE"""),46197.6666666666)</f>
        <v/>
      </c>
      <c r="AI230" s="513">
        <f>IFERROR(__xludf.DUMMYFUNCTION("""COMPUTED_VALUE"""),21.66)</f>
        <v/>
      </c>
      <c r="AK230" s="512">
        <f>IFERROR(__xludf.DUMMYFUNCTION("""COMPUTED_VALUE"""),46197.6666666666)</f>
        <v/>
      </c>
      <c r="AL230" s="513">
        <f>IFERROR(__xludf.DUMMYFUNCTION("""COMPUTED_VALUE"""),79.85)</f>
        <v/>
      </c>
      <c r="AN230" s="512">
        <f>IFERROR(__xludf.DUMMYFUNCTION("""COMPUTED_VALUE"""),46197.6666666666)</f>
        <v/>
      </c>
      <c r="AO230" s="513">
        <f>IFERROR(__xludf.DUMMYFUNCTION("""COMPUTED_VALUE"""),109.32)</f>
        <v/>
      </c>
      <c r="AQ230" s="512">
        <f>IFERROR(__xludf.DUMMYFUNCTION("""COMPUTED_VALUE"""),46197.6666666666)</f>
        <v/>
      </c>
      <c r="AR230" s="513">
        <f>IFERROR(__xludf.DUMMYFUNCTION("""COMPUTED_VALUE"""),102.26)</f>
        <v/>
      </c>
      <c r="AT230" s="512">
        <f>IFERROR(__xludf.DUMMYFUNCTION("""COMPUTED_VALUE"""),46197.6666666666)</f>
        <v/>
      </c>
      <c r="AU230" s="513">
        <f>IFERROR(__xludf.DUMMYFUNCTION("""COMPUTED_VALUE"""),67.25)</f>
        <v/>
      </c>
      <c r="AW230" s="512">
        <f>IFERROR(__xludf.DUMMYFUNCTION("""COMPUTED_VALUE"""),46197.6666666666)</f>
        <v/>
      </c>
      <c r="AX230" s="513">
        <f>IFERROR(__xludf.DUMMYFUNCTION("""COMPUTED_VALUE"""),99.19)</f>
        <v/>
      </c>
      <c r="AZ230" s="512">
        <f>IFERROR(__xludf.DUMMYFUNCTION("""COMPUTED_VALUE"""),46197.6666666666)</f>
        <v/>
      </c>
      <c r="BA230" s="513">
        <f>IFERROR(__xludf.DUMMYFUNCTION("""COMPUTED_VALUE"""),109.41)</f>
        <v/>
      </c>
      <c r="BC230" s="512">
        <f>IFERROR(__xludf.DUMMYFUNCTION("""COMPUTED_VALUE"""),46197.6666666666)</f>
        <v/>
      </c>
      <c r="BD230" s="513">
        <f>IFERROR(__xludf.DUMMYFUNCTION("""COMPUTED_VALUE"""),94.73)</f>
        <v/>
      </c>
      <c r="BF230" s="512">
        <f>IFERROR(__xludf.DUMMYFUNCTION("""COMPUTED_VALUE"""),46197.6666666666)</f>
        <v/>
      </c>
      <c r="BG230" s="513">
        <f>IFERROR(__xludf.DUMMYFUNCTION("""COMPUTED_VALUE"""),82.07)</f>
        <v/>
      </c>
      <c r="BI230" s="512">
        <f>IFERROR(__xludf.DUMMYFUNCTION("""COMPUTED_VALUE"""),46197.6666666666)</f>
        <v/>
      </c>
      <c r="BJ230" s="513">
        <f>IFERROR(__xludf.DUMMYFUNCTION("""COMPUTED_VALUE"""),87.38)</f>
        <v/>
      </c>
      <c r="BL230" s="512">
        <f>IFERROR(__xludf.DUMMYFUNCTION("""COMPUTED_VALUE"""),46197.6666666666)</f>
        <v/>
      </c>
      <c r="BM230" s="513">
        <f>IFERROR(__xludf.DUMMYFUNCTION("""COMPUTED_VALUE"""),365.92)</f>
        <v/>
      </c>
      <c r="BO230" s="512">
        <f>IFERROR(__xludf.DUMMYFUNCTION("""COMPUTED_VALUE"""),46197.6666666666)</f>
        <v/>
      </c>
      <c r="BP230" s="513">
        <f>IFERROR(__xludf.DUMMYFUNCTION("""COMPUTED_VALUE"""),91.59)</f>
        <v/>
      </c>
    </row>
    <row r="231">
      <c r="A231" s="512">
        <f>IFERROR(__xludf.DUMMYFUNCTION("""COMPUTED_VALUE"""),46198.6666666666)</f>
        <v/>
      </c>
      <c r="B231" s="513">
        <f>IFERROR(__xludf.DUMMYFUNCTION("""COMPUTED_VALUE"""),734.3)</f>
        <v/>
      </c>
      <c r="D231" s="512">
        <f>IFERROR(__xludf.DUMMYFUNCTION("""COMPUTED_VALUE"""),46198.6666666666)</f>
        <v/>
      </c>
      <c r="E231" s="513">
        <f>IFERROR(__xludf.DUMMYFUNCTION("""COMPUTED_VALUE"""),97.19)</f>
        <v/>
      </c>
      <c r="G231" s="512" t="n"/>
      <c r="H231" s="513" t="n"/>
      <c r="J231" s="512">
        <f>IFERROR(__xludf.DUMMYFUNCTION("""COMPUTED_VALUE"""),46198.6666666666)</f>
        <v/>
      </c>
      <c r="K231" s="513">
        <f>IFERROR(__xludf.DUMMYFUNCTION("""COMPUTED_VALUE"""),93.39)</f>
        <v/>
      </c>
      <c r="M231" s="512">
        <f>IFERROR(__xludf.DUMMYFUNCTION("""COMPUTED_VALUE"""),46198.6666666666)</f>
        <v/>
      </c>
      <c r="N231" s="513">
        <f>IFERROR(__xludf.DUMMYFUNCTION("""COMPUTED_VALUE"""),298.91)</f>
        <v/>
      </c>
      <c r="P231" s="512">
        <f>IFERROR(__xludf.DUMMYFUNCTION("""COMPUTED_VALUE"""),46198.6666666666)</f>
        <v/>
      </c>
      <c r="Q231" s="513">
        <f>IFERROR(__xludf.DUMMYFUNCTION("""COMPUTED_VALUE"""),87.83)</f>
        <v/>
      </c>
      <c r="S231" s="512">
        <f>IFERROR(__xludf.DUMMYFUNCTION("""COMPUTED_VALUE"""),45468.6666666666)</f>
        <v/>
      </c>
      <c r="T231" s="513">
        <f>IFERROR(__xludf.DUMMYFUNCTION("""COMPUTED_VALUE"""),209.07)</f>
        <v/>
      </c>
      <c r="V231" s="512">
        <f>IFERROR(__xludf.DUMMYFUNCTION("""COMPUTED_VALUE"""),46198.6666666666)</f>
        <v/>
      </c>
      <c r="W231" s="513">
        <f>IFERROR(__xludf.DUMMYFUNCTION("""COMPUTED_VALUE"""),26.93)</f>
        <v/>
      </c>
      <c r="Y231" s="512">
        <f>IFERROR(__xludf.DUMMYFUNCTION("""COMPUTED_VALUE"""),46198.6666666666)</f>
        <v/>
      </c>
      <c r="Z231" s="513">
        <f>IFERROR(__xludf.DUMMYFUNCTION("""COMPUTED_VALUE"""),73.6)</f>
        <v/>
      </c>
      <c r="AB231" s="512">
        <f>IFERROR(__xludf.DUMMYFUNCTION("""COMPUTED_VALUE"""),46198.6666666666)</f>
        <v/>
      </c>
      <c r="AC231" s="513">
        <f>IFERROR(__xludf.DUMMYFUNCTION("""COMPUTED_VALUE"""),58.8)</f>
        <v/>
      </c>
      <c r="AE231" s="512">
        <f>IFERROR(__xludf.DUMMYFUNCTION("""COMPUTED_VALUE"""),46198.6666666666)</f>
        <v/>
      </c>
      <c r="AF231" s="513">
        <f>IFERROR(__xludf.DUMMYFUNCTION("""COMPUTED_VALUE"""),96.56)</f>
        <v/>
      </c>
      <c r="AH231" s="512">
        <f>IFERROR(__xludf.DUMMYFUNCTION("""COMPUTED_VALUE"""),46198.6666666666)</f>
        <v/>
      </c>
      <c r="AI231" s="513">
        <f>IFERROR(__xludf.DUMMYFUNCTION("""COMPUTED_VALUE"""),21.68)</f>
        <v/>
      </c>
      <c r="AK231" s="512">
        <f>IFERROR(__xludf.DUMMYFUNCTION("""COMPUTED_VALUE"""),46198.6666666666)</f>
        <v/>
      </c>
      <c r="AL231" s="513">
        <f>IFERROR(__xludf.DUMMYFUNCTION("""COMPUTED_VALUE"""),79.88)</f>
        <v/>
      </c>
      <c r="AN231" s="512">
        <f>IFERROR(__xludf.DUMMYFUNCTION("""COMPUTED_VALUE"""),46198.6666666666)</f>
        <v/>
      </c>
      <c r="AO231" s="513">
        <f>IFERROR(__xludf.DUMMYFUNCTION("""COMPUTED_VALUE"""),109.5)</f>
        <v/>
      </c>
      <c r="AQ231" s="512">
        <f>IFERROR(__xludf.DUMMYFUNCTION("""COMPUTED_VALUE"""),46198.6666666666)</f>
        <v/>
      </c>
      <c r="AR231" s="513">
        <f>IFERROR(__xludf.DUMMYFUNCTION("""COMPUTED_VALUE"""),103.15)</f>
        <v/>
      </c>
      <c r="AT231" s="512">
        <f>IFERROR(__xludf.DUMMYFUNCTION("""COMPUTED_VALUE"""),46198.6666666666)</f>
        <v/>
      </c>
      <c r="AU231" s="513">
        <f>IFERROR(__xludf.DUMMYFUNCTION("""COMPUTED_VALUE"""),67.96)</f>
        <v/>
      </c>
      <c r="AW231" s="512">
        <f>IFERROR(__xludf.DUMMYFUNCTION("""COMPUTED_VALUE"""),46198.6666666666)</f>
        <v/>
      </c>
      <c r="AX231" s="513">
        <f>IFERROR(__xludf.DUMMYFUNCTION("""COMPUTED_VALUE"""),99.25)</f>
        <v/>
      </c>
      <c r="AZ231" s="512">
        <f>IFERROR(__xludf.DUMMYFUNCTION("""COMPUTED_VALUE"""),46198.6666666666)</f>
        <v/>
      </c>
      <c r="BA231" s="513">
        <f>IFERROR(__xludf.DUMMYFUNCTION("""COMPUTED_VALUE"""),109.5)</f>
        <v/>
      </c>
      <c r="BC231" s="512">
        <f>IFERROR(__xludf.DUMMYFUNCTION("""COMPUTED_VALUE"""),46198.6666666666)</f>
        <v/>
      </c>
      <c r="BD231" s="513">
        <f>IFERROR(__xludf.DUMMYFUNCTION("""COMPUTED_VALUE"""),94.79)</f>
        <v/>
      </c>
      <c r="BF231" s="512">
        <f>IFERROR(__xludf.DUMMYFUNCTION("""COMPUTED_VALUE"""),46198.6666666666)</f>
        <v/>
      </c>
      <c r="BG231" s="513">
        <f>IFERROR(__xludf.DUMMYFUNCTION("""COMPUTED_VALUE"""),82.09)</f>
        <v/>
      </c>
      <c r="BI231" s="512">
        <f>IFERROR(__xludf.DUMMYFUNCTION("""COMPUTED_VALUE"""),46198.6666666666)</f>
        <v/>
      </c>
      <c r="BJ231" s="513">
        <f>IFERROR(__xludf.DUMMYFUNCTION("""COMPUTED_VALUE"""),87.35)</f>
        <v/>
      </c>
      <c r="BL231" s="512">
        <f>IFERROR(__xludf.DUMMYFUNCTION("""COMPUTED_VALUE"""),46198.6666666666)</f>
        <v/>
      </c>
      <c r="BM231" s="513">
        <f>IFERROR(__xludf.DUMMYFUNCTION("""COMPUTED_VALUE"""),369.46)</f>
        <v/>
      </c>
      <c r="BO231" s="512">
        <f>IFERROR(__xludf.DUMMYFUNCTION("""COMPUTED_VALUE"""),46198.6666666666)</f>
        <v/>
      </c>
      <c r="BP231" s="513">
        <f>IFERROR(__xludf.DUMMYFUNCTION("""COMPUTED_VALUE"""),91.6)</f>
        <v/>
      </c>
    </row>
    <row r="232">
      <c r="A232" s="512">
        <f>IFERROR(__xludf.DUMMYFUNCTION("""COMPUTED_VALUE"""),46199.6666666666)</f>
        <v/>
      </c>
      <c r="B232" s="513">
        <f>IFERROR(__xludf.DUMMYFUNCTION("""COMPUTED_VALUE"""),728.99)</f>
        <v/>
      </c>
      <c r="D232" s="512">
        <f>IFERROR(__xludf.DUMMYFUNCTION("""COMPUTED_VALUE"""),46199.6666666666)</f>
        <v/>
      </c>
      <c r="E232" s="513">
        <f>IFERROR(__xludf.DUMMYFUNCTION("""COMPUTED_VALUE"""),98.67)</f>
        <v/>
      </c>
      <c r="G232" s="512" t="n"/>
      <c r="H232" s="513" t="n"/>
      <c r="J232" s="512">
        <f>IFERROR(__xludf.DUMMYFUNCTION("""COMPUTED_VALUE"""),46199.6666666666)</f>
        <v/>
      </c>
      <c r="K232" s="513">
        <f>IFERROR(__xludf.DUMMYFUNCTION("""COMPUTED_VALUE"""),92.8)</f>
        <v/>
      </c>
      <c r="M232" s="512">
        <f>IFERROR(__xludf.DUMMYFUNCTION("""COMPUTED_VALUE"""),46199.6666666666)</f>
        <v/>
      </c>
      <c r="N232" s="513">
        <f>IFERROR(__xludf.DUMMYFUNCTION("""COMPUTED_VALUE"""),299.83)</f>
        <v/>
      </c>
      <c r="P232" s="512">
        <f>IFERROR(__xludf.DUMMYFUNCTION("""COMPUTED_VALUE"""),46199.6666666666)</f>
        <v/>
      </c>
      <c r="Q232" s="513">
        <f>IFERROR(__xludf.DUMMYFUNCTION("""COMPUTED_VALUE"""),87.13)</f>
        <v/>
      </c>
      <c r="S232" s="512">
        <f>IFERROR(__xludf.DUMMYFUNCTION("""COMPUTED_VALUE"""),45469.6666666666)</f>
        <v/>
      </c>
      <c r="T232" s="513">
        <f>IFERROR(__xludf.DUMMYFUNCTION("""COMPUTED_VALUE"""),213.25)</f>
        <v/>
      </c>
      <c r="V232" s="512">
        <f>IFERROR(__xludf.DUMMYFUNCTION("""COMPUTED_VALUE"""),46199.6666666666)</f>
        <v/>
      </c>
      <c r="W232" s="513">
        <f>IFERROR(__xludf.DUMMYFUNCTION("""COMPUTED_VALUE"""),26.57)</f>
        <v/>
      </c>
      <c r="Y232" s="512">
        <f>IFERROR(__xludf.DUMMYFUNCTION("""COMPUTED_VALUE"""),46199.6666666666)</f>
        <v/>
      </c>
      <c r="Z232" s="513">
        <f>IFERROR(__xludf.DUMMYFUNCTION("""COMPUTED_VALUE"""),73.67)</f>
        <v/>
      </c>
      <c r="AB232" s="512">
        <f>IFERROR(__xludf.DUMMYFUNCTION("""COMPUTED_VALUE"""),46199.6666666666)</f>
        <v/>
      </c>
      <c r="AC232" s="513">
        <f>IFERROR(__xludf.DUMMYFUNCTION("""COMPUTED_VALUE"""),58.58)</f>
        <v/>
      </c>
      <c r="AE232" s="512">
        <f>IFERROR(__xludf.DUMMYFUNCTION("""COMPUTED_VALUE"""),46199.6666666666)</f>
        <v/>
      </c>
      <c r="AF232" s="513">
        <f>IFERROR(__xludf.DUMMYFUNCTION("""COMPUTED_VALUE"""),96.54)</f>
        <v/>
      </c>
      <c r="AH232" s="512">
        <f>IFERROR(__xludf.DUMMYFUNCTION("""COMPUTED_VALUE"""),46199.6666666666)</f>
        <v/>
      </c>
      <c r="AI232" s="513">
        <f>IFERROR(__xludf.DUMMYFUNCTION("""COMPUTED_VALUE"""),21.73)</f>
        <v/>
      </c>
      <c r="AK232" s="512">
        <f>IFERROR(__xludf.DUMMYFUNCTION("""COMPUTED_VALUE"""),46199.6666666666)</f>
        <v/>
      </c>
      <c r="AL232" s="513">
        <f>IFERROR(__xludf.DUMMYFUNCTION("""COMPUTED_VALUE"""),79.83)</f>
        <v/>
      </c>
      <c r="AN232" s="512">
        <f>IFERROR(__xludf.DUMMYFUNCTION("""COMPUTED_VALUE"""),46199.6666666666)</f>
        <v/>
      </c>
      <c r="AO232" s="513">
        <f>IFERROR(__xludf.DUMMYFUNCTION("""COMPUTED_VALUE"""),109.7)</f>
        <v/>
      </c>
      <c r="AQ232" s="512">
        <f>IFERROR(__xludf.DUMMYFUNCTION("""COMPUTED_VALUE"""),46199.6666666666)</f>
        <v/>
      </c>
      <c r="AR232" s="513">
        <f>IFERROR(__xludf.DUMMYFUNCTION("""COMPUTED_VALUE"""),102.54)</f>
        <v/>
      </c>
      <c r="AT232" s="512">
        <f>IFERROR(__xludf.DUMMYFUNCTION("""COMPUTED_VALUE"""),46199.6666666666)</f>
        <v/>
      </c>
      <c r="AU232" s="513">
        <f>IFERROR(__xludf.DUMMYFUNCTION("""COMPUTED_VALUE"""),67.19)</f>
        <v/>
      </c>
      <c r="AW232" s="512">
        <f>IFERROR(__xludf.DUMMYFUNCTION("""COMPUTED_VALUE"""),46199.6666666666)</f>
        <v/>
      </c>
      <c r="AX232" s="513">
        <f>IFERROR(__xludf.DUMMYFUNCTION("""COMPUTED_VALUE"""),99.34)</f>
        <v/>
      </c>
      <c r="AZ232" s="512">
        <f>IFERROR(__xludf.DUMMYFUNCTION("""COMPUTED_VALUE"""),46199.6666666666)</f>
        <v/>
      </c>
      <c r="BA232" s="513">
        <f>IFERROR(__xludf.DUMMYFUNCTION("""COMPUTED_VALUE"""),109.5)</f>
        <v/>
      </c>
      <c r="BC232" s="512">
        <f>IFERROR(__xludf.DUMMYFUNCTION("""COMPUTED_VALUE"""),46199.6666666666)</f>
        <v/>
      </c>
      <c r="BD232" s="513">
        <f>IFERROR(__xludf.DUMMYFUNCTION("""COMPUTED_VALUE"""),95.03)</f>
        <v/>
      </c>
      <c r="BF232" s="512">
        <f>IFERROR(__xludf.DUMMYFUNCTION("""COMPUTED_VALUE"""),46199.6666666666)</f>
        <v/>
      </c>
      <c r="BG232" s="513">
        <f>IFERROR(__xludf.DUMMYFUNCTION("""COMPUTED_VALUE"""),82.19)</f>
        <v/>
      </c>
      <c r="BI232" s="512">
        <f>IFERROR(__xludf.DUMMYFUNCTION("""COMPUTED_VALUE"""),46199.6666666666)</f>
        <v/>
      </c>
      <c r="BJ232" s="513">
        <f>IFERROR(__xludf.DUMMYFUNCTION("""COMPUTED_VALUE"""),87.36)</f>
        <v/>
      </c>
      <c r="BL232" s="512">
        <f>IFERROR(__xludf.DUMMYFUNCTION("""COMPUTED_VALUE"""),46199.6666666666)</f>
        <v/>
      </c>
      <c r="BM232" s="513">
        <f>IFERROR(__xludf.DUMMYFUNCTION("""COMPUTED_VALUE"""),373.63)</f>
        <v/>
      </c>
      <c r="BO232" s="512">
        <f>IFERROR(__xludf.DUMMYFUNCTION("""COMPUTED_VALUE"""),46199.6666666666)</f>
        <v/>
      </c>
      <c r="BP232" s="513">
        <f>IFERROR(__xludf.DUMMYFUNCTION("""COMPUTED_VALUE"""),91.63)</f>
        <v/>
      </c>
    </row>
    <row r="233">
      <c r="A233" s="512">
        <f>IFERROR(__xludf.DUMMYFUNCTION("""COMPUTED_VALUE"""),46202.6666666666)</f>
        <v/>
      </c>
      <c r="B233" s="513">
        <f>IFERROR(__xludf.DUMMYFUNCTION("""COMPUTED_VALUE"""),741)</f>
        <v/>
      </c>
      <c r="D233" s="512">
        <f>IFERROR(__xludf.DUMMYFUNCTION("""COMPUTED_VALUE"""),46202.6666666666)</f>
        <v/>
      </c>
      <c r="E233" s="513">
        <f>IFERROR(__xludf.DUMMYFUNCTION("""COMPUTED_VALUE"""),98.15)</f>
        <v/>
      </c>
      <c r="G233" s="512" t="n"/>
      <c r="H233" s="513" t="n"/>
      <c r="J233" s="512">
        <f>IFERROR(__xludf.DUMMYFUNCTION("""COMPUTED_VALUE"""),46202.6666666666)</f>
        <v/>
      </c>
      <c r="K233" s="513">
        <f>IFERROR(__xludf.DUMMYFUNCTION("""COMPUTED_VALUE"""),93.21)</f>
        <v/>
      </c>
      <c r="M233" s="512">
        <f>IFERROR(__xludf.DUMMYFUNCTION("""COMPUTED_VALUE"""),46202.6666666666)</f>
        <v/>
      </c>
      <c r="N233" s="513">
        <f>IFERROR(__xludf.DUMMYFUNCTION("""COMPUTED_VALUE"""),298.97)</f>
        <v/>
      </c>
      <c r="P233" s="512">
        <f>IFERROR(__xludf.DUMMYFUNCTION("""COMPUTED_VALUE"""),46202.6666666666)</f>
        <v/>
      </c>
      <c r="Q233" s="513">
        <f>IFERROR(__xludf.DUMMYFUNCTION("""COMPUTED_VALUE"""),88.07)</f>
        <v/>
      </c>
      <c r="S233" s="512">
        <f>IFERROR(__xludf.DUMMYFUNCTION("""COMPUTED_VALUE"""),45470.6666666666)</f>
        <v/>
      </c>
      <c r="T233" s="513">
        <f>IFERROR(__xludf.DUMMYFUNCTION("""COMPUTED_VALUE"""),214.1)</f>
        <v/>
      </c>
      <c r="V233" s="512">
        <f>IFERROR(__xludf.DUMMYFUNCTION("""COMPUTED_VALUE"""),46202.6666666666)</f>
        <v/>
      </c>
      <c r="W233" s="513">
        <f>IFERROR(__xludf.DUMMYFUNCTION("""COMPUTED_VALUE"""),26.56)</f>
        <v/>
      </c>
      <c r="Y233" s="512">
        <f>IFERROR(__xludf.DUMMYFUNCTION("""COMPUTED_VALUE"""),46202.6666666666)</f>
        <v/>
      </c>
      <c r="Z233" s="513">
        <f>IFERROR(__xludf.DUMMYFUNCTION("""COMPUTED_VALUE"""),73.71)</f>
        <v/>
      </c>
      <c r="AB233" s="512">
        <f>IFERROR(__xludf.DUMMYFUNCTION("""COMPUTED_VALUE"""),46202.6666666666)</f>
        <v/>
      </c>
      <c r="AC233" s="513">
        <f>IFERROR(__xludf.DUMMYFUNCTION("""COMPUTED_VALUE"""),59.18)</f>
        <v/>
      </c>
      <c r="AE233" s="512">
        <f>IFERROR(__xludf.DUMMYFUNCTION("""COMPUTED_VALUE"""),46202.6666666666)</f>
        <v/>
      </c>
      <c r="AF233" s="513">
        <f>IFERROR(__xludf.DUMMYFUNCTION("""COMPUTED_VALUE"""),96.82)</f>
        <v/>
      </c>
      <c r="AH233" s="512">
        <f>IFERROR(__xludf.DUMMYFUNCTION("""COMPUTED_VALUE"""),46202.6666666666)</f>
        <v/>
      </c>
      <c r="AI233" s="513">
        <f>IFERROR(__xludf.DUMMYFUNCTION("""COMPUTED_VALUE"""),21.75)</f>
        <v/>
      </c>
      <c r="AK233" s="512">
        <f>IFERROR(__xludf.DUMMYFUNCTION("""COMPUTED_VALUE"""),46202.6666666666)</f>
        <v/>
      </c>
      <c r="AL233" s="513">
        <f>IFERROR(__xludf.DUMMYFUNCTION("""COMPUTED_VALUE"""),80.01)</f>
        <v/>
      </c>
      <c r="AN233" s="512">
        <f>IFERROR(__xludf.DUMMYFUNCTION("""COMPUTED_VALUE"""),46202.6666666666)</f>
        <v/>
      </c>
      <c r="AO233" s="513">
        <f>IFERROR(__xludf.DUMMYFUNCTION("""COMPUTED_VALUE"""),109.9)</f>
        <v/>
      </c>
      <c r="AQ233" s="512">
        <f>IFERROR(__xludf.DUMMYFUNCTION("""COMPUTED_VALUE"""),46202.6666666666)</f>
        <v/>
      </c>
      <c r="AR233" s="513">
        <f>IFERROR(__xludf.DUMMYFUNCTION("""COMPUTED_VALUE"""),103.45)</f>
        <v/>
      </c>
      <c r="AT233" s="512">
        <f>IFERROR(__xludf.DUMMYFUNCTION("""COMPUTED_VALUE"""),46202.6666666666)</f>
        <v/>
      </c>
      <c r="AU233" s="513">
        <f>IFERROR(__xludf.DUMMYFUNCTION("""COMPUTED_VALUE"""),67.43)</f>
        <v/>
      </c>
      <c r="AW233" s="512">
        <f>IFERROR(__xludf.DUMMYFUNCTION("""COMPUTED_VALUE"""),46202.6666666666)</f>
        <v/>
      </c>
      <c r="AX233" s="513">
        <f>IFERROR(__xludf.DUMMYFUNCTION("""COMPUTED_VALUE"""),99.37)</f>
        <v/>
      </c>
      <c r="AZ233" s="512">
        <f>IFERROR(__xludf.DUMMYFUNCTION("""COMPUTED_VALUE"""),46202.6666666666)</f>
        <v/>
      </c>
      <c r="BA233" s="513">
        <f>IFERROR(__xludf.DUMMYFUNCTION("""COMPUTED_VALUE"""),109.7)</f>
        <v/>
      </c>
      <c r="BC233" s="512">
        <f>IFERROR(__xludf.DUMMYFUNCTION("""COMPUTED_VALUE"""),46202.6666666666)</f>
        <v/>
      </c>
      <c r="BD233" s="513">
        <f>IFERROR(__xludf.DUMMYFUNCTION("""COMPUTED_VALUE"""),95.06)</f>
        <v/>
      </c>
      <c r="BF233" s="512">
        <f>IFERROR(__xludf.DUMMYFUNCTION("""COMPUTED_VALUE"""),46202.6666666666)</f>
        <v/>
      </c>
      <c r="BG233" s="513">
        <f>IFERROR(__xludf.DUMMYFUNCTION("""COMPUTED_VALUE"""),82.17)</f>
        <v/>
      </c>
      <c r="BI233" s="512">
        <f>IFERROR(__xludf.DUMMYFUNCTION("""COMPUTED_VALUE"""),46202.6666666666)</f>
        <v/>
      </c>
      <c r="BJ233" s="513">
        <f>IFERROR(__xludf.DUMMYFUNCTION("""COMPUTED_VALUE"""),87.45)</f>
        <v/>
      </c>
      <c r="BL233" s="512">
        <f>IFERROR(__xludf.DUMMYFUNCTION("""COMPUTED_VALUE"""),46202.6666666666)</f>
        <v/>
      </c>
      <c r="BM233" s="513">
        <f>IFERROR(__xludf.DUMMYFUNCTION("""COMPUTED_VALUE"""),368.58)</f>
        <v/>
      </c>
      <c r="BO233" s="512">
        <f>IFERROR(__xludf.DUMMYFUNCTION("""COMPUTED_VALUE"""),46202.6666666666)</f>
        <v/>
      </c>
      <c r="BP233" s="513">
        <f>IFERROR(__xludf.DUMMYFUNCTION("""COMPUTED_VALUE"""),91.64)</f>
        <v/>
      </c>
    </row>
    <row r="234">
      <c r="A234" s="512">
        <f>IFERROR(__xludf.DUMMYFUNCTION("""COMPUTED_VALUE"""),46203.6666666666)</f>
        <v/>
      </c>
      <c r="B234" s="513">
        <f>IFERROR(__xludf.DUMMYFUNCTION("""COMPUTED_VALUE"""),746.77)</f>
        <v/>
      </c>
      <c r="D234" s="512">
        <f>IFERROR(__xludf.DUMMYFUNCTION("""COMPUTED_VALUE"""),46203.6666666666)</f>
        <v/>
      </c>
      <c r="E234" s="513">
        <f>IFERROR(__xludf.DUMMYFUNCTION("""COMPUTED_VALUE"""),96.43)</f>
        <v/>
      </c>
      <c r="G234" s="512" t="n"/>
      <c r="H234" s="513" t="n"/>
      <c r="J234" s="512">
        <f>IFERROR(__xludf.DUMMYFUNCTION("""COMPUTED_VALUE"""),46203.6666666666)</f>
        <v/>
      </c>
      <c r="K234" s="513">
        <f>IFERROR(__xludf.DUMMYFUNCTION("""COMPUTED_VALUE"""),93.27)</f>
        <v/>
      </c>
      <c r="M234" s="512">
        <f>IFERROR(__xludf.DUMMYFUNCTION("""COMPUTED_VALUE"""),46203.6666666666)</f>
        <v/>
      </c>
      <c r="N234" s="513">
        <f>IFERROR(__xludf.DUMMYFUNCTION("""COMPUTED_VALUE"""),300.45)</f>
        <v/>
      </c>
      <c r="P234" s="512">
        <f>IFERROR(__xludf.DUMMYFUNCTION("""COMPUTED_VALUE"""),46203.6666666666)</f>
        <v/>
      </c>
      <c r="Q234" s="513">
        <f>IFERROR(__xludf.DUMMYFUNCTION("""COMPUTED_VALUE"""),88.54)</f>
        <v/>
      </c>
      <c r="S234" s="512">
        <f>IFERROR(__xludf.DUMMYFUNCTION("""COMPUTED_VALUE"""),45471.6666666666)</f>
        <v/>
      </c>
      <c r="T234" s="513">
        <f>IFERROR(__xludf.DUMMYFUNCTION("""COMPUTED_VALUE"""),210.62)</f>
        <v/>
      </c>
      <c r="V234" s="512">
        <f>IFERROR(__xludf.DUMMYFUNCTION("""COMPUTED_VALUE"""),46203.6666666666)</f>
        <v/>
      </c>
      <c r="W234" s="513">
        <f>IFERROR(__xludf.DUMMYFUNCTION("""COMPUTED_VALUE"""),26.66)</f>
        <v/>
      </c>
      <c r="Y234" s="512">
        <f>IFERROR(__xludf.DUMMYFUNCTION("""COMPUTED_VALUE"""),46203.6666666666)</f>
        <v/>
      </c>
      <c r="Z234" s="513">
        <f>IFERROR(__xludf.DUMMYFUNCTION("""COMPUTED_VALUE"""),73.41)</f>
        <v/>
      </c>
      <c r="AB234" s="512">
        <f>IFERROR(__xludf.DUMMYFUNCTION("""COMPUTED_VALUE"""),46203.6666666666)</f>
        <v/>
      </c>
      <c r="AC234" s="513">
        <f>IFERROR(__xludf.DUMMYFUNCTION("""COMPUTED_VALUE"""),59.69)</f>
        <v/>
      </c>
      <c r="AE234" s="512">
        <f>IFERROR(__xludf.DUMMYFUNCTION("""COMPUTED_VALUE"""),46203.6666666666)</f>
        <v/>
      </c>
      <c r="AF234" s="513">
        <f>IFERROR(__xludf.DUMMYFUNCTION("""COMPUTED_VALUE"""),96.44)</f>
        <v/>
      </c>
      <c r="AH234" s="512">
        <f>IFERROR(__xludf.DUMMYFUNCTION("""COMPUTED_VALUE"""),46203.6666666666)</f>
        <v/>
      </c>
      <c r="AI234" s="513">
        <f>IFERROR(__xludf.DUMMYFUNCTION("""COMPUTED_VALUE"""),21.68)</f>
        <v/>
      </c>
      <c r="AK234" s="512">
        <f>IFERROR(__xludf.DUMMYFUNCTION("""COMPUTED_VALUE"""),46203.6666666666)</f>
        <v/>
      </c>
      <c r="AL234" s="513">
        <f>IFERROR(__xludf.DUMMYFUNCTION("""COMPUTED_VALUE"""),79.97)</f>
        <v/>
      </c>
      <c r="AN234" s="512">
        <f>IFERROR(__xludf.DUMMYFUNCTION("""COMPUTED_VALUE"""),46203.6666666666)</f>
        <v/>
      </c>
      <c r="AO234" s="513">
        <f>IFERROR(__xludf.DUMMYFUNCTION("""COMPUTED_VALUE"""),109.43)</f>
        <v/>
      </c>
      <c r="AQ234" s="512">
        <f>IFERROR(__xludf.DUMMYFUNCTION("""COMPUTED_VALUE"""),46203.6666666666)</f>
        <v/>
      </c>
      <c r="AR234" s="513">
        <f>IFERROR(__xludf.DUMMYFUNCTION("""COMPUTED_VALUE"""),103.88)</f>
        <v/>
      </c>
      <c r="AT234" s="512">
        <f>IFERROR(__xludf.DUMMYFUNCTION("""COMPUTED_VALUE"""),46203.6666666666)</f>
        <v/>
      </c>
      <c r="AU234" s="513">
        <f>IFERROR(__xludf.DUMMYFUNCTION("""COMPUTED_VALUE"""),68.41)</f>
        <v/>
      </c>
      <c r="AW234" s="512">
        <f>IFERROR(__xludf.DUMMYFUNCTION("""COMPUTED_VALUE"""),46203.6666666666)</f>
        <v/>
      </c>
      <c r="AX234" s="513">
        <f>IFERROR(__xludf.DUMMYFUNCTION("""COMPUTED_VALUE"""),98.98)</f>
        <v/>
      </c>
      <c r="AZ234" s="512">
        <f>IFERROR(__xludf.DUMMYFUNCTION("""COMPUTED_VALUE"""),46203.6666666666)</f>
        <v/>
      </c>
      <c r="BA234" s="513">
        <f>IFERROR(__xludf.DUMMYFUNCTION("""COMPUTED_VALUE"""),109.07)</f>
        <v/>
      </c>
      <c r="BC234" s="512">
        <f>IFERROR(__xludf.DUMMYFUNCTION("""COMPUTED_VALUE"""),46203.6666666666)</f>
        <v/>
      </c>
      <c r="BD234" s="513">
        <f>IFERROR(__xludf.DUMMYFUNCTION("""COMPUTED_VALUE"""),94.57)</f>
        <v/>
      </c>
      <c r="BF234" s="512">
        <f>IFERROR(__xludf.DUMMYFUNCTION("""COMPUTED_VALUE"""),46203.6666666666)</f>
        <v/>
      </c>
      <c r="BG234" s="513">
        <f>IFERROR(__xludf.DUMMYFUNCTION("""COMPUTED_VALUE"""),82.11)</f>
        <v/>
      </c>
      <c r="BI234" s="512">
        <f>IFERROR(__xludf.DUMMYFUNCTION("""COMPUTED_VALUE"""),46203.6666666666)</f>
        <v/>
      </c>
      <c r="BJ234" s="513">
        <f>IFERROR(__xludf.DUMMYFUNCTION("""COMPUTED_VALUE"""),86.42)</f>
        <v/>
      </c>
      <c r="BL234" s="512">
        <f>IFERROR(__xludf.DUMMYFUNCTION("""COMPUTED_VALUE"""),46203.6666666666)</f>
        <v/>
      </c>
      <c r="BM234" s="513">
        <f>IFERROR(__xludf.DUMMYFUNCTION("""COMPUTED_VALUE"""),368.38)</f>
        <v/>
      </c>
      <c r="BO234" s="512">
        <f>IFERROR(__xludf.DUMMYFUNCTION("""COMPUTED_VALUE"""),46203.6666666666)</f>
        <v/>
      </c>
      <c r="BP234" s="513">
        <f>IFERROR(__xludf.DUMMYFUNCTION("""COMPUTED_VALUE"""),91.64)</f>
        <v/>
      </c>
    </row>
    <row r="235">
      <c r="A235" s="512">
        <f>IFERROR(__xludf.DUMMYFUNCTION("""COMPUTED_VALUE"""),46204.6666666666)</f>
        <v/>
      </c>
      <c r="B235" s="513">
        <f>IFERROR(__xludf.DUMMYFUNCTION("""COMPUTED_VALUE"""),745.76)</f>
        <v/>
      </c>
      <c r="D235" s="512">
        <f>IFERROR(__xludf.DUMMYFUNCTION("""COMPUTED_VALUE"""),46204.6666666666)</f>
        <v/>
      </c>
      <c r="E235" s="513">
        <f>IFERROR(__xludf.DUMMYFUNCTION("""COMPUTED_VALUE"""),96.82)</f>
        <v/>
      </c>
      <c r="G235" s="512" t="n"/>
      <c r="H235" s="513" t="n"/>
      <c r="J235" s="512">
        <f>IFERROR(__xludf.DUMMYFUNCTION("""COMPUTED_VALUE"""),46204.6666666666)</f>
        <v/>
      </c>
      <c r="K235" s="513">
        <f>IFERROR(__xludf.DUMMYFUNCTION("""COMPUTED_VALUE"""),93.05)</f>
        <v/>
      </c>
      <c r="M235" s="512">
        <f>IFERROR(__xludf.DUMMYFUNCTION("""COMPUTED_VALUE"""),46204.6666666666)</f>
        <v/>
      </c>
      <c r="N235" s="513">
        <f>IFERROR(__xludf.DUMMYFUNCTION("""COMPUTED_VALUE"""),299.32)</f>
        <v/>
      </c>
      <c r="P235" s="512">
        <f>IFERROR(__xludf.DUMMYFUNCTION("""COMPUTED_VALUE"""),46204.6666666666)</f>
        <v/>
      </c>
      <c r="Q235" s="513">
        <f>IFERROR(__xludf.DUMMYFUNCTION("""COMPUTED_VALUE"""),87.77)</f>
        <v/>
      </c>
      <c r="S235" s="512">
        <f>IFERROR(__xludf.DUMMYFUNCTION("""COMPUTED_VALUE"""),45474.6666666666)</f>
        <v/>
      </c>
      <c r="T235" s="513">
        <f>IFERROR(__xludf.DUMMYFUNCTION("""COMPUTED_VALUE"""),216.75)</f>
        <v/>
      </c>
      <c r="V235" s="512">
        <f>IFERROR(__xludf.DUMMYFUNCTION("""COMPUTED_VALUE"""),46204.6666666666)</f>
        <v/>
      </c>
      <c r="W235" s="513">
        <f>IFERROR(__xludf.DUMMYFUNCTION("""COMPUTED_VALUE"""),26.45)</f>
        <v/>
      </c>
      <c r="Y235" s="512">
        <f>IFERROR(__xludf.DUMMYFUNCTION("""COMPUTED_VALUE"""),46204.6666666666)</f>
        <v/>
      </c>
      <c r="Z235" s="513">
        <f>IFERROR(__xludf.DUMMYFUNCTION("""COMPUTED_VALUE"""),73.06)</f>
        <v/>
      </c>
      <c r="AB235" s="512">
        <f>IFERROR(__xludf.DUMMYFUNCTION("""COMPUTED_VALUE"""),46204.6666666666)</f>
        <v/>
      </c>
      <c r="AC235" s="513">
        <f>IFERROR(__xludf.DUMMYFUNCTION("""COMPUTED_VALUE"""),59.22)</f>
        <v/>
      </c>
      <c r="AE235" s="512">
        <f>IFERROR(__xludf.DUMMYFUNCTION("""COMPUTED_VALUE"""),46204.6666666666)</f>
        <v/>
      </c>
      <c r="AF235" s="513">
        <f>IFERROR(__xludf.DUMMYFUNCTION("""COMPUTED_VALUE"""),96.02)</f>
        <v/>
      </c>
      <c r="AH235" s="512">
        <f>IFERROR(__xludf.DUMMYFUNCTION("""COMPUTED_VALUE"""),46204.6666666666)</f>
        <v/>
      </c>
      <c r="AI235" s="513">
        <f>IFERROR(__xludf.DUMMYFUNCTION("""COMPUTED_VALUE"""),21.59)</f>
        <v/>
      </c>
      <c r="AK235" s="512">
        <f>IFERROR(__xludf.DUMMYFUNCTION("""COMPUTED_VALUE"""),46204.6666666666)</f>
        <v/>
      </c>
      <c r="AL235" s="513">
        <f>IFERROR(__xludf.DUMMYFUNCTION("""COMPUTED_VALUE"""),79.59)</f>
        <v/>
      </c>
      <c r="AN235" s="512">
        <f>IFERROR(__xludf.DUMMYFUNCTION("""COMPUTED_VALUE"""),46204.6666666666)</f>
        <v/>
      </c>
      <c r="AO235" s="513">
        <f>IFERROR(__xludf.DUMMYFUNCTION("""COMPUTED_VALUE"""),108.17)</f>
        <v/>
      </c>
      <c r="AQ235" s="512">
        <f>IFERROR(__xludf.DUMMYFUNCTION("""COMPUTED_VALUE"""),46204.6666666666)</f>
        <v/>
      </c>
      <c r="AR235" s="513">
        <f>IFERROR(__xludf.DUMMYFUNCTION("""COMPUTED_VALUE"""),103.02)</f>
        <v/>
      </c>
      <c r="AT235" s="512">
        <f>IFERROR(__xludf.DUMMYFUNCTION("""COMPUTED_VALUE"""),46204.6666666666)</f>
        <v/>
      </c>
      <c r="AU235" s="513">
        <f>IFERROR(__xludf.DUMMYFUNCTION("""COMPUTED_VALUE"""),66.48)</f>
        <v/>
      </c>
      <c r="AW235" s="512">
        <f>IFERROR(__xludf.DUMMYFUNCTION("""COMPUTED_VALUE"""),46204.6666666666)</f>
        <v/>
      </c>
      <c r="AX235" s="513">
        <f>IFERROR(__xludf.DUMMYFUNCTION("""COMPUTED_VALUE"""),98.5)</f>
        <v/>
      </c>
      <c r="AZ235" s="512">
        <f>IFERROR(__xludf.DUMMYFUNCTION("""COMPUTED_VALUE"""),46204.6666666666)</f>
        <v/>
      </c>
      <c r="BA235" s="513">
        <f>IFERROR(__xludf.DUMMYFUNCTION("""COMPUTED_VALUE"""),108.46)</f>
        <v/>
      </c>
      <c r="BC235" s="512">
        <f>IFERROR(__xludf.DUMMYFUNCTION("""COMPUTED_VALUE"""),46204.6666666666)</f>
        <v/>
      </c>
      <c r="BD235" s="513">
        <f>IFERROR(__xludf.DUMMYFUNCTION("""COMPUTED_VALUE"""),94.03)</f>
        <v/>
      </c>
      <c r="BF235" s="512">
        <f>IFERROR(__xludf.DUMMYFUNCTION("""COMPUTED_VALUE"""),46204.6666666666)</f>
        <v/>
      </c>
      <c r="BG235" s="513">
        <f>IFERROR(__xludf.DUMMYFUNCTION("""COMPUTED_VALUE"""),81.84)</f>
        <v/>
      </c>
      <c r="BI235" s="512">
        <f>IFERROR(__xludf.DUMMYFUNCTION("""COMPUTED_VALUE"""),46204.6666666666)</f>
        <v/>
      </c>
      <c r="BJ235" s="513">
        <f>IFERROR(__xludf.DUMMYFUNCTION("""COMPUTED_VALUE"""),85.52)</f>
        <v/>
      </c>
      <c r="BL235" s="512">
        <f>IFERROR(__xludf.DUMMYFUNCTION("""COMPUTED_VALUE"""),46204.6666666666)</f>
        <v/>
      </c>
      <c r="BM235" s="513">
        <f>IFERROR(__xludf.DUMMYFUNCTION("""COMPUTED_VALUE"""),370.6)</f>
        <v/>
      </c>
      <c r="BO235" s="512">
        <f>IFERROR(__xludf.DUMMYFUNCTION("""COMPUTED_VALUE"""),46204.6666666666)</f>
        <v/>
      </c>
      <c r="BP235" s="513">
        <f>IFERROR(__xludf.DUMMYFUNCTION("""COMPUTED_VALUE"""),91.4)</f>
        <v/>
      </c>
    </row>
    <row r="236">
      <c r="A236" s="512">
        <f>IFERROR(__xludf.DUMMYFUNCTION("""COMPUTED_VALUE"""),46205.6666666666)</f>
        <v/>
      </c>
      <c r="B236" s="513">
        <f>IFERROR(__xludf.DUMMYFUNCTION("""COMPUTED_VALUE"""),744.78)</f>
        <v/>
      </c>
      <c r="D236" s="512">
        <f>IFERROR(__xludf.DUMMYFUNCTION("""COMPUTED_VALUE"""),46205.6666666666)</f>
        <v/>
      </c>
      <c r="E236" s="513">
        <f>IFERROR(__xludf.DUMMYFUNCTION("""COMPUTED_VALUE"""),98.02)</f>
        <v/>
      </c>
      <c r="G236" s="512" t="n"/>
      <c r="H236" s="513" t="n"/>
      <c r="J236" s="512">
        <f>IFERROR(__xludf.DUMMYFUNCTION("""COMPUTED_VALUE"""),46205.6666666666)</f>
        <v/>
      </c>
      <c r="K236" s="513">
        <f>IFERROR(__xludf.DUMMYFUNCTION("""COMPUTED_VALUE"""),93.14)</f>
        <v/>
      </c>
      <c r="M236" s="512">
        <f>IFERROR(__xludf.DUMMYFUNCTION("""COMPUTED_VALUE"""),46205.6666666666)</f>
        <v/>
      </c>
      <c r="N236" s="513">
        <f>IFERROR(__xludf.DUMMYFUNCTION("""COMPUTED_VALUE"""),297.58)</f>
        <v/>
      </c>
      <c r="P236" s="512">
        <f>IFERROR(__xludf.DUMMYFUNCTION("""COMPUTED_VALUE"""),46205.6666666666)</f>
        <v/>
      </c>
      <c r="Q236" s="513">
        <f>IFERROR(__xludf.DUMMYFUNCTION("""COMPUTED_VALUE"""),89.35)</f>
        <v/>
      </c>
      <c r="S236" s="512">
        <f>IFERROR(__xludf.DUMMYFUNCTION("""COMPUTED_VALUE"""),45475.6666666666)</f>
        <v/>
      </c>
      <c r="T236" s="513">
        <f>IFERROR(__xludf.DUMMYFUNCTION("""COMPUTED_VALUE"""),220.27)</f>
        <v/>
      </c>
      <c r="V236" s="512">
        <f>IFERROR(__xludf.DUMMYFUNCTION("""COMPUTED_VALUE"""),46205.6666666666)</f>
        <v/>
      </c>
      <c r="W236" s="513">
        <f>IFERROR(__xludf.DUMMYFUNCTION("""COMPUTED_VALUE"""),26.57)</f>
        <v/>
      </c>
      <c r="Y236" s="512">
        <f>IFERROR(__xludf.DUMMYFUNCTION("""COMPUTED_VALUE"""),46205.6666666666)</f>
        <v/>
      </c>
      <c r="Z236" s="513">
        <f>IFERROR(__xludf.DUMMYFUNCTION("""COMPUTED_VALUE"""),73.11)</f>
        <v/>
      </c>
      <c r="AB236" s="512">
        <f>IFERROR(__xludf.DUMMYFUNCTION("""COMPUTED_VALUE"""),46205.6666666666)</f>
        <v/>
      </c>
      <c r="AC236" s="513">
        <f>IFERROR(__xludf.DUMMYFUNCTION("""COMPUTED_VALUE"""),59.04)</f>
        <v/>
      </c>
      <c r="AE236" s="512">
        <f>IFERROR(__xludf.DUMMYFUNCTION("""COMPUTED_VALUE"""),46205.6666666666)</f>
        <v/>
      </c>
      <c r="AF236" s="513">
        <f>IFERROR(__xludf.DUMMYFUNCTION("""COMPUTED_VALUE"""),96.2)</f>
        <v/>
      </c>
      <c r="AH236" s="512">
        <f>IFERROR(__xludf.DUMMYFUNCTION("""COMPUTED_VALUE"""),46205.6666666666)</f>
        <v/>
      </c>
      <c r="AI236" s="513">
        <f>IFERROR(__xludf.DUMMYFUNCTION("""COMPUTED_VALUE"""),21.68)</f>
        <v/>
      </c>
      <c r="AK236" s="512">
        <f>IFERROR(__xludf.DUMMYFUNCTION("""COMPUTED_VALUE"""),46205.6666666666)</f>
        <v/>
      </c>
      <c r="AL236" s="513">
        <f>IFERROR(__xludf.DUMMYFUNCTION("""COMPUTED_VALUE"""),79.71)</f>
        <v/>
      </c>
      <c r="AN236" s="512">
        <f>IFERROR(__xludf.DUMMYFUNCTION("""COMPUTED_VALUE"""),46205.6666666666)</f>
        <v/>
      </c>
      <c r="AO236" s="513">
        <f>IFERROR(__xludf.DUMMYFUNCTION("""COMPUTED_VALUE"""),108.33)</f>
        <v/>
      </c>
      <c r="AQ236" s="512">
        <f>IFERROR(__xludf.DUMMYFUNCTION("""COMPUTED_VALUE"""),46205.6666666666)</f>
        <v/>
      </c>
      <c r="AR236" s="513">
        <f>IFERROR(__xludf.DUMMYFUNCTION("""COMPUTED_VALUE"""),104.37)</f>
        <v/>
      </c>
      <c r="AT236" s="512">
        <f>IFERROR(__xludf.DUMMYFUNCTION("""COMPUTED_VALUE"""),46205.6666666666)</f>
        <v/>
      </c>
      <c r="AU236" s="513">
        <f>IFERROR(__xludf.DUMMYFUNCTION("""COMPUTED_VALUE"""),65.7)</f>
        <v/>
      </c>
      <c r="AW236" s="512">
        <f>IFERROR(__xludf.DUMMYFUNCTION("""COMPUTED_VALUE"""),46205.6666666666)</f>
        <v/>
      </c>
      <c r="AX236" s="513">
        <f>IFERROR(__xludf.DUMMYFUNCTION("""COMPUTED_VALUE"""),98.61)</f>
        <v/>
      </c>
      <c r="AZ236" s="512">
        <f>IFERROR(__xludf.DUMMYFUNCTION("""COMPUTED_VALUE"""),46205.6666666666)</f>
        <v/>
      </c>
      <c r="BA236" s="513">
        <f>IFERROR(__xludf.DUMMYFUNCTION("""COMPUTED_VALUE"""),108.64)</f>
        <v/>
      </c>
      <c r="BC236" s="512">
        <f>IFERROR(__xludf.DUMMYFUNCTION("""COMPUTED_VALUE"""),46205.6666666666)</f>
        <v/>
      </c>
      <c r="BD236" s="513">
        <f>IFERROR(__xludf.DUMMYFUNCTION("""COMPUTED_VALUE"""),94.12)</f>
        <v/>
      </c>
      <c r="BF236" s="512">
        <f>IFERROR(__xludf.DUMMYFUNCTION("""COMPUTED_VALUE"""),46205.6666666666)</f>
        <v/>
      </c>
      <c r="BG236" s="513">
        <f>IFERROR(__xludf.DUMMYFUNCTION("""COMPUTED_VALUE"""),81.94)</f>
        <v/>
      </c>
      <c r="BI236" s="512">
        <f>IFERROR(__xludf.DUMMYFUNCTION("""COMPUTED_VALUE"""),46205.6666666666)</f>
        <v/>
      </c>
      <c r="BJ236" s="513">
        <f>IFERROR(__xludf.DUMMYFUNCTION("""COMPUTED_VALUE"""),85.51)</f>
        <v/>
      </c>
      <c r="BL236" s="512">
        <f>IFERROR(__xludf.DUMMYFUNCTION("""COMPUTED_VALUE"""),46205.6666666666)</f>
        <v/>
      </c>
      <c r="BM236" s="513">
        <f>IFERROR(__xludf.DUMMYFUNCTION("""COMPUTED_VALUE"""),378.13)</f>
        <v/>
      </c>
      <c r="BO236" s="512">
        <f>IFERROR(__xludf.DUMMYFUNCTION("""COMPUTED_VALUE"""),46205.6666666666)</f>
        <v/>
      </c>
      <c r="BP236" s="513">
        <f>IFERROR(__xludf.DUMMYFUNCTION("""COMPUTED_VALUE"""),91.44)</f>
        <v/>
      </c>
    </row>
    <row r="237">
      <c r="A237" s="512">
        <f>IFERROR(__xludf.DUMMYFUNCTION("""COMPUTED_VALUE"""),46209.6666666666)</f>
        <v/>
      </c>
      <c r="B237" s="513">
        <f>IFERROR(__xludf.DUMMYFUNCTION("""COMPUTED_VALUE"""),751.28)</f>
        <v/>
      </c>
      <c r="D237" s="512">
        <f>IFERROR(__xludf.DUMMYFUNCTION("""COMPUTED_VALUE"""),46209.6666666666)</f>
        <v/>
      </c>
      <c r="E237" s="513">
        <f>IFERROR(__xludf.DUMMYFUNCTION("""COMPUTED_VALUE"""),97.24)</f>
        <v/>
      </c>
      <c r="G237" s="512" t="n"/>
      <c r="H237" s="513" t="n"/>
      <c r="J237" s="512">
        <f>IFERROR(__xludf.DUMMYFUNCTION("""COMPUTED_VALUE"""),46209.6666666666)</f>
        <v/>
      </c>
      <c r="K237" s="513">
        <f>IFERROR(__xludf.DUMMYFUNCTION("""COMPUTED_VALUE"""),95.27)</f>
        <v/>
      </c>
      <c r="M237" s="512">
        <f>IFERROR(__xludf.DUMMYFUNCTION("""COMPUTED_VALUE"""),46209.6666666666)</f>
        <v/>
      </c>
      <c r="N237" s="513">
        <f>IFERROR(__xludf.DUMMYFUNCTION("""COMPUTED_VALUE"""),298.9)</f>
        <v/>
      </c>
      <c r="P237" s="512">
        <f>IFERROR(__xludf.DUMMYFUNCTION("""COMPUTED_VALUE"""),46209.6666666666)</f>
        <v/>
      </c>
      <c r="Q237" s="513">
        <f>IFERROR(__xludf.DUMMYFUNCTION("""COMPUTED_VALUE"""),89.97)</f>
        <v/>
      </c>
      <c r="S237" s="512">
        <f>IFERROR(__xludf.DUMMYFUNCTION("""COMPUTED_VALUE"""),45476.5451388888)</f>
        <v/>
      </c>
      <c r="T237" s="513">
        <f>IFERROR(__xludf.DUMMYFUNCTION("""COMPUTED_VALUE"""),221.55)</f>
        <v/>
      </c>
      <c r="V237" s="512">
        <f>IFERROR(__xludf.DUMMYFUNCTION("""COMPUTED_VALUE"""),46209.6666666666)</f>
        <v/>
      </c>
      <c r="W237" s="513">
        <f>IFERROR(__xludf.DUMMYFUNCTION("""COMPUTED_VALUE"""),27)</f>
        <v/>
      </c>
      <c r="Y237" s="512">
        <f>IFERROR(__xludf.DUMMYFUNCTION("""COMPUTED_VALUE"""),46209.6666666666)</f>
        <v/>
      </c>
      <c r="Z237" s="513">
        <f>IFERROR(__xludf.DUMMYFUNCTION("""COMPUTED_VALUE"""),73.14)</f>
        <v/>
      </c>
      <c r="AB237" s="512">
        <f>IFERROR(__xludf.DUMMYFUNCTION("""COMPUTED_VALUE"""),46209.6666666666)</f>
        <v/>
      </c>
      <c r="AC237" s="513">
        <f>IFERROR(__xludf.DUMMYFUNCTION("""COMPUTED_VALUE"""),60.07)</f>
        <v/>
      </c>
      <c r="AE237" s="512">
        <f>IFERROR(__xludf.DUMMYFUNCTION("""COMPUTED_VALUE"""),46209.6666666666)</f>
        <v/>
      </c>
      <c r="AF237" s="513">
        <f>IFERROR(__xludf.DUMMYFUNCTION("""COMPUTED_VALUE"""),96.35)</f>
        <v/>
      </c>
      <c r="AH237" s="512">
        <f>IFERROR(__xludf.DUMMYFUNCTION("""COMPUTED_VALUE"""),46209.6666666666)</f>
        <v/>
      </c>
      <c r="AI237" s="513">
        <f>IFERROR(__xludf.DUMMYFUNCTION("""COMPUTED_VALUE"""),21.67)</f>
        <v/>
      </c>
      <c r="AK237" s="512">
        <f>IFERROR(__xludf.DUMMYFUNCTION("""COMPUTED_VALUE"""),46209.6666666666)</f>
        <v/>
      </c>
      <c r="AL237" s="513">
        <f>IFERROR(__xludf.DUMMYFUNCTION("""COMPUTED_VALUE"""),79.87)</f>
        <v/>
      </c>
      <c r="AN237" s="512">
        <f>IFERROR(__xludf.DUMMYFUNCTION("""COMPUTED_VALUE"""),46209.6666666666)</f>
        <v/>
      </c>
      <c r="AO237" s="513">
        <f>IFERROR(__xludf.DUMMYFUNCTION("""COMPUTED_VALUE"""),108.49)</f>
        <v/>
      </c>
      <c r="AQ237" s="512">
        <f>IFERROR(__xludf.DUMMYFUNCTION("""COMPUTED_VALUE"""),46209.6666666666)</f>
        <v/>
      </c>
      <c r="AR237" s="513">
        <f>IFERROR(__xludf.DUMMYFUNCTION("""COMPUTED_VALUE"""),105.46)</f>
        <v/>
      </c>
      <c r="AT237" s="512">
        <f>IFERROR(__xludf.DUMMYFUNCTION("""COMPUTED_VALUE"""),46209.6666666666)</f>
        <v/>
      </c>
      <c r="AU237" s="513">
        <f>IFERROR(__xludf.DUMMYFUNCTION("""COMPUTED_VALUE"""),67.57)</f>
        <v/>
      </c>
      <c r="AW237" s="512">
        <f>IFERROR(__xludf.DUMMYFUNCTION("""COMPUTED_VALUE"""),46209.6666666666)</f>
        <v/>
      </c>
      <c r="AX237" s="513">
        <f>IFERROR(__xludf.DUMMYFUNCTION("""COMPUTED_VALUE"""),98.66)</f>
        <v/>
      </c>
      <c r="AZ237" s="512">
        <f>IFERROR(__xludf.DUMMYFUNCTION("""COMPUTED_VALUE"""),46209.6666666666)</f>
        <v/>
      </c>
      <c r="BA237" s="513">
        <f>IFERROR(__xludf.DUMMYFUNCTION("""COMPUTED_VALUE"""),108.67)</f>
        <v/>
      </c>
      <c r="BC237" s="512">
        <f>IFERROR(__xludf.DUMMYFUNCTION("""COMPUTED_VALUE"""),46209.6666666666)</f>
        <v/>
      </c>
      <c r="BD237" s="513">
        <f>IFERROR(__xludf.DUMMYFUNCTION("""COMPUTED_VALUE"""),94.18)</f>
        <v/>
      </c>
      <c r="BF237" s="512">
        <f>IFERROR(__xludf.DUMMYFUNCTION("""COMPUTED_VALUE"""),46209.6666666666)</f>
        <v/>
      </c>
      <c r="BG237" s="513">
        <f>IFERROR(__xludf.DUMMYFUNCTION("""COMPUTED_VALUE"""),81.98)</f>
        <v/>
      </c>
      <c r="BI237" s="512">
        <f>IFERROR(__xludf.DUMMYFUNCTION("""COMPUTED_VALUE"""),46209.6666666666)</f>
        <v/>
      </c>
      <c r="BJ237" s="513">
        <f>IFERROR(__xludf.DUMMYFUNCTION("""COMPUTED_VALUE"""),85.45)</f>
        <v/>
      </c>
      <c r="BL237" s="512">
        <f>IFERROR(__xludf.DUMMYFUNCTION("""COMPUTED_VALUE"""),46209.6666666666)</f>
        <v/>
      </c>
      <c r="BM237" s="513">
        <f>IFERROR(__xludf.DUMMYFUNCTION("""COMPUTED_VALUE"""),382.13)</f>
        <v/>
      </c>
      <c r="BO237" s="512">
        <f>IFERROR(__xludf.DUMMYFUNCTION("""COMPUTED_VALUE"""),46209.6666666666)</f>
        <v/>
      </c>
      <c r="BP237" s="513">
        <f>IFERROR(__xludf.DUMMYFUNCTION("""COMPUTED_VALUE"""),91.43)</f>
        <v/>
      </c>
    </row>
    <row r="238">
      <c r="A238" s="512">
        <f>IFERROR(__xludf.DUMMYFUNCTION("""COMPUTED_VALUE"""),46210.6666666666)</f>
        <v/>
      </c>
      <c r="B238" s="513">
        <f>IFERROR(__xludf.DUMMYFUNCTION("""COMPUTED_VALUE"""),747.71)</f>
        <v/>
      </c>
      <c r="D238" s="512">
        <f>IFERROR(__xludf.DUMMYFUNCTION("""COMPUTED_VALUE"""),46210.6666666666)</f>
        <v/>
      </c>
      <c r="E238" s="513">
        <f>IFERROR(__xludf.DUMMYFUNCTION("""COMPUTED_VALUE"""),98.4)</f>
        <v/>
      </c>
      <c r="G238" s="512" t="n"/>
      <c r="H238" s="513" t="n"/>
      <c r="J238" s="512">
        <f>IFERROR(__xludf.DUMMYFUNCTION("""COMPUTED_VALUE"""),46210.6666666666)</f>
        <v/>
      </c>
      <c r="K238" s="513">
        <f>IFERROR(__xludf.DUMMYFUNCTION("""COMPUTED_VALUE"""),93.07)</f>
        <v/>
      </c>
      <c r="M238" s="512">
        <f>IFERROR(__xludf.DUMMYFUNCTION("""COMPUTED_VALUE"""),46210.6666666666)</f>
        <v/>
      </c>
      <c r="N238" s="513">
        <f>IFERROR(__xludf.DUMMYFUNCTION("""COMPUTED_VALUE"""),296.19)</f>
        <v/>
      </c>
      <c r="P238" s="512">
        <f>IFERROR(__xludf.DUMMYFUNCTION("""COMPUTED_VALUE"""),46210.6666666666)</f>
        <v/>
      </c>
      <c r="Q238" s="513">
        <f>IFERROR(__xludf.DUMMYFUNCTION("""COMPUTED_VALUE"""),89.04)</f>
        <v/>
      </c>
      <c r="S238" s="512">
        <f>IFERROR(__xludf.DUMMYFUNCTION("""COMPUTED_VALUE"""),45478.6666666666)</f>
        <v/>
      </c>
      <c r="T238" s="513">
        <f>IFERROR(__xludf.DUMMYFUNCTION("""COMPUTED_VALUE"""),226.34)</f>
        <v/>
      </c>
      <c r="V238" s="512">
        <f>IFERROR(__xludf.DUMMYFUNCTION("""COMPUTED_VALUE"""),46210.6666666666)</f>
        <v/>
      </c>
      <c r="W238" s="513">
        <f>IFERROR(__xludf.DUMMYFUNCTION("""COMPUTED_VALUE"""),27.35)</f>
        <v/>
      </c>
      <c r="Y238" s="512">
        <f>IFERROR(__xludf.DUMMYFUNCTION("""COMPUTED_VALUE"""),46210.6666666666)</f>
        <v/>
      </c>
      <c r="Z238" s="513">
        <f>IFERROR(__xludf.DUMMYFUNCTION("""COMPUTED_VALUE"""),72.85)</f>
        <v/>
      </c>
      <c r="AB238" s="512">
        <f>IFERROR(__xludf.DUMMYFUNCTION("""COMPUTED_VALUE"""),46210.6666666666)</f>
        <v/>
      </c>
      <c r="AC238" s="513">
        <f>IFERROR(__xludf.DUMMYFUNCTION("""COMPUTED_VALUE"""),58.88)</f>
        <v/>
      </c>
      <c r="AE238" s="512">
        <f>IFERROR(__xludf.DUMMYFUNCTION("""COMPUTED_VALUE"""),46210.6666666666)</f>
        <v/>
      </c>
      <c r="AF238" s="513">
        <f>IFERROR(__xludf.DUMMYFUNCTION("""COMPUTED_VALUE"""),95.94)</f>
        <v/>
      </c>
      <c r="AH238" s="512">
        <f>IFERROR(__xludf.DUMMYFUNCTION("""COMPUTED_VALUE"""),46210.6666666666)</f>
        <v/>
      </c>
      <c r="AI238" s="513">
        <f>IFERROR(__xludf.DUMMYFUNCTION("""COMPUTED_VALUE"""),21.55)</f>
        <v/>
      </c>
      <c r="AK238" s="512">
        <f>IFERROR(__xludf.DUMMYFUNCTION("""COMPUTED_VALUE"""),46210.6666666666)</f>
        <v/>
      </c>
      <c r="AL238" s="513">
        <f>IFERROR(__xludf.DUMMYFUNCTION("""COMPUTED_VALUE"""),79.76)</f>
        <v/>
      </c>
      <c r="AN238" s="512">
        <f>IFERROR(__xludf.DUMMYFUNCTION("""COMPUTED_VALUE"""),46210.6666666666)</f>
        <v/>
      </c>
      <c r="AO238" s="513">
        <f>IFERROR(__xludf.DUMMYFUNCTION("""COMPUTED_VALUE"""),108.17)</f>
        <v/>
      </c>
      <c r="AQ238" s="512">
        <f>IFERROR(__xludf.DUMMYFUNCTION("""COMPUTED_VALUE"""),46210.6666666666)</f>
        <v/>
      </c>
      <c r="AR238" s="513">
        <f>IFERROR(__xludf.DUMMYFUNCTION("""COMPUTED_VALUE"""),104.16)</f>
        <v/>
      </c>
      <c r="AT238" s="512">
        <f>IFERROR(__xludf.DUMMYFUNCTION("""COMPUTED_VALUE"""),46210.6666666666)</f>
        <v/>
      </c>
      <c r="AU238" s="513">
        <f>IFERROR(__xludf.DUMMYFUNCTION("""COMPUTED_VALUE"""),65.72)</f>
        <v/>
      </c>
      <c r="AW238" s="512">
        <f>IFERROR(__xludf.DUMMYFUNCTION("""COMPUTED_VALUE"""),46210.6666666666)</f>
        <v/>
      </c>
      <c r="AX238" s="513">
        <f>IFERROR(__xludf.DUMMYFUNCTION("""COMPUTED_VALUE"""),98.21)</f>
        <v/>
      </c>
      <c r="AZ238" s="512">
        <f>IFERROR(__xludf.DUMMYFUNCTION("""COMPUTED_VALUE"""),46210.6666666666)</f>
        <v/>
      </c>
      <c r="BA238" s="513">
        <f>IFERROR(__xludf.DUMMYFUNCTION("""COMPUTED_VALUE"""),107.88)</f>
        <v/>
      </c>
      <c r="BC238" s="512">
        <f>IFERROR(__xludf.DUMMYFUNCTION("""COMPUTED_VALUE"""),46210.6666666666)</f>
        <v/>
      </c>
      <c r="BD238" s="513">
        <f>IFERROR(__xludf.DUMMYFUNCTION("""COMPUTED_VALUE"""),93.7)</f>
        <v/>
      </c>
      <c r="BF238" s="512">
        <f>IFERROR(__xludf.DUMMYFUNCTION("""COMPUTED_VALUE"""),46210.6666666666)</f>
        <v/>
      </c>
      <c r="BG238" s="513">
        <f>IFERROR(__xludf.DUMMYFUNCTION("""COMPUTED_VALUE"""),81.86)</f>
        <v/>
      </c>
      <c r="BI238" s="512">
        <f>IFERROR(__xludf.DUMMYFUNCTION("""COMPUTED_VALUE"""),46210.6666666666)</f>
        <v/>
      </c>
      <c r="BJ238" s="513">
        <f>IFERROR(__xludf.DUMMYFUNCTION("""COMPUTED_VALUE"""),84.55)</f>
        <v/>
      </c>
      <c r="BL238" s="512">
        <f>IFERROR(__xludf.DUMMYFUNCTION("""COMPUTED_VALUE"""),46210.6666666666)</f>
        <v/>
      </c>
      <c r="BM238" s="513">
        <f>IFERROR(__xludf.DUMMYFUNCTION("""COMPUTED_VALUE"""),377.49)</f>
        <v/>
      </c>
      <c r="BO238" s="512">
        <f>IFERROR(__xludf.DUMMYFUNCTION("""COMPUTED_VALUE"""),46210.6666666666)</f>
        <v/>
      </c>
      <c r="BP238" s="513">
        <f>IFERROR(__xludf.DUMMYFUNCTION("""COMPUTED_VALUE"""),91.45)</f>
        <v/>
      </c>
    </row>
    <row r="239">
      <c r="A239" s="512">
        <f>IFERROR(__xludf.DUMMYFUNCTION("""COMPUTED_VALUE"""),46211.6666666666)</f>
        <v/>
      </c>
      <c r="B239" s="513">
        <f>IFERROR(__xludf.DUMMYFUNCTION("""COMPUTED_VALUE"""),745.4)</f>
        <v/>
      </c>
      <c r="D239" s="512">
        <f>IFERROR(__xludf.DUMMYFUNCTION("""COMPUTED_VALUE"""),46211.6666666666)</f>
        <v/>
      </c>
      <c r="E239" s="513">
        <f>IFERROR(__xludf.DUMMYFUNCTION("""COMPUTED_VALUE"""),96.8)</f>
        <v/>
      </c>
      <c r="G239" s="512" t="n"/>
      <c r="H239" s="513" t="n"/>
      <c r="J239" s="512">
        <f>IFERROR(__xludf.DUMMYFUNCTION("""COMPUTED_VALUE"""),46211.6666666666)</f>
        <v/>
      </c>
      <c r="K239" s="513">
        <f>IFERROR(__xludf.DUMMYFUNCTION("""COMPUTED_VALUE"""),92.54)</f>
        <v/>
      </c>
      <c r="M239" s="512">
        <f>IFERROR(__xludf.DUMMYFUNCTION("""COMPUTED_VALUE"""),46211.6666666666)</f>
        <v/>
      </c>
      <c r="N239" s="513">
        <f>IFERROR(__xludf.DUMMYFUNCTION("""COMPUTED_VALUE"""),293.48)</f>
        <v/>
      </c>
      <c r="P239" s="512">
        <f>IFERROR(__xludf.DUMMYFUNCTION("""COMPUTED_VALUE"""),46211.6666666666)</f>
        <v/>
      </c>
      <c r="Q239" s="513">
        <f>IFERROR(__xludf.DUMMYFUNCTION("""COMPUTED_VALUE"""),88.18)</f>
        <v/>
      </c>
      <c r="S239" s="512">
        <f>IFERROR(__xludf.DUMMYFUNCTION("""COMPUTED_VALUE"""),45481.6666666666)</f>
        <v/>
      </c>
      <c r="T239" s="513">
        <f>IFERROR(__xludf.DUMMYFUNCTION("""COMPUTED_VALUE"""),227.82)</f>
        <v/>
      </c>
      <c r="V239" s="512">
        <f>IFERROR(__xludf.DUMMYFUNCTION("""COMPUTED_VALUE"""),46211.6666666666)</f>
        <v/>
      </c>
      <c r="W239" s="513">
        <f>IFERROR(__xludf.DUMMYFUNCTION("""COMPUTED_VALUE"""),27.8)</f>
        <v/>
      </c>
      <c r="Y239" s="512">
        <f>IFERROR(__xludf.DUMMYFUNCTION("""COMPUTED_VALUE"""),46211.6666666666)</f>
        <v/>
      </c>
      <c r="Z239" s="513">
        <f>IFERROR(__xludf.DUMMYFUNCTION("""COMPUTED_VALUE"""),72.7)</f>
        <v/>
      </c>
      <c r="AB239" s="512">
        <f>IFERROR(__xludf.DUMMYFUNCTION("""COMPUTED_VALUE"""),46211.6666666666)</f>
        <v/>
      </c>
      <c r="AC239" s="513">
        <f>IFERROR(__xludf.DUMMYFUNCTION("""COMPUTED_VALUE"""),59.17)</f>
        <v/>
      </c>
      <c r="AE239" s="512">
        <f>IFERROR(__xludf.DUMMYFUNCTION("""COMPUTED_VALUE"""),46211.6666666666)</f>
        <v/>
      </c>
      <c r="AF239" s="513">
        <f>IFERROR(__xludf.DUMMYFUNCTION("""COMPUTED_VALUE"""),95.79)</f>
        <v/>
      </c>
      <c r="AH239" s="512">
        <f>IFERROR(__xludf.DUMMYFUNCTION("""COMPUTED_VALUE"""),46211.6666666666)</f>
        <v/>
      </c>
      <c r="AI239" s="513">
        <f>IFERROR(__xludf.DUMMYFUNCTION("""COMPUTED_VALUE"""),21.5)</f>
        <v/>
      </c>
      <c r="AK239" s="512">
        <f>IFERROR(__xludf.DUMMYFUNCTION("""COMPUTED_VALUE"""),46211.6666666666)</f>
        <v/>
      </c>
      <c r="AL239" s="513">
        <f>IFERROR(__xludf.DUMMYFUNCTION("""COMPUTED_VALUE"""),79.66)</f>
        <v/>
      </c>
      <c r="AN239" s="512">
        <f>IFERROR(__xludf.DUMMYFUNCTION("""COMPUTED_VALUE"""),46211.6666666666)</f>
        <v/>
      </c>
      <c r="AO239" s="513">
        <f>IFERROR(__xludf.DUMMYFUNCTION("""COMPUTED_VALUE"""),108.05)</f>
        <v/>
      </c>
      <c r="AQ239" s="512">
        <f>IFERROR(__xludf.DUMMYFUNCTION("""COMPUTED_VALUE"""),46211.6666666666)</f>
        <v/>
      </c>
      <c r="AR239" s="513">
        <f>IFERROR(__xludf.DUMMYFUNCTION("""COMPUTED_VALUE"""),103.36)</f>
        <v/>
      </c>
      <c r="AT239" s="512">
        <f>IFERROR(__xludf.DUMMYFUNCTION("""COMPUTED_VALUE"""),46211.6666666666)</f>
        <v/>
      </c>
      <c r="AU239" s="513">
        <f>IFERROR(__xludf.DUMMYFUNCTION("""COMPUTED_VALUE"""),66.23)</f>
        <v/>
      </c>
      <c r="AW239" s="512">
        <f>IFERROR(__xludf.DUMMYFUNCTION("""COMPUTED_VALUE"""),46211.6666666666)</f>
        <v/>
      </c>
      <c r="AX239" s="513">
        <f>IFERROR(__xludf.DUMMYFUNCTION("""COMPUTED_VALUE"""),98.04)</f>
        <v/>
      </c>
      <c r="AZ239" s="512">
        <f>IFERROR(__xludf.DUMMYFUNCTION("""COMPUTED_VALUE"""),46211.6666666666)</f>
        <v/>
      </c>
      <c r="BA239" s="513">
        <f>IFERROR(__xludf.DUMMYFUNCTION("""COMPUTED_VALUE"""),107.67)</f>
        <v/>
      </c>
      <c r="BC239" s="512">
        <f>IFERROR(__xludf.DUMMYFUNCTION("""COMPUTED_VALUE"""),46211.6666666666)</f>
        <v/>
      </c>
      <c r="BD239" s="513">
        <f>IFERROR(__xludf.DUMMYFUNCTION("""COMPUTED_VALUE"""),93.51)</f>
        <v/>
      </c>
      <c r="BF239" s="512">
        <f>IFERROR(__xludf.DUMMYFUNCTION("""COMPUTED_VALUE"""),46211.6666666666)</f>
        <v/>
      </c>
      <c r="BG239" s="513">
        <f>IFERROR(__xludf.DUMMYFUNCTION("""COMPUTED_VALUE"""),81.84)</f>
        <v/>
      </c>
      <c r="BI239" s="512">
        <f>IFERROR(__xludf.DUMMYFUNCTION("""COMPUTED_VALUE"""),46211.6666666666)</f>
        <v/>
      </c>
      <c r="BJ239" s="513">
        <f>IFERROR(__xludf.DUMMYFUNCTION("""COMPUTED_VALUE"""),84.36)</f>
        <v/>
      </c>
      <c r="BL239" s="512">
        <f>IFERROR(__xludf.DUMMYFUNCTION("""COMPUTED_VALUE"""),46211.6666666666)</f>
        <v/>
      </c>
      <c r="BM239" s="513">
        <f>IFERROR(__xludf.DUMMYFUNCTION("""COMPUTED_VALUE"""),374.45)</f>
        <v/>
      </c>
      <c r="BO239" s="512">
        <f>IFERROR(__xludf.DUMMYFUNCTION("""COMPUTED_VALUE"""),46211.6666666666)</f>
        <v/>
      </c>
      <c r="BP239" s="513">
        <f>IFERROR(__xludf.DUMMYFUNCTION("""COMPUTED_VALUE"""),91.45)</f>
        <v/>
      </c>
    </row>
    <row r="240">
      <c r="A240" s="512">
        <f>IFERROR(__xludf.DUMMYFUNCTION("""COMPUTED_VALUE"""),46212.6666666666)</f>
        <v/>
      </c>
      <c r="B240" s="513">
        <f>IFERROR(__xludf.DUMMYFUNCTION("""COMPUTED_VALUE"""),751.71)</f>
        <v/>
      </c>
      <c r="D240" s="512">
        <f>IFERROR(__xludf.DUMMYFUNCTION("""COMPUTED_VALUE"""),46212.6666666666)</f>
        <v/>
      </c>
      <c r="E240" s="513">
        <f>IFERROR(__xludf.DUMMYFUNCTION("""COMPUTED_VALUE"""),97.09)</f>
        <v/>
      </c>
      <c r="G240" s="512" t="n"/>
      <c r="H240" s="513" t="n"/>
      <c r="J240" s="512">
        <f>IFERROR(__xludf.DUMMYFUNCTION("""COMPUTED_VALUE"""),46212.6666666666)</f>
        <v/>
      </c>
      <c r="K240" s="513">
        <f>IFERROR(__xludf.DUMMYFUNCTION("""COMPUTED_VALUE"""),93.52)</f>
        <v/>
      </c>
      <c r="M240" s="512">
        <f>IFERROR(__xludf.DUMMYFUNCTION("""COMPUTED_VALUE"""),46212.6666666666)</f>
        <v/>
      </c>
      <c r="N240" s="513">
        <f>IFERROR(__xludf.DUMMYFUNCTION("""COMPUTED_VALUE"""),297.24)</f>
        <v/>
      </c>
      <c r="P240" s="512">
        <f>IFERROR(__xludf.DUMMYFUNCTION("""COMPUTED_VALUE"""),46212.6666666666)</f>
        <v/>
      </c>
      <c r="Q240" s="513">
        <f>IFERROR(__xludf.DUMMYFUNCTION("""COMPUTED_VALUE"""),88.41)</f>
        <v/>
      </c>
      <c r="S240" s="512">
        <f>IFERROR(__xludf.DUMMYFUNCTION("""COMPUTED_VALUE"""),45482.6666666666)</f>
        <v/>
      </c>
      <c r="T240" s="513">
        <f>IFERROR(__xludf.DUMMYFUNCTION("""COMPUTED_VALUE"""),228.68)</f>
        <v/>
      </c>
      <c r="V240" s="512">
        <f>IFERROR(__xludf.DUMMYFUNCTION("""COMPUTED_VALUE"""),46212.6666666666)</f>
        <v/>
      </c>
      <c r="W240" s="513">
        <f>IFERROR(__xludf.DUMMYFUNCTION("""COMPUTED_VALUE"""),27.58)</f>
        <v/>
      </c>
      <c r="Y240" s="512">
        <f>IFERROR(__xludf.DUMMYFUNCTION("""COMPUTED_VALUE"""),46212.6666666666)</f>
        <v/>
      </c>
      <c r="Z240" s="513">
        <f>IFERROR(__xludf.DUMMYFUNCTION("""COMPUTED_VALUE"""),72.83)</f>
        <v/>
      </c>
      <c r="AB240" s="512">
        <f>IFERROR(__xludf.DUMMYFUNCTION("""COMPUTED_VALUE"""),46212.6666666666)</f>
        <v/>
      </c>
      <c r="AC240" s="513">
        <f>IFERROR(__xludf.DUMMYFUNCTION("""COMPUTED_VALUE"""),59.49)</f>
        <v/>
      </c>
      <c r="AE240" s="512">
        <f>IFERROR(__xludf.DUMMYFUNCTION("""COMPUTED_VALUE"""),46212.6666666666)</f>
        <v/>
      </c>
      <c r="AF240" s="513">
        <f>IFERROR(__xludf.DUMMYFUNCTION("""COMPUTED_VALUE"""),95.96)</f>
        <v/>
      </c>
      <c r="AH240" s="512">
        <f>IFERROR(__xludf.DUMMYFUNCTION("""COMPUTED_VALUE"""),46212.6666666666)</f>
        <v/>
      </c>
      <c r="AI240" s="513">
        <f>IFERROR(__xludf.DUMMYFUNCTION("""COMPUTED_VALUE"""),21.52)</f>
        <v/>
      </c>
      <c r="AK240" s="512">
        <f>IFERROR(__xludf.DUMMYFUNCTION("""COMPUTED_VALUE"""),46212.6666666666)</f>
        <v/>
      </c>
      <c r="AL240" s="513">
        <f>IFERROR(__xludf.DUMMYFUNCTION("""COMPUTED_VALUE"""),79.75)</f>
        <v/>
      </c>
      <c r="AN240" s="512">
        <f>IFERROR(__xludf.DUMMYFUNCTION("""COMPUTED_VALUE"""),46212.6666666666)</f>
        <v/>
      </c>
      <c r="AO240" s="513">
        <f>IFERROR(__xludf.DUMMYFUNCTION("""COMPUTED_VALUE"""),108.12)</f>
        <v/>
      </c>
      <c r="AQ240" s="512">
        <f>IFERROR(__xludf.DUMMYFUNCTION("""COMPUTED_VALUE"""),46212.6666666666)</f>
        <v/>
      </c>
      <c r="AR240" s="513">
        <f>IFERROR(__xludf.DUMMYFUNCTION("""COMPUTED_VALUE"""),103.92)</f>
        <v/>
      </c>
      <c r="AT240" s="512">
        <f>IFERROR(__xludf.DUMMYFUNCTION("""COMPUTED_VALUE"""),46212.6666666666)</f>
        <v/>
      </c>
      <c r="AU240" s="513">
        <f>IFERROR(__xludf.DUMMYFUNCTION("""COMPUTED_VALUE"""),66.78)</f>
        <v/>
      </c>
      <c r="AW240" s="512">
        <f>IFERROR(__xludf.DUMMYFUNCTION("""COMPUTED_VALUE"""),46212.6666666666)</f>
        <v/>
      </c>
      <c r="AX240" s="513">
        <f>IFERROR(__xludf.DUMMYFUNCTION("""COMPUTED_VALUE"""),98.18)</f>
        <v/>
      </c>
      <c r="AZ240" s="512">
        <f>IFERROR(__xludf.DUMMYFUNCTION("""COMPUTED_VALUE"""),46212.6666666666)</f>
        <v/>
      </c>
      <c r="BA240" s="513">
        <f>IFERROR(__xludf.DUMMYFUNCTION("""COMPUTED_VALUE"""),107.71)</f>
        <v/>
      </c>
      <c r="BC240" s="512">
        <f>IFERROR(__xludf.DUMMYFUNCTION("""COMPUTED_VALUE"""),46212.6666666666)</f>
        <v/>
      </c>
      <c r="BD240" s="513">
        <f>IFERROR(__xludf.DUMMYFUNCTION("""COMPUTED_VALUE"""),93.71)</f>
        <v/>
      </c>
      <c r="BF240" s="512">
        <f>IFERROR(__xludf.DUMMYFUNCTION("""COMPUTED_VALUE"""),46212.6666666666)</f>
        <v/>
      </c>
      <c r="BG240" s="513">
        <f>IFERROR(__xludf.DUMMYFUNCTION("""COMPUTED_VALUE"""),81.91)</f>
        <v/>
      </c>
      <c r="BI240" s="512">
        <f>IFERROR(__xludf.DUMMYFUNCTION("""COMPUTED_VALUE"""),46212.6666666666)</f>
        <v/>
      </c>
      <c r="BJ240" s="513">
        <f>IFERROR(__xludf.DUMMYFUNCTION("""COMPUTED_VALUE"""),84.49)</f>
        <v/>
      </c>
      <c r="BL240" s="512">
        <f>IFERROR(__xludf.DUMMYFUNCTION("""COMPUTED_VALUE"""),46212.6666666666)</f>
        <v/>
      </c>
      <c r="BM240" s="513">
        <f>IFERROR(__xludf.DUMMYFUNCTION("""COMPUTED_VALUE"""),378.18)</f>
        <v/>
      </c>
      <c r="BO240" s="512">
        <f>IFERROR(__xludf.DUMMYFUNCTION("""COMPUTED_VALUE"""),46212.6666666666)</f>
        <v/>
      </c>
      <c r="BP240" s="513">
        <f>IFERROR(__xludf.DUMMYFUNCTION("""COMPUTED_VALUE"""),91.46)</f>
        <v/>
      </c>
    </row>
    <row r="241">
      <c r="A241" s="512">
        <f>IFERROR(__xludf.DUMMYFUNCTION("""COMPUTED_VALUE"""),46213.6666666666)</f>
        <v/>
      </c>
      <c r="B241" s="513">
        <f>IFERROR(__xludf.DUMMYFUNCTION("""COMPUTED_VALUE"""),754.95)</f>
        <v/>
      </c>
      <c r="D241" s="512">
        <f>IFERROR(__xludf.DUMMYFUNCTION("""COMPUTED_VALUE"""),46213.6666666666)</f>
        <v/>
      </c>
      <c r="E241" s="513">
        <f>IFERROR(__xludf.DUMMYFUNCTION("""COMPUTED_VALUE"""),97.32)</f>
        <v/>
      </c>
      <c r="G241" s="512" t="n"/>
      <c r="H241" s="513" t="n"/>
      <c r="J241" s="512">
        <f>IFERROR(__xludf.DUMMYFUNCTION("""COMPUTED_VALUE"""),46213.6666666666)</f>
        <v/>
      </c>
      <c r="K241" s="513">
        <f>IFERROR(__xludf.DUMMYFUNCTION("""COMPUTED_VALUE"""),94.55)</f>
        <v/>
      </c>
      <c r="M241" s="512">
        <f>IFERROR(__xludf.DUMMYFUNCTION("""COMPUTED_VALUE"""),46213.6666666666)</f>
        <v/>
      </c>
      <c r="N241" s="513">
        <f>IFERROR(__xludf.DUMMYFUNCTION("""COMPUTED_VALUE"""),295.99)</f>
        <v/>
      </c>
      <c r="P241" s="512">
        <f>IFERROR(__xludf.DUMMYFUNCTION("""COMPUTED_VALUE"""),46213.6666666666)</f>
        <v/>
      </c>
      <c r="Q241" s="513">
        <f>IFERROR(__xludf.DUMMYFUNCTION("""COMPUTED_VALUE"""),88.57)</f>
        <v/>
      </c>
      <c r="S241" s="512">
        <f>IFERROR(__xludf.DUMMYFUNCTION("""COMPUTED_VALUE"""),45483.6666666666)</f>
        <v/>
      </c>
      <c r="T241" s="513">
        <f>IFERROR(__xludf.DUMMYFUNCTION("""COMPUTED_VALUE"""),232.98)</f>
        <v/>
      </c>
      <c r="V241" s="512">
        <f>IFERROR(__xludf.DUMMYFUNCTION("""COMPUTED_VALUE"""),46213.6666666666)</f>
        <v/>
      </c>
      <c r="W241" s="513">
        <f>IFERROR(__xludf.DUMMYFUNCTION("""COMPUTED_VALUE"""),27.52)</f>
        <v/>
      </c>
      <c r="Y241" s="512">
        <f>IFERROR(__xludf.DUMMYFUNCTION("""COMPUTED_VALUE"""),46213.6666666666)</f>
        <v/>
      </c>
      <c r="Z241" s="513">
        <f>IFERROR(__xludf.DUMMYFUNCTION("""COMPUTED_VALUE"""),72.77)</f>
        <v/>
      </c>
      <c r="AB241" s="512">
        <f>IFERROR(__xludf.DUMMYFUNCTION("""COMPUTED_VALUE"""),46213.6666666666)</f>
        <v/>
      </c>
      <c r="AC241" s="513">
        <f>IFERROR(__xludf.DUMMYFUNCTION("""COMPUTED_VALUE"""),59.89)</f>
        <v/>
      </c>
      <c r="AE241" s="512">
        <f>IFERROR(__xludf.DUMMYFUNCTION("""COMPUTED_VALUE"""),46213.6666666666)</f>
        <v/>
      </c>
      <c r="AF241" s="513">
        <f>IFERROR(__xludf.DUMMYFUNCTION("""COMPUTED_VALUE"""),95.99)</f>
        <v/>
      </c>
      <c r="AH241" s="512">
        <f>IFERROR(__xludf.DUMMYFUNCTION("""COMPUTED_VALUE"""),46213.6666666666)</f>
        <v/>
      </c>
      <c r="AI241" s="513">
        <f>IFERROR(__xludf.DUMMYFUNCTION("""COMPUTED_VALUE"""),21.59)</f>
        <v/>
      </c>
      <c r="AK241" s="512">
        <f>IFERROR(__xludf.DUMMYFUNCTION("""COMPUTED_VALUE"""),46213.6666666666)</f>
        <v/>
      </c>
      <c r="AL241" s="513">
        <f>IFERROR(__xludf.DUMMYFUNCTION("""COMPUTED_VALUE"""),79.71)</f>
        <v/>
      </c>
      <c r="AN241" s="512">
        <f>IFERROR(__xludf.DUMMYFUNCTION("""COMPUTED_VALUE"""),46213.6666666666)</f>
        <v/>
      </c>
      <c r="AO241" s="513">
        <f>IFERROR(__xludf.DUMMYFUNCTION("""COMPUTED_VALUE"""),108.13)</f>
        <v/>
      </c>
      <c r="AQ241" s="512">
        <f>IFERROR(__xludf.DUMMYFUNCTION("""COMPUTED_VALUE"""),46213.6666666666)</f>
        <v/>
      </c>
      <c r="AR241" s="513">
        <f>IFERROR(__xludf.DUMMYFUNCTION("""COMPUTED_VALUE"""),104.33)</f>
        <v/>
      </c>
      <c r="AT241" s="512">
        <f>IFERROR(__xludf.DUMMYFUNCTION("""COMPUTED_VALUE"""),46213.6666666666)</f>
        <v/>
      </c>
      <c r="AU241" s="513">
        <f>IFERROR(__xludf.DUMMYFUNCTION("""COMPUTED_VALUE"""),66.9)</f>
        <v/>
      </c>
      <c r="AW241" s="512">
        <f>IFERROR(__xludf.DUMMYFUNCTION("""COMPUTED_VALUE"""),46213.6666666666)</f>
        <v/>
      </c>
      <c r="AX241" s="513">
        <f>IFERROR(__xludf.DUMMYFUNCTION("""COMPUTED_VALUE"""),98.08)</f>
        <v/>
      </c>
      <c r="AZ241" s="512">
        <f>IFERROR(__xludf.DUMMYFUNCTION("""COMPUTED_VALUE"""),46213.6666666666)</f>
        <v/>
      </c>
      <c r="BA241" s="513">
        <f>IFERROR(__xludf.DUMMYFUNCTION("""COMPUTED_VALUE"""),107.46)</f>
        <v/>
      </c>
      <c r="BC241" s="512">
        <f>IFERROR(__xludf.DUMMYFUNCTION("""COMPUTED_VALUE"""),46213.6666666666)</f>
        <v/>
      </c>
      <c r="BD241" s="513">
        <f>IFERROR(__xludf.DUMMYFUNCTION("""COMPUTED_VALUE"""),93.63)</f>
        <v/>
      </c>
      <c r="BF241" s="512">
        <f>IFERROR(__xludf.DUMMYFUNCTION("""COMPUTED_VALUE"""),46213.6666666666)</f>
        <v/>
      </c>
      <c r="BG241" s="513">
        <f>IFERROR(__xludf.DUMMYFUNCTION("""COMPUTED_VALUE"""),81.88)</f>
        <v/>
      </c>
      <c r="BI241" s="512">
        <f>IFERROR(__xludf.DUMMYFUNCTION("""COMPUTED_VALUE"""),46213.6666666666)</f>
        <v/>
      </c>
      <c r="BJ241" s="513">
        <f>IFERROR(__xludf.DUMMYFUNCTION("""COMPUTED_VALUE"""),84.47)</f>
        <v/>
      </c>
      <c r="BL241" s="512">
        <f>IFERROR(__xludf.DUMMYFUNCTION("""COMPUTED_VALUE"""),46213.6666666666)</f>
        <v/>
      </c>
      <c r="BM241" s="513">
        <f>IFERROR(__xludf.DUMMYFUNCTION("""COMPUTED_VALUE"""),377.01)</f>
        <v/>
      </c>
      <c r="BO241" s="512">
        <f>IFERROR(__xludf.DUMMYFUNCTION("""COMPUTED_VALUE"""),46213.6666666666)</f>
        <v/>
      </c>
      <c r="BP241" s="513">
        <f>IFERROR(__xludf.DUMMYFUNCTION("""COMPUTED_VALUE"""),91.5)</f>
        <v/>
      </c>
    </row>
    <row r="242">
      <c r="A242" s="512">
        <f>IFERROR(__xludf.DUMMYFUNCTION("""COMPUTED_VALUE"""),46216.6666666666)</f>
        <v/>
      </c>
      <c r="B242" s="513">
        <f>IFERROR(__xludf.DUMMYFUNCTION("""COMPUTED_VALUE"""),749.17)</f>
        <v/>
      </c>
      <c r="D242" s="512">
        <f>IFERROR(__xludf.DUMMYFUNCTION("""COMPUTED_VALUE"""),46216.6666666666)</f>
        <v/>
      </c>
      <c r="E242" s="513">
        <f>IFERROR(__xludf.DUMMYFUNCTION("""COMPUTED_VALUE"""),97.83)</f>
        <v/>
      </c>
      <c r="G242" s="512" t="n"/>
      <c r="H242" s="513" t="n"/>
      <c r="J242" s="512">
        <f>IFERROR(__xludf.DUMMYFUNCTION("""COMPUTED_VALUE"""),46216.6666666666)</f>
        <v/>
      </c>
      <c r="K242" s="513">
        <f>IFERROR(__xludf.DUMMYFUNCTION("""COMPUTED_VALUE"""),92.72)</f>
        <v/>
      </c>
      <c r="M242" s="512">
        <f>IFERROR(__xludf.DUMMYFUNCTION("""COMPUTED_VALUE"""),46216.6666666666)</f>
        <v/>
      </c>
      <c r="N242" s="513">
        <f>IFERROR(__xludf.DUMMYFUNCTION("""COMPUTED_VALUE"""),293.48)</f>
        <v/>
      </c>
      <c r="P242" s="512">
        <f>IFERROR(__xludf.DUMMYFUNCTION("""COMPUTED_VALUE"""),46216.6666666666)</f>
        <v/>
      </c>
      <c r="Q242" s="513">
        <f>IFERROR(__xludf.DUMMYFUNCTION("""COMPUTED_VALUE"""),87.86)</f>
        <v/>
      </c>
      <c r="S242" s="512">
        <f>IFERROR(__xludf.DUMMYFUNCTION("""COMPUTED_VALUE"""),45484.6666666666)</f>
        <v/>
      </c>
      <c r="T242" s="513">
        <f>IFERROR(__xludf.DUMMYFUNCTION("""COMPUTED_VALUE"""),227.57)</f>
        <v/>
      </c>
      <c r="V242" s="512">
        <f>IFERROR(__xludf.DUMMYFUNCTION("""COMPUTED_VALUE"""),46216.6666666666)</f>
        <v/>
      </c>
      <c r="W242" s="513">
        <f>IFERROR(__xludf.DUMMYFUNCTION("""COMPUTED_VALUE"""),28.33)</f>
        <v/>
      </c>
      <c r="Y242" s="512">
        <f>IFERROR(__xludf.DUMMYFUNCTION("""COMPUTED_VALUE"""),46216.6666666666)</f>
        <v/>
      </c>
      <c r="Z242" s="513">
        <f>IFERROR(__xludf.DUMMYFUNCTION("""COMPUTED_VALUE"""),72.5)</f>
        <v/>
      </c>
      <c r="AB242" s="512">
        <f>IFERROR(__xludf.DUMMYFUNCTION("""COMPUTED_VALUE"""),46216.6666666666)</f>
        <v/>
      </c>
      <c r="AC242" s="513">
        <f>IFERROR(__xludf.DUMMYFUNCTION("""COMPUTED_VALUE"""),58.79)</f>
        <v/>
      </c>
      <c r="AE242" s="512">
        <f>IFERROR(__xludf.DUMMYFUNCTION("""COMPUTED_VALUE"""),46216.6666666666)</f>
        <v/>
      </c>
      <c r="AF242" s="513">
        <f>IFERROR(__xludf.DUMMYFUNCTION("""COMPUTED_VALUE"""),95.38)</f>
        <v/>
      </c>
      <c r="AH242" s="512">
        <f>IFERROR(__xludf.DUMMYFUNCTION("""COMPUTED_VALUE"""),46216.6666666666)</f>
        <v/>
      </c>
      <c r="AI242" s="513">
        <f>IFERROR(__xludf.DUMMYFUNCTION("""COMPUTED_VALUE"""),21.45)</f>
        <v/>
      </c>
      <c r="AK242" s="512">
        <f>IFERROR(__xludf.DUMMYFUNCTION("""COMPUTED_VALUE"""),46216.6666666666)</f>
        <v/>
      </c>
      <c r="AL242" s="513">
        <f>IFERROR(__xludf.DUMMYFUNCTION("""COMPUTED_VALUE"""),79.52)</f>
        <v/>
      </c>
      <c r="AN242" s="512">
        <f>IFERROR(__xludf.DUMMYFUNCTION("""COMPUTED_VALUE"""),46216.6666666666)</f>
        <v/>
      </c>
      <c r="AO242" s="513">
        <f>IFERROR(__xludf.DUMMYFUNCTION("""COMPUTED_VALUE"""),107.91)</f>
        <v/>
      </c>
      <c r="AQ242" s="512">
        <f>IFERROR(__xludf.DUMMYFUNCTION("""COMPUTED_VALUE"""),46216.6666666666)</f>
        <v/>
      </c>
      <c r="AR242" s="513">
        <f>IFERROR(__xludf.DUMMYFUNCTION("""COMPUTED_VALUE"""),103.24)</f>
        <v/>
      </c>
      <c r="AT242" s="512">
        <f>IFERROR(__xludf.DUMMYFUNCTION("""COMPUTED_VALUE"""),46216.6666666666)</f>
        <v/>
      </c>
      <c r="AU242" s="513">
        <f>IFERROR(__xludf.DUMMYFUNCTION("""COMPUTED_VALUE"""),64.5)</f>
        <v/>
      </c>
      <c r="AW242" s="512">
        <f>IFERROR(__xludf.DUMMYFUNCTION("""COMPUTED_VALUE"""),46216.6666666666)</f>
        <v/>
      </c>
      <c r="AX242" s="513">
        <f>IFERROR(__xludf.DUMMYFUNCTION("""COMPUTED_VALUE"""),97.71)</f>
        <v/>
      </c>
      <c r="AZ242" s="512">
        <f>IFERROR(__xludf.DUMMYFUNCTION("""COMPUTED_VALUE"""),46216.6666666666)</f>
        <v/>
      </c>
      <c r="BA242" s="513">
        <f>IFERROR(__xludf.DUMMYFUNCTION("""COMPUTED_VALUE"""),106.96)</f>
        <v/>
      </c>
      <c r="BC242" s="512">
        <f>IFERROR(__xludf.DUMMYFUNCTION("""COMPUTED_VALUE"""),46216.6666666666)</f>
        <v/>
      </c>
      <c r="BD242" s="513">
        <f>IFERROR(__xludf.DUMMYFUNCTION("""COMPUTED_VALUE"""),93.29)</f>
        <v/>
      </c>
      <c r="BF242" s="512">
        <f>IFERROR(__xludf.DUMMYFUNCTION("""COMPUTED_VALUE"""),46216.6666666666)</f>
        <v/>
      </c>
      <c r="BG242" s="513">
        <f>IFERROR(__xludf.DUMMYFUNCTION("""COMPUTED_VALUE"""),81.79)</f>
        <v/>
      </c>
      <c r="BI242" s="512">
        <f>IFERROR(__xludf.DUMMYFUNCTION("""COMPUTED_VALUE"""),46216.6666666666)</f>
        <v/>
      </c>
      <c r="BJ242" s="513">
        <f>IFERROR(__xludf.DUMMYFUNCTION("""COMPUTED_VALUE"""),83.97)</f>
        <v/>
      </c>
      <c r="BL242" s="512">
        <f>IFERROR(__xludf.DUMMYFUNCTION("""COMPUTED_VALUE"""),46216.6666666666)</f>
        <v/>
      </c>
      <c r="BM242" s="513">
        <f>IFERROR(__xludf.DUMMYFUNCTION("""COMPUTED_VALUE"""),367.13)</f>
        <v/>
      </c>
      <c r="BO242" s="512">
        <f>IFERROR(__xludf.DUMMYFUNCTION("""COMPUTED_VALUE"""),46216.6666666666)</f>
        <v/>
      </c>
      <c r="BP242" s="513">
        <f>IFERROR(__xludf.DUMMYFUNCTION("""COMPUTED_VALUE"""),91.5)</f>
        <v/>
      </c>
    </row>
    <row r="243">
      <c r="A243" s="512">
        <f>IFERROR(__xludf.DUMMYFUNCTION("""COMPUTED_VALUE"""),46217.6666666666)</f>
        <v/>
      </c>
      <c r="B243" s="513">
        <f>IFERROR(__xludf.DUMMYFUNCTION("""COMPUTED_VALUE"""),751.83)</f>
        <v/>
      </c>
      <c r="D243" s="512">
        <f>IFERROR(__xludf.DUMMYFUNCTION("""COMPUTED_VALUE"""),46217.6666666666)</f>
        <v/>
      </c>
      <c r="E243" s="513">
        <f>IFERROR(__xludf.DUMMYFUNCTION("""COMPUTED_VALUE"""),97.57)</f>
        <v/>
      </c>
      <c r="G243" s="512" t="n"/>
      <c r="H243" s="513" t="n"/>
      <c r="J243" s="512">
        <f>IFERROR(__xludf.DUMMYFUNCTION("""COMPUTED_VALUE"""),46217.6666666666)</f>
        <v/>
      </c>
      <c r="K243" s="513">
        <f>IFERROR(__xludf.DUMMYFUNCTION("""COMPUTED_VALUE"""),93.89)</f>
        <v/>
      </c>
      <c r="M243" s="512">
        <f>IFERROR(__xludf.DUMMYFUNCTION("""COMPUTED_VALUE"""),46217.6666666666)</f>
        <v/>
      </c>
      <c r="N243" s="513">
        <f>IFERROR(__xludf.DUMMYFUNCTION("""COMPUTED_VALUE"""),294.51)</f>
        <v/>
      </c>
      <c r="P243" s="512">
        <f>IFERROR(__xludf.DUMMYFUNCTION("""COMPUTED_VALUE"""),46217.6666666666)</f>
        <v/>
      </c>
      <c r="Q243" s="513">
        <f>IFERROR(__xludf.DUMMYFUNCTION("""COMPUTED_VALUE"""),88.3)</f>
        <v/>
      </c>
      <c r="S243" s="512">
        <f>IFERROR(__xludf.DUMMYFUNCTION("""COMPUTED_VALUE"""),45485.6666666666)</f>
        <v/>
      </c>
      <c r="T243" s="513">
        <f>IFERROR(__xludf.DUMMYFUNCTION("""COMPUTED_VALUE"""),230.54)</f>
        <v/>
      </c>
      <c r="V243" s="512">
        <f>IFERROR(__xludf.DUMMYFUNCTION("""COMPUTED_VALUE"""),46217.6666666666)</f>
        <v/>
      </c>
      <c r="W243" s="513">
        <f>IFERROR(__xludf.DUMMYFUNCTION("""COMPUTED_VALUE"""),28.63)</f>
        <v/>
      </c>
      <c r="Y243" s="512">
        <f>IFERROR(__xludf.DUMMYFUNCTION("""COMPUTED_VALUE"""),46217.6666666666)</f>
        <v/>
      </c>
      <c r="Z243" s="513">
        <f>IFERROR(__xludf.DUMMYFUNCTION("""COMPUTED_VALUE"""),72.7)</f>
        <v/>
      </c>
      <c r="AB243" s="512">
        <f>IFERROR(__xludf.DUMMYFUNCTION("""COMPUTED_VALUE"""),46217.6666666666)</f>
        <v/>
      </c>
      <c r="AC243" s="513">
        <f>IFERROR(__xludf.DUMMYFUNCTION("""COMPUTED_VALUE"""),59.08)</f>
        <v/>
      </c>
      <c r="AE243" s="512">
        <f>IFERROR(__xludf.DUMMYFUNCTION("""COMPUTED_VALUE"""),46217.6666666666)</f>
        <v/>
      </c>
      <c r="AF243" s="513">
        <f>IFERROR(__xludf.DUMMYFUNCTION("""COMPUTED_VALUE"""),95.57)</f>
        <v/>
      </c>
      <c r="AH243" s="512">
        <f>IFERROR(__xludf.DUMMYFUNCTION("""COMPUTED_VALUE"""),46217.6666666666)</f>
        <v/>
      </c>
      <c r="AI243" s="513">
        <f>IFERROR(__xludf.DUMMYFUNCTION("""COMPUTED_VALUE"""),21.59)</f>
        <v/>
      </c>
      <c r="AK243" s="512">
        <f>IFERROR(__xludf.DUMMYFUNCTION("""COMPUTED_VALUE"""),46217.6666666666)</f>
        <v/>
      </c>
      <c r="AL243" s="513">
        <f>IFERROR(__xludf.DUMMYFUNCTION("""COMPUTED_VALUE"""),79.68)</f>
        <v/>
      </c>
      <c r="AN243" s="512">
        <f>IFERROR(__xludf.DUMMYFUNCTION("""COMPUTED_VALUE"""),46217.6666666666)</f>
        <v/>
      </c>
      <c r="AO243" s="513">
        <f>IFERROR(__xludf.DUMMYFUNCTION("""COMPUTED_VALUE"""),108.01)</f>
        <v/>
      </c>
      <c r="AQ243" s="512">
        <f>IFERROR(__xludf.DUMMYFUNCTION("""COMPUTED_VALUE"""),46217.6666666666)</f>
        <v/>
      </c>
      <c r="AR243" s="513">
        <f>IFERROR(__xludf.DUMMYFUNCTION("""COMPUTED_VALUE"""),103.96)</f>
        <v/>
      </c>
      <c r="AT243" s="512">
        <f>IFERROR(__xludf.DUMMYFUNCTION("""COMPUTED_VALUE"""),46217.6666666666)</f>
        <v/>
      </c>
      <c r="AU243" s="513">
        <f>IFERROR(__xludf.DUMMYFUNCTION("""COMPUTED_VALUE"""),65.67)</f>
        <v/>
      </c>
      <c r="AW243" s="512">
        <f>IFERROR(__xludf.DUMMYFUNCTION("""COMPUTED_VALUE"""),46217.6666666666)</f>
        <v/>
      </c>
      <c r="AX243" s="513">
        <f>IFERROR(__xludf.DUMMYFUNCTION("""COMPUTED_VALUE"""),98)</f>
        <v/>
      </c>
      <c r="AZ243" s="512">
        <f>IFERROR(__xludf.DUMMYFUNCTION("""COMPUTED_VALUE"""),46217.6666666666)</f>
        <v/>
      </c>
      <c r="BA243" s="513">
        <f>IFERROR(__xludf.DUMMYFUNCTION("""COMPUTED_VALUE"""),107.21)</f>
        <v/>
      </c>
      <c r="BC243" s="512">
        <f>IFERROR(__xludf.DUMMYFUNCTION("""COMPUTED_VALUE"""),46217.6666666666)</f>
        <v/>
      </c>
      <c r="BD243" s="513">
        <f>IFERROR(__xludf.DUMMYFUNCTION("""COMPUTED_VALUE"""),93.55)</f>
        <v/>
      </c>
      <c r="BF243" s="512">
        <f>IFERROR(__xludf.DUMMYFUNCTION("""COMPUTED_VALUE"""),46217.6666666666)</f>
        <v/>
      </c>
      <c r="BG243" s="513">
        <f>IFERROR(__xludf.DUMMYFUNCTION("""COMPUTED_VALUE"""),81.93)</f>
        <v/>
      </c>
      <c r="BI243" s="512">
        <f>IFERROR(__xludf.DUMMYFUNCTION("""COMPUTED_VALUE"""),46217.6666666666)</f>
        <v/>
      </c>
      <c r="BJ243" s="513">
        <f>IFERROR(__xludf.DUMMYFUNCTION("""COMPUTED_VALUE"""),84.08)</f>
        <v/>
      </c>
      <c r="BL243" s="512">
        <f>IFERROR(__xludf.DUMMYFUNCTION("""COMPUTED_VALUE"""),46217.6666666666)</f>
        <v/>
      </c>
      <c r="BM243" s="513">
        <f>IFERROR(__xludf.DUMMYFUNCTION("""COMPUTED_VALUE"""),372.15)</f>
        <v/>
      </c>
      <c r="BO243" s="512">
        <f>IFERROR(__xludf.DUMMYFUNCTION("""COMPUTED_VALUE"""),46217.6666666666)</f>
        <v/>
      </c>
      <c r="BP243" s="513">
        <f>IFERROR(__xludf.DUMMYFUNCTION("""COMPUTED_VALUE"""),91.51)</f>
        <v/>
      </c>
    </row>
    <row r="244">
      <c r="A244" s="512">
        <f>IFERROR(__xludf.DUMMYFUNCTION("""COMPUTED_VALUE"""),46218.6666666666)</f>
        <v/>
      </c>
      <c r="B244" s="513">
        <f>IFERROR(__xludf.DUMMYFUNCTION("""COMPUTED_VALUE"""),754.81)</f>
        <v/>
      </c>
      <c r="D244" s="512">
        <f>IFERROR(__xludf.DUMMYFUNCTION("""COMPUTED_VALUE"""),46218.6666666666)</f>
        <v/>
      </c>
      <c r="E244" s="513">
        <f>IFERROR(__xludf.DUMMYFUNCTION("""COMPUTED_VALUE"""),97.86)</f>
        <v/>
      </c>
      <c r="G244" s="512" t="n"/>
      <c r="H244" s="513" t="n"/>
      <c r="J244" s="512">
        <f>IFERROR(__xludf.DUMMYFUNCTION("""COMPUTED_VALUE"""),46218.6666666666)</f>
        <v/>
      </c>
      <c r="K244" s="513">
        <f>IFERROR(__xludf.DUMMYFUNCTION("""COMPUTED_VALUE"""),93.5)</f>
        <v/>
      </c>
      <c r="M244" s="512">
        <f>IFERROR(__xludf.DUMMYFUNCTION("""COMPUTED_VALUE"""),46218.6666666666)</f>
        <v/>
      </c>
      <c r="N244" s="513">
        <f>IFERROR(__xludf.DUMMYFUNCTION("""COMPUTED_VALUE"""),295.77)</f>
        <v/>
      </c>
      <c r="P244" s="512">
        <f>IFERROR(__xludf.DUMMYFUNCTION("""COMPUTED_VALUE"""),46218.6666666666)</f>
        <v/>
      </c>
      <c r="Q244" s="513">
        <f>IFERROR(__xludf.DUMMYFUNCTION("""COMPUTED_VALUE"""),89.12)</f>
        <v/>
      </c>
      <c r="S244" s="512">
        <f>IFERROR(__xludf.DUMMYFUNCTION("""COMPUTED_VALUE"""),45488.6666666666)</f>
        <v/>
      </c>
      <c r="T244" s="513">
        <f>IFERROR(__xludf.DUMMYFUNCTION("""COMPUTED_VALUE"""),234.4)</f>
        <v/>
      </c>
      <c r="V244" s="512">
        <f>IFERROR(__xludf.DUMMYFUNCTION("""COMPUTED_VALUE"""),46218.6666666666)</f>
        <v/>
      </c>
      <c r="W244" s="513">
        <f>IFERROR(__xludf.DUMMYFUNCTION("""COMPUTED_VALUE"""),28.79)</f>
        <v/>
      </c>
      <c r="Y244" s="512">
        <f>IFERROR(__xludf.DUMMYFUNCTION("""COMPUTED_VALUE"""),46218.6666666666)</f>
        <v/>
      </c>
      <c r="Z244" s="513">
        <f>IFERROR(__xludf.DUMMYFUNCTION("""COMPUTED_VALUE"""),72.82)</f>
        <v/>
      </c>
      <c r="AB244" s="512">
        <f>IFERROR(__xludf.DUMMYFUNCTION("""COMPUTED_VALUE"""),46218.6666666666)</f>
        <v/>
      </c>
      <c r="AC244" s="513">
        <f>IFERROR(__xludf.DUMMYFUNCTION("""COMPUTED_VALUE"""),59.48)</f>
        <v/>
      </c>
      <c r="AE244" s="512">
        <f>IFERROR(__xludf.DUMMYFUNCTION("""COMPUTED_VALUE"""),46218.6666666666)</f>
        <v/>
      </c>
      <c r="AF244" s="513">
        <f>IFERROR(__xludf.DUMMYFUNCTION("""COMPUTED_VALUE"""),95.73)</f>
        <v/>
      </c>
      <c r="AH244" s="512">
        <f>IFERROR(__xludf.DUMMYFUNCTION("""COMPUTED_VALUE"""),46218.6666666666)</f>
        <v/>
      </c>
      <c r="AI244" s="513">
        <f>IFERROR(__xludf.DUMMYFUNCTION("""COMPUTED_VALUE"""),21.66)</f>
        <v/>
      </c>
      <c r="AK244" s="512">
        <f>IFERROR(__xludf.DUMMYFUNCTION("""COMPUTED_VALUE"""),46218.6666666666)</f>
        <v/>
      </c>
      <c r="AL244" s="513">
        <f>IFERROR(__xludf.DUMMYFUNCTION("""COMPUTED_VALUE"""),79.81)</f>
        <v/>
      </c>
      <c r="AN244" s="512">
        <f>IFERROR(__xludf.DUMMYFUNCTION("""COMPUTED_VALUE"""),46218.6666666666)</f>
        <v/>
      </c>
      <c r="AO244" s="513">
        <f>IFERROR(__xludf.DUMMYFUNCTION("""COMPUTED_VALUE"""),108.07)</f>
        <v/>
      </c>
      <c r="AQ244" s="512">
        <f>IFERROR(__xludf.DUMMYFUNCTION("""COMPUTED_VALUE"""),46218.6666666666)</f>
        <v/>
      </c>
      <c r="AR244" s="513">
        <f>IFERROR(__xludf.DUMMYFUNCTION("""COMPUTED_VALUE"""),104.65)</f>
        <v/>
      </c>
      <c r="AT244" s="512">
        <f>IFERROR(__xludf.DUMMYFUNCTION("""COMPUTED_VALUE"""),46218.6666666666)</f>
        <v/>
      </c>
      <c r="AU244" s="513">
        <f>IFERROR(__xludf.DUMMYFUNCTION("""COMPUTED_VALUE"""),65.57)</f>
        <v/>
      </c>
      <c r="AW244" s="512">
        <f>IFERROR(__xludf.DUMMYFUNCTION("""COMPUTED_VALUE"""),46218.6666666666)</f>
        <v/>
      </c>
      <c r="AX244" s="513">
        <f>IFERROR(__xludf.DUMMYFUNCTION("""COMPUTED_VALUE"""),98.14)</f>
        <v/>
      </c>
      <c r="AZ244" s="512">
        <f>IFERROR(__xludf.DUMMYFUNCTION("""COMPUTED_VALUE"""),46218.6666666666)</f>
        <v/>
      </c>
      <c r="BA244" s="513">
        <f>IFERROR(__xludf.DUMMYFUNCTION("""COMPUTED_VALUE"""),107.58)</f>
        <v/>
      </c>
      <c r="BC244" s="512">
        <f>IFERROR(__xludf.DUMMYFUNCTION("""COMPUTED_VALUE"""),46218.6666666666)</f>
        <v/>
      </c>
      <c r="BD244" s="513">
        <f>IFERROR(__xludf.DUMMYFUNCTION("""COMPUTED_VALUE"""),93.78)</f>
        <v/>
      </c>
      <c r="BF244" s="512">
        <f>IFERROR(__xludf.DUMMYFUNCTION("""COMPUTED_VALUE"""),46218.6666666666)</f>
        <v/>
      </c>
      <c r="BG244" s="513">
        <f>IFERROR(__xludf.DUMMYFUNCTION("""COMPUTED_VALUE"""),82)</f>
        <v/>
      </c>
      <c r="BI244" s="512">
        <f>IFERROR(__xludf.DUMMYFUNCTION("""COMPUTED_VALUE"""),46218.6666666666)</f>
        <v/>
      </c>
      <c r="BJ244" s="513">
        <f>IFERROR(__xludf.DUMMYFUNCTION("""COMPUTED_VALUE"""),84.24)</f>
        <v/>
      </c>
      <c r="BL244" s="512">
        <f>IFERROR(__xludf.DUMMYFUNCTION("""COMPUTED_VALUE"""),46218.6666666666)</f>
        <v/>
      </c>
      <c r="BM244" s="513">
        <f>IFERROR(__xludf.DUMMYFUNCTION("""COMPUTED_VALUE"""),372.35)</f>
        <v/>
      </c>
      <c r="BO244" s="512">
        <f>IFERROR(__xludf.DUMMYFUNCTION("""COMPUTED_VALUE"""),46218.6666666666)</f>
        <v/>
      </c>
      <c r="BP244" s="513">
        <f>IFERROR(__xludf.DUMMYFUNCTION("""COMPUTED_VALUE"""),91.52)</f>
        <v/>
      </c>
    </row>
    <row r="245">
      <c r="A245" s="512">
        <f>IFERROR(__xludf.DUMMYFUNCTION("""COMPUTED_VALUE"""),46219.6666666666)</f>
        <v/>
      </c>
      <c r="B245" s="513">
        <f>IFERROR(__xludf.DUMMYFUNCTION("""COMPUTED_VALUE"""),750.72)</f>
        <v/>
      </c>
      <c r="D245" s="512">
        <f>IFERROR(__xludf.DUMMYFUNCTION("""COMPUTED_VALUE"""),46219.6666666666)</f>
        <v/>
      </c>
      <c r="E245" s="513">
        <f>IFERROR(__xludf.DUMMYFUNCTION("""COMPUTED_VALUE"""),100.07)</f>
        <v/>
      </c>
      <c r="G245" s="512" t="n"/>
      <c r="H245" s="513" t="n"/>
      <c r="J245" s="512">
        <f>IFERROR(__xludf.DUMMYFUNCTION("""COMPUTED_VALUE"""),46219.6666666666)</f>
        <v/>
      </c>
      <c r="K245" s="513">
        <f>IFERROR(__xludf.DUMMYFUNCTION("""COMPUTED_VALUE"""),91.91)</f>
        <v/>
      </c>
      <c r="M245" s="512">
        <f>IFERROR(__xludf.DUMMYFUNCTION("""COMPUTED_VALUE"""),46219.6666666666)</f>
        <v/>
      </c>
      <c r="N245" s="513">
        <f>IFERROR(__xludf.DUMMYFUNCTION("""COMPUTED_VALUE"""),295.59)</f>
        <v/>
      </c>
      <c r="P245" s="512">
        <f>IFERROR(__xludf.DUMMYFUNCTION("""COMPUTED_VALUE"""),46219.6666666666)</f>
        <v/>
      </c>
      <c r="Q245" s="513">
        <f>IFERROR(__xludf.DUMMYFUNCTION("""COMPUTED_VALUE"""),88.79)</f>
        <v/>
      </c>
      <c r="S245" s="512">
        <f>IFERROR(__xludf.DUMMYFUNCTION("""COMPUTED_VALUE"""),45489.6666666666)</f>
        <v/>
      </c>
      <c r="T245" s="513">
        <f>IFERROR(__xludf.DUMMYFUNCTION("""COMPUTED_VALUE"""),234.82)</f>
        <v/>
      </c>
      <c r="V245" s="512">
        <f>IFERROR(__xludf.DUMMYFUNCTION("""COMPUTED_VALUE"""),46219.6666666666)</f>
        <v/>
      </c>
      <c r="W245" s="513">
        <f>IFERROR(__xludf.DUMMYFUNCTION("""COMPUTED_VALUE"""),28.46)</f>
        <v/>
      </c>
      <c r="Y245" s="512">
        <f>IFERROR(__xludf.DUMMYFUNCTION("""COMPUTED_VALUE"""),46219.6666666666)</f>
        <v/>
      </c>
      <c r="Z245" s="513">
        <f>IFERROR(__xludf.DUMMYFUNCTION("""COMPUTED_VALUE"""),72.81)</f>
        <v/>
      </c>
      <c r="AB245" s="512">
        <f>IFERROR(__xludf.DUMMYFUNCTION("""COMPUTED_VALUE"""),46219.6666666666)</f>
        <v/>
      </c>
      <c r="AC245" s="513">
        <f>IFERROR(__xludf.DUMMYFUNCTION("""COMPUTED_VALUE"""),58.84)</f>
        <v/>
      </c>
      <c r="AE245" s="512">
        <f>IFERROR(__xludf.DUMMYFUNCTION("""COMPUTED_VALUE"""),46219.6666666666)</f>
        <v/>
      </c>
      <c r="AF245" s="513">
        <f>IFERROR(__xludf.DUMMYFUNCTION("""COMPUTED_VALUE"""),95.59)</f>
        <v/>
      </c>
      <c r="AH245" s="512">
        <f>IFERROR(__xludf.DUMMYFUNCTION("""COMPUTED_VALUE"""),46219.6666666666)</f>
        <v/>
      </c>
      <c r="AI245" s="513">
        <f>IFERROR(__xludf.DUMMYFUNCTION("""COMPUTED_VALUE"""),21.59)</f>
        <v/>
      </c>
      <c r="AK245" s="512">
        <f>IFERROR(__xludf.DUMMYFUNCTION("""COMPUTED_VALUE"""),46219.6666666666)</f>
        <v/>
      </c>
      <c r="AL245" s="513">
        <f>IFERROR(__xludf.DUMMYFUNCTION("""COMPUTED_VALUE"""),79.8)</f>
        <v/>
      </c>
      <c r="AN245" s="512">
        <f>IFERROR(__xludf.DUMMYFUNCTION("""COMPUTED_VALUE"""),46219.6666666666)</f>
        <v/>
      </c>
      <c r="AO245" s="513">
        <f>IFERROR(__xludf.DUMMYFUNCTION("""COMPUTED_VALUE"""),107.97)</f>
        <v/>
      </c>
      <c r="AQ245" s="512">
        <f>IFERROR(__xludf.DUMMYFUNCTION("""COMPUTED_VALUE"""),46219.6666666666)</f>
        <v/>
      </c>
      <c r="AR245" s="513">
        <f>IFERROR(__xludf.DUMMYFUNCTION("""COMPUTED_VALUE"""),103.81)</f>
        <v/>
      </c>
      <c r="AT245" s="512">
        <f>IFERROR(__xludf.DUMMYFUNCTION("""COMPUTED_VALUE"""),46219.6666666666)</f>
        <v/>
      </c>
      <c r="AU245" s="513">
        <f>IFERROR(__xludf.DUMMYFUNCTION("""COMPUTED_VALUE"""),64.19)</f>
        <v/>
      </c>
      <c r="AW245" s="512">
        <f>IFERROR(__xludf.DUMMYFUNCTION("""COMPUTED_VALUE"""),46219.6666666666)</f>
        <v/>
      </c>
      <c r="AX245" s="513">
        <f>IFERROR(__xludf.DUMMYFUNCTION("""COMPUTED_VALUE"""),98.13)</f>
        <v/>
      </c>
      <c r="AZ245" s="512">
        <f>IFERROR(__xludf.DUMMYFUNCTION("""COMPUTED_VALUE"""),46219.6666666666)</f>
        <v/>
      </c>
      <c r="BA245" s="513">
        <f>IFERROR(__xludf.DUMMYFUNCTION("""COMPUTED_VALUE"""),107.5)</f>
        <v/>
      </c>
      <c r="BC245" s="512">
        <f>IFERROR(__xludf.DUMMYFUNCTION("""COMPUTED_VALUE"""),46219.6666666666)</f>
        <v/>
      </c>
      <c r="BD245" s="513">
        <f>IFERROR(__xludf.DUMMYFUNCTION("""COMPUTED_VALUE"""),93.72)</f>
        <v/>
      </c>
      <c r="BF245" s="512">
        <f>IFERROR(__xludf.DUMMYFUNCTION("""COMPUTED_VALUE"""),46219.6666666666)</f>
        <v/>
      </c>
      <c r="BG245" s="513">
        <f>IFERROR(__xludf.DUMMYFUNCTION("""COMPUTED_VALUE"""),82)</f>
        <v/>
      </c>
      <c r="BI245" s="512">
        <f>IFERROR(__xludf.DUMMYFUNCTION("""COMPUTED_VALUE"""),46219.6666666666)</f>
        <v/>
      </c>
      <c r="BJ245" s="513">
        <f>IFERROR(__xludf.DUMMYFUNCTION("""COMPUTED_VALUE"""),84.21)</f>
        <v/>
      </c>
      <c r="BL245" s="512">
        <f>IFERROR(__xludf.DUMMYFUNCTION("""COMPUTED_VALUE"""),46219.6666666666)</f>
        <v/>
      </c>
      <c r="BM245" s="513">
        <f>IFERROR(__xludf.DUMMYFUNCTION("""COMPUTED_VALUE"""),364.96)</f>
        <v/>
      </c>
      <c r="BO245" s="512">
        <f>IFERROR(__xludf.DUMMYFUNCTION("""COMPUTED_VALUE"""),46219.6666666666)</f>
        <v/>
      </c>
      <c r="BP245" s="513">
        <f>IFERROR(__xludf.DUMMYFUNCTION("""COMPUTED_VALUE"""),91.53)</f>
        <v/>
      </c>
    </row>
    <row r="246">
      <c r="A246" s="512">
        <f>IFERROR(__xludf.DUMMYFUNCTION("""COMPUTED_VALUE"""),46220.6666666666)</f>
        <v/>
      </c>
      <c r="B246" s="513">
        <f>IFERROR(__xludf.DUMMYFUNCTION("""COMPUTED_VALUE"""),743.29)</f>
        <v/>
      </c>
      <c r="D246" s="512">
        <f>IFERROR(__xludf.DUMMYFUNCTION("""COMPUTED_VALUE"""),46220.6666666666)</f>
        <v/>
      </c>
      <c r="E246" s="513">
        <f>IFERROR(__xludf.DUMMYFUNCTION("""COMPUTED_VALUE"""),100.02)</f>
        <v/>
      </c>
      <c r="G246" s="512" t="n"/>
      <c r="H246" s="513" t="n"/>
      <c r="J246" s="512">
        <f>IFERROR(__xludf.DUMMYFUNCTION("""COMPUTED_VALUE"""),46220.6666666666)</f>
        <v/>
      </c>
      <c r="K246" s="513">
        <f>IFERROR(__xludf.DUMMYFUNCTION("""COMPUTED_VALUE"""),90.49)</f>
        <v/>
      </c>
      <c r="M246" s="512">
        <f>IFERROR(__xludf.DUMMYFUNCTION("""COMPUTED_VALUE"""),46220.6666666666)</f>
        <v/>
      </c>
      <c r="N246" s="513">
        <f>IFERROR(__xludf.DUMMYFUNCTION("""COMPUTED_VALUE"""),294.04)</f>
        <v/>
      </c>
      <c r="P246" s="512">
        <f>IFERROR(__xludf.DUMMYFUNCTION("""COMPUTED_VALUE"""),46220.6666666666)</f>
        <v/>
      </c>
      <c r="Q246" s="513">
        <f>IFERROR(__xludf.DUMMYFUNCTION("""COMPUTED_VALUE"""),88.59)</f>
        <v/>
      </c>
      <c r="S246" s="512">
        <f>IFERROR(__xludf.DUMMYFUNCTION("""COMPUTED_VALUE"""),45490.6666666666)</f>
        <v/>
      </c>
      <c r="T246" s="513">
        <f>IFERROR(__xludf.DUMMYFUNCTION("""COMPUTED_VALUE"""),228.88)</f>
        <v/>
      </c>
      <c r="V246" s="512">
        <f>IFERROR(__xludf.DUMMYFUNCTION("""COMPUTED_VALUE"""),46220.6666666666)</f>
        <v/>
      </c>
      <c r="W246" s="513">
        <f>IFERROR(__xludf.DUMMYFUNCTION("""COMPUTED_VALUE"""),28.98)</f>
        <v/>
      </c>
      <c r="Y246" s="512">
        <f>IFERROR(__xludf.DUMMYFUNCTION("""COMPUTED_VALUE"""),46220.6666666666)</f>
        <v/>
      </c>
      <c r="Z246" s="513">
        <f>IFERROR(__xludf.DUMMYFUNCTION("""COMPUTED_VALUE"""),72.86)</f>
        <v/>
      </c>
      <c r="AB246" s="512">
        <f>IFERROR(__xludf.DUMMYFUNCTION("""COMPUTED_VALUE"""),46220.6666666666)</f>
        <v/>
      </c>
      <c r="AC246" s="513">
        <f>IFERROR(__xludf.DUMMYFUNCTION("""COMPUTED_VALUE"""),57.84)</f>
        <v/>
      </c>
      <c r="AE246" s="512">
        <f>IFERROR(__xludf.DUMMYFUNCTION("""COMPUTED_VALUE"""),46220.6666666666)</f>
        <v/>
      </c>
      <c r="AF246" s="513">
        <f>IFERROR(__xludf.DUMMYFUNCTION("""COMPUTED_VALUE"""),95.53)</f>
        <v/>
      </c>
      <c r="AH246" s="512">
        <f>IFERROR(__xludf.DUMMYFUNCTION("""COMPUTED_VALUE"""),46220.6666666666)</f>
        <v/>
      </c>
      <c r="AI246" s="513">
        <f>IFERROR(__xludf.DUMMYFUNCTION("""COMPUTED_VALUE"""),21.56)</f>
        <v/>
      </c>
      <c r="AK246" s="512">
        <f>IFERROR(__xludf.DUMMYFUNCTION("""COMPUTED_VALUE"""),46220.6666666666)</f>
        <v/>
      </c>
      <c r="AL246" s="513">
        <f>IFERROR(__xludf.DUMMYFUNCTION("""COMPUTED_VALUE"""),79.65)</f>
        <v/>
      </c>
      <c r="AN246" s="512">
        <f>IFERROR(__xludf.DUMMYFUNCTION("""COMPUTED_VALUE"""),46220.6666666666)</f>
        <v/>
      </c>
      <c r="AO246" s="513">
        <f>IFERROR(__xludf.DUMMYFUNCTION("""COMPUTED_VALUE"""),108.27)</f>
        <v/>
      </c>
      <c r="AQ246" s="512">
        <f>IFERROR(__xludf.DUMMYFUNCTION("""COMPUTED_VALUE"""),46220.6666666666)</f>
        <v/>
      </c>
      <c r="AR246" s="513">
        <f>IFERROR(__xludf.DUMMYFUNCTION("""COMPUTED_VALUE"""),103.33)</f>
        <v/>
      </c>
      <c r="AT246" s="512">
        <f>IFERROR(__xludf.DUMMYFUNCTION("""COMPUTED_VALUE"""),46220.6666666666)</f>
        <v/>
      </c>
      <c r="AU246" s="513">
        <f>IFERROR(__xludf.DUMMYFUNCTION("""COMPUTED_VALUE"""),63.29)</f>
        <v/>
      </c>
      <c r="AW246" s="512">
        <f>IFERROR(__xludf.DUMMYFUNCTION("""COMPUTED_VALUE"""),46220.6666666666)</f>
        <v/>
      </c>
      <c r="AX246" s="513">
        <f>IFERROR(__xludf.DUMMYFUNCTION("""COMPUTED_VALUE"""),98.2)</f>
        <v/>
      </c>
      <c r="AZ246" s="512">
        <f>IFERROR(__xludf.DUMMYFUNCTION("""COMPUTED_VALUE"""),46220.6666666666)</f>
        <v/>
      </c>
      <c r="BA246" s="513">
        <f>IFERROR(__xludf.DUMMYFUNCTION("""COMPUTED_VALUE"""),107.56)</f>
        <v/>
      </c>
      <c r="BC246" s="512">
        <f>IFERROR(__xludf.DUMMYFUNCTION("""COMPUTED_VALUE"""),46220.6666666666)</f>
        <v/>
      </c>
      <c r="BD246" s="513">
        <f>IFERROR(__xludf.DUMMYFUNCTION("""COMPUTED_VALUE"""),93.84)</f>
        <v/>
      </c>
      <c r="BF246" s="512">
        <f>IFERROR(__xludf.DUMMYFUNCTION("""COMPUTED_VALUE"""),46220.6666666666)</f>
        <v/>
      </c>
      <c r="BG246" s="513">
        <f>IFERROR(__xludf.DUMMYFUNCTION("""COMPUTED_VALUE"""),81.99)</f>
        <v/>
      </c>
      <c r="BI246" s="512">
        <f>IFERROR(__xludf.DUMMYFUNCTION("""COMPUTED_VALUE"""),46220.6666666666)</f>
        <v/>
      </c>
      <c r="BJ246" s="513">
        <f>IFERROR(__xludf.DUMMYFUNCTION("""COMPUTED_VALUE"""),84.52)</f>
        <v/>
      </c>
      <c r="BL246" s="512">
        <f>IFERROR(__xludf.DUMMYFUNCTION("""COMPUTED_VALUE"""),46220.6666666666)</f>
        <v/>
      </c>
      <c r="BM246" s="513">
        <f>IFERROR(__xludf.DUMMYFUNCTION("""COMPUTED_VALUE"""),368.41)</f>
        <v/>
      </c>
      <c r="BO246" s="512">
        <f>IFERROR(__xludf.DUMMYFUNCTION("""COMPUTED_VALUE"""),46220.6666666666)</f>
        <v/>
      </c>
      <c r="BP246" s="513">
        <f>IFERROR(__xludf.DUMMYFUNCTION("""COMPUTED_VALUE"""),91.55)</f>
        <v/>
      </c>
    </row>
    <row r="247">
      <c r="A247" s="512">
        <f>IFERROR(__xludf.DUMMYFUNCTION("""COMPUTED_VALUE"""),46223.6666666666)</f>
        <v/>
      </c>
      <c r="B247" s="513">
        <f>IFERROR(__xludf.DUMMYFUNCTION("""COMPUTED_VALUE"""),742.09)</f>
        <v/>
      </c>
      <c r="D247" s="512">
        <f>IFERROR(__xludf.DUMMYFUNCTION("""COMPUTED_VALUE"""),46223.6666666666)</f>
        <v/>
      </c>
      <c r="E247" s="513">
        <f>IFERROR(__xludf.DUMMYFUNCTION("""COMPUTED_VALUE"""),99.48)</f>
        <v/>
      </c>
      <c r="G247" s="512" t="n"/>
      <c r="H247" s="513" t="n"/>
      <c r="J247" s="512">
        <f>IFERROR(__xludf.DUMMYFUNCTION("""COMPUTED_VALUE"""),46223.6666666666)</f>
        <v/>
      </c>
      <c r="K247" s="513">
        <f>IFERROR(__xludf.DUMMYFUNCTION("""COMPUTED_VALUE"""),90.43)</f>
        <v/>
      </c>
      <c r="M247" s="512">
        <f>IFERROR(__xludf.DUMMYFUNCTION("""COMPUTED_VALUE"""),46223.6666666666)</f>
        <v/>
      </c>
      <c r="N247" s="513">
        <f>IFERROR(__xludf.DUMMYFUNCTION("""COMPUTED_VALUE"""),292.31)</f>
        <v/>
      </c>
      <c r="P247" s="512">
        <f>IFERROR(__xludf.DUMMYFUNCTION("""COMPUTED_VALUE"""),46223.6666666666)</f>
        <v/>
      </c>
      <c r="Q247" s="513">
        <f>IFERROR(__xludf.DUMMYFUNCTION("""COMPUTED_VALUE"""),87.69)</f>
        <v/>
      </c>
      <c r="S247" s="512">
        <f>IFERROR(__xludf.DUMMYFUNCTION("""COMPUTED_VALUE"""),45491.6666666666)</f>
        <v/>
      </c>
      <c r="T247" s="513">
        <f>IFERROR(__xludf.DUMMYFUNCTION("""COMPUTED_VALUE"""),224.18)</f>
        <v/>
      </c>
      <c r="V247" s="512">
        <f>IFERROR(__xludf.DUMMYFUNCTION("""COMPUTED_VALUE"""),46223.6666666666)</f>
        <v/>
      </c>
      <c r="W247" s="513">
        <f>IFERROR(__xludf.DUMMYFUNCTION("""COMPUTED_VALUE"""),29.14)</f>
        <v/>
      </c>
      <c r="Y247" s="512">
        <f>IFERROR(__xludf.DUMMYFUNCTION("""COMPUTED_VALUE"""),46223.6666666666)</f>
        <v/>
      </c>
      <c r="Z247" s="513">
        <f>IFERROR(__xludf.DUMMYFUNCTION("""COMPUTED_VALUE"""),72.68)</f>
        <v/>
      </c>
      <c r="AB247" s="512">
        <f>IFERROR(__xludf.DUMMYFUNCTION("""COMPUTED_VALUE"""),46223.6666666666)</f>
        <v/>
      </c>
      <c r="AC247" s="513">
        <f>IFERROR(__xludf.DUMMYFUNCTION("""COMPUTED_VALUE"""),57.93)</f>
        <v/>
      </c>
      <c r="AE247" s="512">
        <f>IFERROR(__xludf.DUMMYFUNCTION("""COMPUTED_VALUE"""),46223.6666666666)</f>
        <v/>
      </c>
      <c r="AF247" s="513">
        <f>IFERROR(__xludf.DUMMYFUNCTION("""COMPUTED_VALUE"""),95.37)</f>
        <v/>
      </c>
      <c r="AH247" s="512">
        <f>IFERROR(__xludf.DUMMYFUNCTION("""COMPUTED_VALUE"""),46223.6666666666)</f>
        <v/>
      </c>
      <c r="AI247" s="513">
        <f>IFERROR(__xludf.DUMMYFUNCTION("""COMPUTED_VALUE"""),21.51)</f>
        <v/>
      </c>
      <c r="AK247" s="512">
        <f>IFERROR(__xludf.DUMMYFUNCTION("""COMPUTED_VALUE"""),46223.6666666666)</f>
        <v/>
      </c>
      <c r="AL247" s="513">
        <f>IFERROR(__xludf.DUMMYFUNCTION("""COMPUTED_VALUE"""),79.68)</f>
        <v/>
      </c>
      <c r="AN247" s="512">
        <f>IFERROR(__xludf.DUMMYFUNCTION("""COMPUTED_VALUE"""),46223.6666666666)</f>
        <v/>
      </c>
      <c r="AO247" s="513">
        <f>IFERROR(__xludf.DUMMYFUNCTION("""COMPUTED_VALUE"""),108.05)</f>
        <v/>
      </c>
      <c r="AQ247" s="512">
        <f>IFERROR(__xludf.DUMMYFUNCTION("""COMPUTED_VALUE"""),46223.6666666666)</f>
        <v/>
      </c>
      <c r="AR247" s="513">
        <f>IFERROR(__xludf.DUMMYFUNCTION("""COMPUTED_VALUE"""),102.57)</f>
        <v/>
      </c>
      <c r="AT247" s="512">
        <f>IFERROR(__xludf.DUMMYFUNCTION("""COMPUTED_VALUE"""),46223.6666666666)</f>
        <v/>
      </c>
      <c r="AU247" s="513">
        <f>IFERROR(__xludf.DUMMYFUNCTION("""COMPUTED_VALUE"""),63.56)</f>
        <v/>
      </c>
      <c r="AW247" s="512">
        <f>IFERROR(__xludf.DUMMYFUNCTION("""COMPUTED_VALUE"""),46223.6666666666)</f>
        <v/>
      </c>
      <c r="AX247" s="513">
        <f>IFERROR(__xludf.DUMMYFUNCTION("""COMPUTED_VALUE"""),97.95)</f>
        <v/>
      </c>
      <c r="AZ247" s="512">
        <f>IFERROR(__xludf.DUMMYFUNCTION("""COMPUTED_VALUE"""),46223.6666666666)</f>
        <v/>
      </c>
      <c r="BA247" s="513">
        <f>IFERROR(__xludf.DUMMYFUNCTION("""COMPUTED_VALUE"""),107.15)</f>
        <v/>
      </c>
      <c r="BC247" s="512">
        <f>IFERROR(__xludf.DUMMYFUNCTION("""COMPUTED_VALUE"""),46223.6666666666)</f>
        <v/>
      </c>
      <c r="BD247" s="513">
        <f>IFERROR(__xludf.DUMMYFUNCTION("""COMPUTED_VALUE"""),93.54)</f>
        <v/>
      </c>
      <c r="BF247" s="512">
        <f>IFERROR(__xludf.DUMMYFUNCTION("""COMPUTED_VALUE"""),46223.6666666666)</f>
        <v/>
      </c>
      <c r="BG247" s="513">
        <f>IFERROR(__xludf.DUMMYFUNCTION("""COMPUTED_VALUE"""),81.96)</f>
        <v/>
      </c>
      <c r="BI247" s="512">
        <f>IFERROR(__xludf.DUMMYFUNCTION("""COMPUTED_VALUE"""),46223.6666666666)</f>
        <v/>
      </c>
      <c r="BJ247" s="513">
        <f>IFERROR(__xludf.DUMMYFUNCTION("""COMPUTED_VALUE"""),83.89)</f>
        <v/>
      </c>
      <c r="BL247" s="512">
        <f>IFERROR(__xludf.DUMMYFUNCTION("""COMPUTED_VALUE"""),46223.6666666666)</f>
        <v/>
      </c>
      <c r="BM247" s="513">
        <f>IFERROR(__xludf.DUMMYFUNCTION("""COMPUTED_VALUE"""),367.6)</f>
        <v/>
      </c>
      <c r="BO247" s="512">
        <f>IFERROR(__xludf.DUMMYFUNCTION("""COMPUTED_VALUE"""),46223.6666666666)</f>
        <v/>
      </c>
      <c r="BP247" s="513">
        <f>IFERROR(__xludf.DUMMYFUNCTION("""COMPUTED_VALUE"""),91.56)</f>
        <v/>
      </c>
    </row>
    <row r="248">
      <c r="A248" s="512">
        <f>IFERROR(__xludf.DUMMYFUNCTION("""COMPUTED_VALUE"""),46224.6666666666)</f>
        <v/>
      </c>
      <c r="B248" s="513">
        <f>IFERROR(__xludf.DUMMYFUNCTION("""COMPUTED_VALUE"""),748.28)</f>
        <v/>
      </c>
      <c r="D248" s="512">
        <f>IFERROR(__xludf.DUMMYFUNCTION("""COMPUTED_VALUE"""),46224.6666666666)</f>
        <v/>
      </c>
      <c r="E248" s="513">
        <f>IFERROR(__xludf.DUMMYFUNCTION("""COMPUTED_VALUE"""),99.52)</f>
        <v/>
      </c>
      <c r="G248" s="512" t="n"/>
      <c r="H248" s="513" t="n"/>
      <c r="J248" s="512">
        <f>IFERROR(__xludf.DUMMYFUNCTION("""COMPUTED_VALUE"""),46224.6666666666)</f>
        <v/>
      </c>
      <c r="K248" s="513">
        <f>IFERROR(__xludf.DUMMYFUNCTION("""COMPUTED_VALUE"""),92.74)</f>
        <v/>
      </c>
      <c r="M248" s="512">
        <f>IFERROR(__xludf.DUMMYFUNCTION("""COMPUTED_VALUE"""),46224.6666666666)</f>
        <v/>
      </c>
      <c r="N248" s="513">
        <f>IFERROR(__xludf.DUMMYFUNCTION("""COMPUTED_VALUE"""),296.54)</f>
        <v/>
      </c>
      <c r="P248" s="512">
        <f>IFERROR(__xludf.DUMMYFUNCTION("""COMPUTED_VALUE"""),46224.6666666666)</f>
        <v/>
      </c>
      <c r="Q248" s="513">
        <f>IFERROR(__xludf.DUMMYFUNCTION("""COMPUTED_VALUE"""),88.76)</f>
        <v/>
      </c>
      <c r="S248" s="512">
        <f>IFERROR(__xludf.DUMMYFUNCTION("""COMPUTED_VALUE"""),45492.6666666666)</f>
        <v/>
      </c>
      <c r="T248" s="513">
        <f>IFERROR(__xludf.DUMMYFUNCTION("""COMPUTED_VALUE"""),224.31)</f>
        <v/>
      </c>
      <c r="V248" s="512">
        <f>IFERROR(__xludf.DUMMYFUNCTION("""COMPUTED_VALUE"""),46224.6666666666)</f>
        <v/>
      </c>
      <c r="W248" s="513">
        <f>IFERROR(__xludf.DUMMYFUNCTION("""COMPUTED_VALUE"""),29.57)</f>
        <v/>
      </c>
      <c r="Y248" s="512">
        <f>IFERROR(__xludf.DUMMYFUNCTION("""COMPUTED_VALUE"""),46224.6666666666)</f>
        <v/>
      </c>
      <c r="Z248" s="513">
        <f>IFERROR(__xludf.DUMMYFUNCTION("""COMPUTED_VALUE"""),72.52)</f>
        <v/>
      </c>
      <c r="AB248" s="512">
        <f>IFERROR(__xludf.DUMMYFUNCTION("""COMPUTED_VALUE"""),46224.6666666666)</f>
        <v/>
      </c>
      <c r="AC248" s="513">
        <f>IFERROR(__xludf.DUMMYFUNCTION("""COMPUTED_VALUE"""),58.86)</f>
        <v/>
      </c>
      <c r="AE248" s="512">
        <f>IFERROR(__xludf.DUMMYFUNCTION("""COMPUTED_VALUE"""),46224.6666666666)</f>
        <v/>
      </c>
      <c r="AF248" s="513">
        <f>IFERROR(__xludf.DUMMYFUNCTION("""COMPUTED_VALUE"""),95.38)</f>
        <v/>
      </c>
      <c r="AH248" s="512">
        <f>IFERROR(__xludf.DUMMYFUNCTION("""COMPUTED_VALUE"""),46224.6666666666)</f>
        <v/>
      </c>
      <c r="AI248" s="513">
        <f>IFERROR(__xludf.DUMMYFUNCTION("""COMPUTED_VALUE"""),21.46)</f>
        <v/>
      </c>
      <c r="AK248" s="512">
        <f>IFERROR(__xludf.DUMMYFUNCTION("""COMPUTED_VALUE"""),46224.6666666666)</f>
        <v/>
      </c>
      <c r="AL248" s="513">
        <f>IFERROR(__xludf.DUMMYFUNCTION("""COMPUTED_VALUE"""),79.65)</f>
        <v/>
      </c>
      <c r="AN248" s="512">
        <f>IFERROR(__xludf.DUMMYFUNCTION("""COMPUTED_VALUE"""),46224.6666666666)</f>
        <v/>
      </c>
      <c r="AO248" s="513">
        <f>IFERROR(__xludf.DUMMYFUNCTION("""COMPUTED_VALUE"""),107.88)</f>
        <v/>
      </c>
      <c r="AQ248" s="512">
        <f>IFERROR(__xludf.DUMMYFUNCTION("""COMPUTED_VALUE"""),46224.6666666666)</f>
        <v/>
      </c>
      <c r="AR248" s="513">
        <f>IFERROR(__xludf.DUMMYFUNCTION("""COMPUTED_VALUE"""),104.06)</f>
        <v/>
      </c>
      <c r="AT248" s="512">
        <f>IFERROR(__xludf.DUMMYFUNCTION("""COMPUTED_VALUE"""),46224.6666666666)</f>
        <v/>
      </c>
      <c r="AU248" s="513">
        <f>IFERROR(__xludf.DUMMYFUNCTION("""COMPUTED_VALUE"""),65.34)</f>
        <v/>
      </c>
      <c r="AW248" s="512">
        <f>IFERROR(__xludf.DUMMYFUNCTION("""COMPUTED_VALUE"""),46224.6666666666)</f>
        <v/>
      </c>
      <c r="AX248" s="513">
        <f>IFERROR(__xludf.DUMMYFUNCTION("""COMPUTED_VALUE"""),97.74)</f>
        <v/>
      </c>
      <c r="AZ248" s="512">
        <f>IFERROR(__xludf.DUMMYFUNCTION("""COMPUTED_VALUE"""),46224.6666666666)</f>
        <v/>
      </c>
      <c r="BA248" s="513">
        <f>IFERROR(__xludf.DUMMYFUNCTION("""COMPUTED_VALUE"""),106.85)</f>
        <v/>
      </c>
      <c r="BC248" s="512">
        <f>IFERROR(__xludf.DUMMYFUNCTION("""COMPUTED_VALUE"""),46224.6666666666)</f>
        <v/>
      </c>
      <c r="BD248" s="513">
        <f>IFERROR(__xludf.DUMMYFUNCTION("""COMPUTED_VALUE"""),93.31)</f>
        <v/>
      </c>
      <c r="BF248" s="512">
        <f>IFERROR(__xludf.DUMMYFUNCTION("""COMPUTED_VALUE"""),46224.6666666666)</f>
        <v/>
      </c>
      <c r="BG248" s="513">
        <f>IFERROR(__xludf.DUMMYFUNCTION("""COMPUTED_VALUE"""),81.89)</f>
        <v/>
      </c>
      <c r="BI248" s="512">
        <f>IFERROR(__xludf.DUMMYFUNCTION("""COMPUTED_VALUE"""),46224.6666666666)</f>
        <v/>
      </c>
      <c r="BJ248" s="513">
        <f>IFERROR(__xludf.DUMMYFUNCTION("""COMPUTED_VALUE"""),83.66)</f>
        <v/>
      </c>
      <c r="BL248" s="512">
        <f>IFERROR(__xludf.DUMMYFUNCTION("""COMPUTED_VALUE"""),46224.6666666666)</f>
        <v/>
      </c>
      <c r="BM248" s="513">
        <f>IFERROR(__xludf.DUMMYFUNCTION("""COMPUTED_VALUE"""),374.81)</f>
        <v/>
      </c>
      <c r="BO248" s="512">
        <f>IFERROR(__xludf.DUMMYFUNCTION("""COMPUTED_VALUE"""),46224.6666666666)</f>
        <v/>
      </c>
      <c r="BP248" s="513">
        <f>IFERROR(__xludf.DUMMYFUNCTION("""COMPUTED_VALUE"""),91.56)</f>
        <v/>
      </c>
    </row>
    <row r="249">
      <c r="A249" s="512">
        <f>IFERROR(__xludf.DUMMYFUNCTION("""COMPUTED_VALUE"""),46225.6666666666)</f>
        <v/>
      </c>
      <c r="B249" s="513">
        <f>IFERROR(__xludf.DUMMYFUNCTION("""COMPUTED_VALUE"""),747.41)</f>
        <v/>
      </c>
      <c r="D249" s="512">
        <f>IFERROR(__xludf.DUMMYFUNCTION("""COMPUTED_VALUE"""),46225.6666666666)</f>
        <v/>
      </c>
      <c r="E249" s="513">
        <f>IFERROR(__xludf.DUMMYFUNCTION("""COMPUTED_VALUE"""),99.02)</f>
        <v/>
      </c>
      <c r="G249" s="512" t="n"/>
      <c r="H249" s="513" t="n"/>
      <c r="J249" s="512">
        <f>IFERROR(__xludf.DUMMYFUNCTION("""COMPUTED_VALUE"""),46225.6666666666)</f>
        <v/>
      </c>
      <c r="K249" s="513">
        <f>IFERROR(__xludf.DUMMYFUNCTION("""COMPUTED_VALUE"""),92.19)</f>
        <v/>
      </c>
      <c r="M249" s="512">
        <f>IFERROR(__xludf.DUMMYFUNCTION("""COMPUTED_VALUE"""),46225.6666666666)</f>
        <v/>
      </c>
      <c r="N249" s="513">
        <f>IFERROR(__xludf.DUMMYFUNCTION("""COMPUTED_VALUE"""),293.79)</f>
        <v/>
      </c>
      <c r="P249" s="512">
        <f>IFERROR(__xludf.DUMMYFUNCTION("""COMPUTED_VALUE"""),46225.6666666666)</f>
        <v/>
      </c>
      <c r="Q249" s="513">
        <f>IFERROR(__xludf.DUMMYFUNCTION("""COMPUTED_VALUE"""),89.09)</f>
        <v/>
      </c>
      <c r="S249" s="512">
        <f>IFERROR(__xludf.DUMMYFUNCTION("""COMPUTED_VALUE"""),45495.6666666666)</f>
        <v/>
      </c>
      <c r="T249" s="513">
        <f>IFERROR(__xludf.DUMMYFUNCTION("""COMPUTED_VALUE"""),223.96)</f>
        <v/>
      </c>
      <c r="V249" s="512">
        <f>IFERROR(__xludf.DUMMYFUNCTION("""COMPUTED_VALUE"""),46225.6666666666)</f>
        <v/>
      </c>
      <c r="W249" s="513">
        <f>IFERROR(__xludf.DUMMYFUNCTION("""COMPUTED_VALUE"""),29.86)</f>
        <v/>
      </c>
      <c r="Y249" s="512">
        <f>IFERROR(__xludf.DUMMYFUNCTION("""COMPUTED_VALUE"""),46225.6666666666)</f>
        <v/>
      </c>
      <c r="Z249" s="513">
        <f>IFERROR(__xludf.DUMMYFUNCTION("""COMPUTED_VALUE"""),72.4)</f>
        <v/>
      </c>
      <c r="AB249" s="512">
        <f>IFERROR(__xludf.DUMMYFUNCTION("""COMPUTED_VALUE"""),46225.6666666666)</f>
        <v/>
      </c>
      <c r="AC249" s="513">
        <f>IFERROR(__xludf.DUMMYFUNCTION("""COMPUTED_VALUE"""),58.81)</f>
        <v/>
      </c>
      <c r="AE249" s="512">
        <f>IFERROR(__xludf.DUMMYFUNCTION("""COMPUTED_VALUE"""),46225.6666666666)</f>
        <v/>
      </c>
      <c r="AF249" s="513">
        <f>IFERROR(__xludf.DUMMYFUNCTION("""COMPUTED_VALUE"""),95.09)</f>
        <v/>
      </c>
      <c r="AH249" s="512">
        <f>IFERROR(__xludf.DUMMYFUNCTION("""COMPUTED_VALUE"""),46225.6666666666)</f>
        <v/>
      </c>
      <c r="AI249" s="513">
        <f>IFERROR(__xludf.DUMMYFUNCTION("""COMPUTED_VALUE"""),21.46)</f>
        <v/>
      </c>
      <c r="AK249" s="512">
        <f>IFERROR(__xludf.DUMMYFUNCTION("""COMPUTED_VALUE"""),46225.6666666666)</f>
        <v/>
      </c>
      <c r="AL249" s="513">
        <f>IFERROR(__xludf.DUMMYFUNCTION("""COMPUTED_VALUE"""),79.52)</f>
        <v/>
      </c>
      <c r="AN249" s="512">
        <f>IFERROR(__xludf.DUMMYFUNCTION("""COMPUTED_VALUE"""),46225.6666666666)</f>
        <v/>
      </c>
      <c r="AO249" s="513">
        <f>IFERROR(__xludf.DUMMYFUNCTION("""COMPUTED_VALUE"""),107.77)</f>
        <v/>
      </c>
      <c r="AQ249" s="512">
        <f>IFERROR(__xludf.DUMMYFUNCTION("""COMPUTED_VALUE"""),46225.6666666666)</f>
        <v/>
      </c>
      <c r="AR249" s="513">
        <f>IFERROR(__xludf.DUMMYFUNCTION("""COMPUTED_VALUE"""),104.25)</f>
        <v/>
      </c>
      <c r="AT249" s="512">
        <f>IFERROR(__xludf.DUMMYFUNCTION("""COMPUTED_VALUE"""),46225.6666666666)</f>
        <v/>
      </c>
      <c r="AU249" s="513">
        <f>IFERROR(__xludf.DUMMYFUNCTION("""COMPUTED_VALUE"""),64.99)</f>
        <v/>
      </c>
      <c r="AW249" s="512">
        <f>IFERROR(__xludf.DUMMYFUNCTION("""COMPUTED_VALUE"""),46225.6666666666)</f>
        <v/>
      </c>
      <c r="AX249" s="513">
        <f>IFERROR(__xludf.DUMMYFUNCTION("""COMPUTED_VALUE"""),97.58)</f>
        <v/>
      </c>
      <c r="AZ249" s="512">
        <f>IFERROR(__xludf.DUMMYFUNCTION("""COMPUTED_VALUE"""),46225.6666666666)</f>
        <v/>
      </c>
      <c r="BA249" s="513">
        <f>IFERROR(__xludf.DUMMYFUNCTION("""COMPUTED_VALUE"""),106.67)</f>
        <v/>
      </c>
      <c r="BC249" s="512">
        <f>IFERROR(__xludf.DUMMYFUNCTION("""COMPUTED_VALUE"""),46225.6666666666)</f>
        <v/>
      </c>
      <c r="BD249" s="513">
        <f>IFERROR(__xludf.DUMMYFUNCTION("""COMPUTED_VALUE"""),93.1)</f>
        <v/>
      </c>
      <c r="BF249" s="512">
        <f>IFERROR(__xludf.DUMMYFUNCTION("""COMPUTED_VALUE"""),46225.6666666666)</f>
        <v/>
      </c>
      <c r="BG249" s="513">
        <f>IFERROR(__xludf.DUMMYFUNCTION("""COMPUTED_VALUE"""),81.83)</f>
        <v/>
      </c>
      <c r="BI249" s="512">
        <f>IFERROR(__xludf.DUMMYFUNCTION("""COMPUTED_VALUE"""),46225.6666666666)</f>
        <v/>
      </c>
      <c r="BJ249" s="513">
        <f>IFERROR(__xludf.DUMMYFUNCTION("""COMPUTED_VALUE"""),83.44)</f>
        <v/>
      </c>
      <c r="BL249" s="512">
        <f>IFERROR(__xludf.DUMMYFUNCTION("""COMPUTED_VALUE"""),46225.6666666666)</f>
        <v/>
      </c>
      <c r="BM249" s="513">
        <f>IFERROR(__xludf.DUMMYFUNCTION("""COMPUTED_VALUE"""),379.12)</f>
        <v/>
      </c>
      <c r="BO249" s="512">
        <f>IFERROR(__xludf.DUMMYFUNCTION("""COMPUTED_VALUE"""),46225.6666666666)</f>
        <v/>
      </c>
      <c r="BP249" s="513">
        <f>IFERROR(__xludf.DUMMYFUNCTION("""COMPUTED_VALUE"""),91.58)</f>
        <v/>
      </c>
    </row>
    <row r="250">
      <c r="A250" s="512">
        <f>IFERROR(__xludf.DUMMYFUNCTION("""COMPUTED_VALUE"""),46226.6666666666)</f>
        <v/>
      </c>
      <c r="B250" s="513">
        <f>IFERROR(__xludf.DUMMYFUNCTION("""COMPUTED_VALUE"""),738.18)</f>
        <v/>
      </c>
      <c r="D250" s="512">
        <f>IFERROR(__xludf.DUMMYFUNCTION("""COMPUTED_VALUE"""),46226.6666666666)</f>
        <v/>
      </c>
      <c r="E250" s="513">
        <f>IFERROR(__xludf.DUMMYFUNCTION("""COMPUTED_VALUE"""),98.69)</f>
        <v/>
      </c>
      <c r="G250" s="512" t="n"/>
      <c r="H250" s="513" t="n"/>
      <c r="J250" s="512">
        <f>IFERROR(__xludf.DUMMYFUNCTION("""COMPUTED_VALUE"""),46226.6666666666)</f>
        <v/>
      </c>
      <c r="K250" s="513">
        <f>IFERROR(__xludf.DUMMYFUNCTION("""COMPUTED_VALUE"""),91.1)</f>
        <v/>
      </c>
      <c r="M250" s="512">
        <f>IFERROR(__xludf.DUMMYFUNCTION("""COMPUTED_VALUE"""),46226.6666666666)</f>
        <v/>
      </c>
      <c r="N250" s="513">
        <f>IFERROR(__xludf.DUMMYFUNCTION("""COMPUTED_VALUE"""),292.09)</f>
        <v/>
      </c>
      <c r="P250" s="512">
        <f>IFERROR(__xludf.DUMMYFUNCTION("""COMPUTED_VALUE"""),46226.6666666666)</f>
        <v/>
      </c>
      <c r="Q250" s="513">
        <f>IFERROR(__xludf.DUMMYFUNCTION("""COMPUTED_VALUE"""),87.83)</f>
        <v/>
      </c>
      <c r="S250" s="512">
        <f>IFERROR(__xludf.DUMMYFUNCTION("""COMPUTED_VALUE"""),45496.6666666666)</f>
        <v/>
      </c>
      <c r="T250" s="513">
        <f>IFERROR(__xludf.DUMMYFUNCTION("""COMPUTED_VALUE"""),225.01)</f>
        <v/>
      </c>
      <c r="V250" s="512">
        <f>IFERROR(__xludf.DUMMYFUNCTION("""COMPUTED_VALUE"""),46226.6666666666)</f>
        <v/>
      </c>
      <c r="W250" s="513">
        <f>IFERROR(__xludf.DUMMYFUNCTION("""COMPUTED_VALUE"""),30.31)</f>
        <v/>
      </c>
      <c r="Y250" s="512">
        <f>IFERROR(__xludf.DUMMYFUNCTION("""COMPUTED_VALUE"""),46226.6666666666)</f>
        <v/>
      </c>
      <c r="Z250" s="513">
        <f>IFERROR(__xludf.DUMMYFUNCTION("""COMPUTED_VALUE"""),72.25)</f>
        <v/>
      </c>
      <c r="AB250" s="512">
        <f>IFERROR(__xludf.DUMMYFUNCTION("""COMPUTED_VALUE"""),46226.6666666666)</f>
        <v/>
      </c>
      <c r="AC250" s="513">
        <f>IFERROR(__xludf.DUMMYFUNCTION("""COMPUTED_VALUE"""),58.1)</f>
        <v/>
      </c>
      <c r="AE250" s="512">
        <f>IFERROR(__xludf.DUMMYFUNCTION("""COMPUTED_VALUE"""),46226.6666666666)</f>
        <v/>
      </c>
      <c r="AF250" s="513">
        <f>IFERROR(__xludf.DUMMYFUNCTION("""COMPUTED_VALUE"""),94.53)</f>
        <v/>
      </c>
      <c r="AH250" s="512">
        <f>IFERROR(__xludf.DUMMYFUNCTION("""COMPUTED_VALUE"""),46226.6666666666)</f>
        <v/>
      </c>
      <c r="AI250" s="513">
        <f>IFERROR(__xludf.DUMMYFUNCTION("""COMPUTED_VALUE"""),21.36)</f>
        <v/>
      </c>
      <c r="AK250" s="512">
        <f>IFERROR(__xludf.DUMMYFUNCTION("""COMPUTED_VALUE"""),46226.6666666666)</f>
        <v/>
      </c>
      <c r="AL250" s="513">
        <f>IFERROR(__xludf.DUMMYFUNCTION("""COMPUTED_VALUE"""),79.23)</f>
        <v/>
      </c>
      <c r="AN250" s="512">
        <f>IFERROR(__xludf.DUMMYFUNCTION("""COMPUTED_VALUE"""),46226.6666666666)</f>
        <v/>
      </c>
      <c r="AO250" s="513">
        <f>IFERROR(__xludf.DUMMYFUNCTION("""COMPUTED_VALUE"""),107.49)</f>
        <v/>
      </c>
      <c r="AQ250" s="512">
        <f>IFERROR(__xludf.DUMMYFUNCTION("""COMPUTED_VALUE"""),46226.6666666666)</f>
        <v/>
      </c>
      <c r="AR250" s="513">
        <f>IFERROR(__xludf.DUMMYFUNCTION("""COMPUTED_VALUE"""),102.9)</f>
        <v/>
      </c>
      <c r="AT250" s="512">
        <f>IFERROR(__xludf.DUMMYFUNCTION("""COMPUTED_VALUE"""),46226.6666666666)</f>
        <v/>
      </c>
      <c r="AU250" s="513">
        <f>IFERROR(__xludf.DUMMYFUNCTION("""COMPUTED_VALUE"""),64.6)</f>
        <v/>
      </c>
      <c r="AW250" s="512">
        <f>IFERROR(__xludf.DUMMYFUNCTION("""COMPUTED_VALUE"""),46226.6666666666)</f>
        <v/>
      </c>
      <c r="AX250" s="513">
        <f>IFERROR(__xludf.DUMMYFUNCTION("""COMPUTED_VALUE"""),97.34)</f>
        <v/>
      </c>
      <c r="AZ250" s="512">
        <f>IFERROR(__xludf.DUMMYFUNCTION("""COMPUTED_VALUE"""),46226.6666666666)</f>
        <v/>
      </c>
      <c r="BA250" s="513">
        <f>IFERROR(__xludf.DUMMYFUNCTION("""COMPUTED_VALUE"""),106.26)</f>
        <v/>
      </c>
      <c r="BC250" s="512">
        <f>IFERROR(__xludf.DUMMYFUNCTION("""COMPUTED_VALUE"""),46226.6666666666)</f>
        <v/>
      </c>
      <c r="BD250" s="513">
        <f>IFERROR(__xludf.DUMMYFUNCTION("""COMPUTED_VALUE"""),92.85)</f>
        <v/>
      </c>
      <c r="BF250" s="512">
        <f>IFERROR(__xludf.DUMMYFUNCTION("""COMPUTED_VALUE"""),46226.6666666666)</f>
        <v/>
      </c>
      <c r="BG250" s="513">
        <f>IFERROR(__xludf.DUMMYFUNCTION("""COMPUTED_VALUE"""),81.77)</f>
        <v/>
      </c>
      <c r="BI250" s="512">
        <f>IFERROR(__xludf.DUMMYFUNCTION("""COMPUTED_VALUE"""),46226.6666666666)</f>
        <v/>
      </c>
      <c r="BJ250" s="513">
        <f>IFERROR(__xludf.DUMMYFUNCTION("""COMPUTED_VALUE"""),83.17)</f>
        <v/>
      </c>
      <c r="BL250" s="512">
        <f>IFERROR(__xludf.DUMMYFUNCTION("""COMPUTED_VALUE"""),46226.6666666666)</f>
        <v/>
      </c>
      <c r="BM250" s="513">
        <f>IFERROR(__xludf.DUMMYFUNCTION("""COMPUTED_VALUE"""),371.52)</f>
        <v/>
      </c>
      <c r="BO250" s="512">
        <f>IFERROR(__xludf.DUMMYFUNCTION("""COMPUTED_VALUE"""),46226.6666666666)</f>
        <v/>
      </c>
      <c r="BP250" s="513">
        <f>IFERROR(__xludf.DUMMYFUNCTION("""COMPUTED_VALUE"""),91.58)</f>
        <v/>
      </c>
    </row>
    <row r="251">
      <c r="A251" s="512">
        <f>IFERROR(__xludf.DUMMYFUNCTION("""COMPUTED_VALUE"""),46227.6666666666)</f>
        <v/>
      </c>
      <c r="B251" s="513">
        <f>IFERROR(__xludf.DUMMYFUNCTION("""COMPUTED_VALUE"""),738.93)</f>
        <v/>
      </c>
      <c r="D251" s="512">
        <f>IFERROR(__xludf.DUMMYFUNCTION("""COMPUTED_VALUE"""),46227.6666666666)</f>
        <v/>
      </c>
      <c r="E251" s="513">
        <f>IFERROR(__xludf.DUMMYFUNCTION("""COMPUTED_VALUE"""),100.81)</f>
        <v/>
      </c>
      <c r="G251" s="512" t="n"/>
      <c r="H251" s="513" t="n"/>
      <c r="J251" s="512">
        <f>IFERROR(__xludf.DUMMYFUNCTION("""COMPUTED_VALUE"""),46227.6666666666)</f>
        <v/>
      </c>
      <c r="K251" s="513">
        <f>IFERROR(__xludf.DUMMYFUNCTION("""COMPUTED_VALUE"""),91.21)</f>
        <v/>
      </c>
      <c r="M251" s="512">
        <f>IFERROR(__xludf.DUMMYFUNCTION("""COMPUTED_VALUE"""),46227.6666666666)</f>
        <v/>
      </c>
      <c r="N251" s="513">
        <f>IFERROR(__xludf.DUMMYFUNCTION("""COMPUTED_VALUE"""),291.17)</f>
        <v/>
      </c>
      <c r="P251" s="512">
        <f>IFERROR(__xludf.DUMMYFUNCTION("""COMPUTED_VALUE"""),46227.6666666666)</f>
        <v/>
      </c>
      <c r="Q251" s="513">
        <f>IFERROR(__xludf.DUMMYFUNCTION("""COMPUTED_VALUE"""),88.41)</f>
        <v/>
      </c>
      <c r="S251" s="512">
        <f>IFERROR(__xludf.DUMMYFUNCTION("""COMPUTED_VALUE"""),45497.6666666666)</f>
        <v/>
      </c>
      <c r="T251" s="513">
        <f>IFERROR(__xludf.DUMMYFUNCTION("""COMPUTED_VALUE"""),218.54)</f>
        <v/>
      </c>
      <c r="V251" s="512">
        <f>IFERROR(__xludf.DUMMYFUNCTION("""COMPUTED_VALUE"""),46227.6666666666)</f>
        <v/>
      </c>
      <c r="W251" s="513">
        <f>IFERROR(__xludf.DUMMYFUNCTION("""COMPUTED_VALUE"""),30.1)</f>
        <v/>
      </c>
      <c r="Y251" s="512">
        <f>IFERROR(__xludf.DUMMYFUNCTION("""COMPUTED_VALUE"""),46227.6666666666)</f>
        <v/>
      </c>
      <c r="Z251" s="513">
        <f>IFERROR(__xludf.DUMMYFUNCTION("""COMPUTED_VALUE"""),72.31)</f>
        <v/>
      </c>
      <c r="AB251" s="512">
        <f>IFERROR(__xludf.DUMMYFUNCTION("""COMPUTED_VALUE"""),46227.6666666666)</f>
        <v/>
      </c>
      <c r="AC251" s="513">
        <f>IFERROR(__xludf.DUMMYFUNCTION("""COMPUTED_VALUE"""),57.8)</f>
        <v/>
      </c>
      <c r="AE251" s="512">
        <f>IFERROR(__xludf.DUMMYFUNCTION("""COMPUTED_VALUE"""),46227.6666666666)</f>
        <v/>
      </c>
      <c r="AF251" s="513">
        <f>IFERROR(__xludf.DUMMYFUNCTION("""COMPUTED_VALUE"""),94.64)</f>
        <v/>
      </c>
      <c r="AH251" s="512">
        <f>IFERROR(__xludf.DUMMYFUNCTION("""COMPUTED_VALUE"""),46227.6666666666)</f>
        <v/>
      </c>
      <c r="AI251" s="513">
        <f>IFERROR(__xludf.DUMMYFUNCTION("""COMPUTED_VALUE"""),21.4)</f>
        <v/>
      </c>
      <c r="AK251" s="512">
        <f>IFERROR(__xludf.DUMMYFUNCTION("""COMPUTED_VALUE"""),46227.6666666666)</f>
        <v/>
      </c>
      <c r="AL251" s="513">
        <f>IFERROR(__xludf.DUMMYFUNCTION("""COMPUTED_VALUE"""),79.23)</f>
        <v/>
      </c>
      <c r="AN251" s="512">
        <f>IFERROR(__xludf.DUMMYFUNCTION("""COMPUTED_VALUE"""),46227.6666666666)</f>
        <v/>
      </c>
      <c r="AO251" s="513">
        <f>IFERROR(__xludf.DUMMYFUNCTION("""COMPUTED_VALUE"""),107.5)</f>
        <v/>
      </c>
      <c r="AQ251" s="512">
        <f>IFERROR(__xludf.DUMMYFUNCTION("""COMPUTED_VALUE"""),46227.6666666666)</f>
        <v/>
      </c>
      <c r="AR251" s="513">
        <f>IFERROR(__xludf.DUMMYFUNCTION("""COMPUTED_VALUE"""),103.41)</f>
        <v/>
      </c>
      <c r="AT251" s="512">
        <f>IFERROR(__xludf.DUMMYFUNCTION("""COMPUTED_VALUE"""),46227.6666666666)</f>
        <v/>
      </c>
      <c r="AU251" s="513">
        <f>IFERROR(__xludf.DUMMYFUNCTION("""COMPUTED_VALUE"""),63.33)</f>
        <v/>
      </c>
      <c r="AW251" s="512">
        <f>IFERROR(__xludf.DUMMYFUNCTION("""COMPUTED_VALUE"""),46227.6666666666)</f>
        <v/>
      </c>
      <c r="AX251" s="513">
        <f>IFERROR(__xludf.DUMMYFUNCTION("""COMPUTED_VALUE"""),97.46)</f>
        <v/>
      </c>
      <c r="AZ251" s="512">
        <f>IFERROR(__xludf.DUMMYFUNCTION("""COMPUTED_VALUE"""),46227.6666666666)</f>
        <v/>
      </c>
      <c r="BA251" s="513">
        <f>IFERROR(__xludf.DUMMYFUNCTION("""COMPUTED_VALUE"""),106.23)</f>
        <v/>
      </c>
      <c r="BC251" s="512">
        <f>IFERROR(__xludf.DUMMYFUNCTION("""COMPUTED_VALUE"""),46227.6666666666)</f>
        <v/>
      </c>
      <c r="BD251" s="513">
        <f>IFERROR(__xludf.DUMMYFUNCTION("""COMPUTED_VALUE"""),93.03)</f>
        <v/>
      </c>
      <c r="BF251" s="512">
        <f>IFERROR(__xludf.DUMMYFUNCTION("""COMPUTED_VALUE"""),46227.6666666666)</f>
        <v/>
      </c>
      <c r="BG251" s="513">
        <f>IFERROR(__xludf.DUMMYFUNCTION("""COMPUTED_VALUE"""),81.85)</f>
        <v/>
      </c>
      <c r="BI251" s="512">
        <f>IFERROR(__xludf.DUMMYFUNCTION("""COMPUTED_VALUE"""),46227.6666666666)</f>
        <v/>
      </c>
      <c r="BJ251" s="513">
        <f>IFERROR(__xludf.DUMMYFUNCTION("""COMPUTED_VALUE"""),83.25)</f>
        <v/>
      </c>
      <c r="BL251" s="512">
        <f>IFERROR(__xludf.DUMMYFUNCTION("""COMPUTED_VALUE"""),46227.6666666666)</f>
        <v/>
      </c>
      <c r="BM251" s="513">
        <f>IFERROR(__xludf.DUMMYFUNCTION("""COMPUTED_VALUE"""),371.9)</f>
        <v/>
      </c>
      <c r="BO251" s="512">
        <f>IFERROR(__xludf.DUMMYFUNCTION("""COMPUTED_VALUE"""),46227.6666666666)</f>
        <v/>
      </c>
      <c r="BP251" s="513">
        <f>IFERROR(__xludf.DUMMYFUNCTION("""COMPUTED_VALUE"""),91.61)</f>
        <v/>
      </c>
    </row>
    <row r="252">
      <c r="A252" s="512">
        <f>IFERROR(__xludf.DUMMYFUNCTION("""COMPUTED_VALUE"""),46230.6666666666)</f>
        <v/>
      </c>
      <c r="B252" s="513">
        <f>IFERROR(__xludf.DUMMYFUNCTION("""COMPUTED_VALUE"""),739.09)</f>
        <v/>
      </c>
      <c r="D252" s="512">
        <f>IFERROR(__xludf.DUMMYFUNCTION("""COMPUTED_VALUE"""),46230.6666666666)</f>
        <v/>
      </c>
      <c r="E252" s="513">
        <f>IFERROR(__xludf.DUMMYFUNCTION("""COMPUTED_VALUE"""),100.54)</f>
        <v/>
      </c>
      <c r="G252" s="512" t="n"/>
      <c r="H252" s="513" t="n"/>
      <c r="J252" s="512">
        <f>IFERROR(__xludf.DUMMYFUNCTION("""COMPUTED_VALUE"""),46230.6666666666)</f>
        <v/>
      </c>
      <c r="K252" s="513">
        <f>IFERROR(__xludf.DUMMYFUNCTION("""COMPUTED_VALUE"""),91.51)</f>
        <v/>
      </c>
      <c r="M252" s="512">
        <f>IFERROR(__xludf.DUMMYFUNCTION("""COMPUTED_VALUE"""),46230.6666666666)</f>
        <v/>
      </c>
      <c r="N252" s="513">
        <f>IFERROR(__xludf.DUMMYFUNCTION("""COMPUTED_VALUE"""),292.91)</f>
        <v/>
      </c>
      <c r="P252" s="512">
        <f>IFERROR(__xludf.DUMMYFUNCTION("""COMPUTED_VALUE"""),46230.6666666666)</f>
        <v/>
      </c>
      <c r="Q252" s="513">
        <f>IFERROR(__xludf.DUMMYFUNCTION("""COMPUTED_VALUE"""),88.84)</f>
        <v/>
      </c>
      <c r="S252" s="512">
        <f>IFERROR(__xludf.DUMMYFUNCTION("""COMPUTED_VALUE"""),45498.6666666666)</f>
        <v/>
      </c>
      <c r="T252" s="513">
        <f>IFERROR(__xludf.DUMMYFUNCTION("""COMPUTED_VALUE"""),217.49)</f>
        <v/>
      </c>
      <c r="V252" s="512">
        <f>IFERROR(__xludf.DUMMYFUNCTION("""COMPUTED_VALUE"""),46230.6666666666)</f>
        <v/>
      </c>
      <c r="W252" s="513">
        <f>IFERROR(__xludf.DUMMYFUNCTION("""COMPUTED_VALUE"""),29.01)</f>
        <v/>
      </c>
      <c r="Y252" s="512">
        <f>IFERROR(__xludf.DUMMYFUNCTION("""COMPUTED_VALUE"""),46230.6666666666)</f>
        <v/>
      </c>
      <c r="Z252" s="513">
        <f>IFERROR(__xludf.DUMMYFUNCTION("""COMPUTED_VALUE"""),72.46)</f>
        <v/>
      </c>
      <c r="AB252" s="512">
        <f>IFERROR(__xludf.DUMMYFUNCTION("""COMPUTED_VALUE"""),46230.6666666666)</f>
        <v/>
      </c>
      <c r="AC252" s="513">
        <f>IFERROR(__xludf.DUMMYFUNCTION("""COMPUTED_VALUE"""),58.23)</f>
        <v/>
      </c>
      <c r="AE252" s="512">
        <f>IFERROR(__xludf.DUMMYFUNCTION("""COMPUTED_VALUE"""),46230.6666666666)</f>
        <v/>
      </c>
      <c r="AF252" s="513">
        <f>IFERROR(__xludf.DUMMYFUNCTION("""COMPUTED_VALUE"""),94.96)</f>
        <v/>
      </c>
      <c r="AH252" s="512">
        <f>IFERROR(__xludf.DUMMYFUNCTION("""COMPUTED_VALUE"""),46230.6666666666)</f>
        <v/>
      </c>
      <c r="AI252" s="513">
        <f>IFERROR(__xludf.DUMMYFUNCTION("""COMPUTED_VALUE"""),21.44)</f>
        <v/>
      </c>
      <c r="AK252" s="512">
        <f>IFERROR(__xludf.DUMMYFUNCTION("""COMPUTED_VALUE"""),46230.6666666666)</f>
        <v/>
      </c>
      <c r="AL252" s="513">
        <f>IFERROR(__xludf.DUMMYFUNCTION("""COMPUTED_VALUE"""),79.27)</f>
        <v/>
      </c>
      <c r="AN252" s="512">
        <f>IFERROR(__xludf.DUMMYFUNCTION("""COMPUTED_VALUE"""),46230.6666666666)</f>
        <v/>
      </c>
      <c r="AO252" s="513">
        <f>IFERROR(__xludf.DUMMYFUNCTION("""COMPUTED_VALUE"""),107.39)</f>
        <v/>
      </c>
      <c r="AQ252" s="512">
        <f>IFERROR(__xludf.DUMMYFUNCTION("""COMPUTED_VALUE"""),46230.6666666666)</f>
        <v/>
      </c>
      <c r="AR252" s="513">
        <f>IFERROR(__xludf.DUMMYFUNCTION("""COMPUTED_VALUE"""),103.91)</f>
        <v/>
      </c>
      <c r="AT252" s="512">
        <f>IFERROR(__xludf.DUMMYFUNCTION("""COMPUTED_VALUE"""),46230.6666666666)</f>
        <v/>
      </c>
      <c r="AU252" s="513">
        <f>IFERROR(__xludf.DUMMYFUNCTION("""COMPUTED_VALUE"""),63.62)</f>
        <v/>
      </c>
      <c r="AW252" s="512">
        <f>IFERROR(__xludf.DUMMYFUNCTION("""COMPUTED_VALUE"""),46230.6666666666)</f>
        <v/>
      </c>
      <c r="AX252" s="513">
        <f>IFERROR(__xludf.DUMMYFUNCTION("""COMPUTED_VALUE"""),97.69)</f>
        <v/>
      </c>
      <c r="AZ252" s="512">
        <f>IFERROR(__xludf.DUMMYFUNCTION("""COMPUTED_VALUE"""),46230.6666666666)</f>
        <v/>
      </c>
      <c r="BA252" s="513">
        <f>IFERROR(__xludf.DUMMYFUNCTION("""COMPUTED_VALUE"""),106.51)</f>
        <v/>
      </c>
      <c r="BC252" s="512">
        <f>IFERROR(__xludf.DUMMYFUNCTION("""COMPUTED_VALUE"""),46230.6666666666)</f>
        <v/>
      </c>
      <c r="BD252" s="513">
        <f>IFERROR(__xludf.DUMMYFUNCTION("""COMPUTED_VALUE"""),93.28)</f>
        <v/>
      </c>
      <c r="BF252" s="512">
        <f>IFERROR(__xludf.DUMMYFUNCTION("""COMPUTED_VALUE"""),46230.6666666666)</f>
        <v/>
      </c>
      <c r="BG252" s="513">
        <f>IFERROR(__xludf.DUMMYFUNCTION("""COMPUTED_VALUE"""),81.87)</f>
        <v/>
      </c>
      <c r="BI252" s="512">
        <f>IFERROR(__xludf.DUMMYFUNCTION("""COMPUTED_VALUE"""),46230.6666666666)</f>
        <v/>
      </c>
      <c r="BJ252" s="513">
        <f>IFERROR(__xludf.DUMMYFUNCTION("""COMPUTED_VALUE"""),83.75)</f>
        <v/>
      </c>
      <c r="BL252" s="512">
        <f>IFERROR(__xludf.DUMMYFUNCTION("""COMPUTED_VALUE"""),46230.6666666666)</f>
        <v/>
      </c>
      <c r="BM252" s="513">
        <f>IFERROR(__xludf.DUMMYFUNCTION("""COMPUTED_VALUE"""),374.63)</f>
        <v/>
      </c>
      <c r="BO252" s="512">
        <f>IFERROR(__xludf.DUMMYFUNCTION("""COMPUTED_VALUE"""),46230.6666666666)</f>
        <v/>
      </c>
      <c r="BP252" s="513">
        <f>IFERROR(__xludf.DUMMYFUNCTION("""COMPUTED_VALUE"""),91.62)</f>
        <v/>
      </c>
    </row>
    <row r="253">
      <c r="A253" s="512">
        <f>IFERROR(__xludf.DUMMYFUNCTION("""COMPUTED_VALUE"""),46231.6666666666)</f>
        <v/>
      </c>
      <c r="B253" s="513">
        <f>IFERROR(__xludf.DUMMYFUNCTION("""COMPUTED_VALUE"""),740.86)</f>
        <v/>
      </c>
      <c r="D253" s="512">
        <f>IFERROR(__xludf.DUMMYFUNCTION("""COMPUTED_VALUE"""),46231.6666666666)</f>
        <v/>
      </c>
      <c r="E253" s="513">
        <f>IFERROR(__xludf.DUMMYFUNCTION("""COMPUTED_VALUE"""),100.95)</f>
        <v/>
      </c>
      <c r="G253" s="512" t="n"/>
      <c r="H253" s="513" t="n"/>
      <c r="J253" s="512">
        <f>IFERROR(__xludf.DUMMYFUNCTION("""COMPUTED_VALUE"""),46231.6666666666)</f>
        <v/>
      </c>
      <c r="K253" s="513">
        <f>IFERROR(__xludf.DUMMYFUNCTION("""COMPUTED_VALUE"""),89.83)</f>
        <v/>
      </c>
      <c r="M253" s="512">
        <f>IFERROR(__xludf.DUMMYFUNCTION("""COMPUTED_VALUE"""),46231.6666666666)</f>
        <v/>
      </c>
      <c r="N253" s="513">
        <f>IFERROR(__xludf.DUMMYFUNCTION("""COMPUTED_VALUE"""),293.37)</f>
        <v/>
      </c>
      <c r="P253" s="512">
        <f>IFERROR(__xludf.DUMMYFUNCTION("""COMPUTED_VALUE"""),46231.6666666666)</f>
        <v/>
      </c>
      <c r="Q253" s="513">
        <f>IFERROR(__xludf.DUMMYFUNCTION("""COMPUTED_VALUE"""),89.23)</f>
        <v/>
      </c>
      <c r="S253" s="512">
        <f>IFERROR(__xludf.DUMMYFUNCTION("""COMPUTED_VALUE"""),45499.6666666666)</f>
        <v/>
      </c>
      <c r="T253" s="513">
        <f>IFERROR(__xludf.DUMMYFUNCTION("""COMPUTED_VALUE"""),217.96)</f>
        <v/>
      </c>
      <c r="V253" s="512">
        <f>IFERROR(__xludf.DUMMYFUNCTION("""COMPUTED_VALUE"""),46231.6666666666)</f>
        <v/>
      </c>
      <c r="W253" s="513">
        <f>IFERROR(__xludf.DUMMYFUNCTION("""COMPUTED_VALUE"""),28.6)</f>
        <v/>
      </c>
      <c r="Y253" s="512">
        <f>IFERROR(__xludf.DUMMYFUNCTION("""COMPUTED_VALUE"""),46231.6666666666)</f>
        <v/>
      </c>
      <c r="Z253" s="513">
        <f>IFERROR(__xludf.DUMMYFUNCTION("""COMPUTED_VALUE"""),72.64)</f>
        <v/>
      </c>
      <c r="AB253" s="512">
        <f>IFERROR(__xludf.DUMMYFUNCTION("""COMPUTED_VALUE"""),46231.6666666666)</f>
        <v/>
      </c>
      <c r="AC253" s="513">
        <f>IFERROR(__xludf.DUMMYFUNCTION("""COMPUTED_VALUE"""),57.74)</f>
        <v/>
      </c>
      <c r="AE253" s="512">
        <f>IFERROR(__xludf.DUMMYFUNCTION("""COMPUTED_VALUE"""),46231.6666666666)</f>
        <v/>
      </c>
      <c r="AF253" s="513">
        <f>IFERROR(__xludf.DUMMYFUNCTION("""COMPUTED_VALUE"""),95.19)</f>
        <v/>
      </c>
      <c r="AH253" s="512">
        <f>IFERROR(__xludf.DUMMYFUNCTION("""COMPUTED_VALUE"""),46231.6666666666)</f>
        <v/>
      </c>
      <c r="AI253" s="513">
        <f>IFERROR(__xludf.DUMMYFUNCTION("""COMPUTED_VALUE"""),21.47)</f>
        <v/>
      </c>
      <c r="AK253" s="512">
        <f>IFERROR(__xludf.DUMMYFUNCTION("""COMPUTED_VALUE"""),46231.6666666666)</f>
        <v/>
      </c>
      <c r="AL253" s="513">
        <f>IFERROR(__xludf.DUMMYFUNCTION("""COMPUTED_VALUE"""),79.42)</f>
        <v/>
      </c>
      <c r="AN253" s="512">
        <f>IFERROR(__xludf.DUMMYFUNCTION("""COMPUTED_VALUE"""),46231.6666666666)</f>
        <v/>
      </c>
      <c r="AO253" s="513">
        <f>IFERROR(__xludf.DUMMYFUNCTION("""COMPUTED_VALUE"""),107.66)</f>
        <v/>
      </c>
      <c r="AQ253" s="512">
        <f>IFERROR(__xludf.DUMMYFUNCTION("""COMPUTED_VALUE"""),46231.6666666666)</f>
        <v/>
      </c>
      <c r="AR253" s="513">
        <f>IFERROR(__xludf.DUMMYFUNCTION("""COMPUTED_VALUE"""),103.89)</f>
        <v/>
      </c>
      <c r="AT253" s="512">
        <f>IFERROR(__xludf.DUMMYFUNCTION("""COMPUTED_VALUE"""),46231.6666666666)</f>
        <v/>
      </c>
      <c r="AU253" s="513">
        <f>IFERROR(__xludf.DUMMYFUNCTION("""COMPUTED_VALUE"""),62.36)</f>
        <v/>
      </c>
      <c r="AW253" s="512">
        <f>IFERROR(__xludf.DUMMYFUNCTION("""COMPUTED_VALUE"""),46231.6666666666)</f>
        <v/>
      </c>
      <c r="AX253" s="513">
        <f>IFERROR(__xludf.DUMMYFUNCTION("""COMPUTED_VALUE"""),97.92)</f>
        <v/>
      </c>
      <c r="AZ253" s="512">
        <f>IFERROR(__xludf.DUMMYFUNCTION("""COMPUTED_VALUE"""),46231.6666666666)</f>
        <v/>
      </c>
      <c r="BA253" s="513">
        <f>IFERROR(__xludf.DUMMYFUNCTION("""COMPUTED_VALUE"""),106.83)</f>
        <v/>
      </c>
      <c r="BC253" s="512">
        <f>IFERROR(__xludf.DUMMYFUNCTION("""COMPUTED_VALUE"""),46231.6666666666)</f>
        <v/>
      </c>
      <c r="BD253" s="513">
        <f>IFERROR(__xludf.DUMMYFUNCTION("""COMPUTED_VALUE"""),93.56)</f>
        <v/>
      </c>
      <c r="BF253" s="512">
        <f>IFERROR(__xludf.DUMMYFUNCTION("""COMPUTED_VALUE"""),46231.6666666666)</f>
        <v/>
      </c>
      <c r="BG253" s="513">
        <f>IFERROR(__xludf.DUMMYFUNCTION("""COMPUTED_VALUE"""),81.94)</f>
        <v/>
      </c>
      <c r="BI253" s="512">
        <f>IFERROR(__xludf.DUMMYFUNCTION("""COMPUTED_VALUE"""),46231.6666666666)</f>
        <v/>
      </c>
      <c r="BJ253" s="513">
        <f>IFERROR(__xludf.DUMMYFUNCTION("""COMPUTED_VALUE"""),84.24)</f>
        <v/>
      </c>
      <c r="BL253" s="512">
        <f>IFERROR(__xludf.DUMMYFUNCTION("""COMPUTED_VALUE"""),46231.6666666666)</f>
        <v/>
      </c>
      <c r="BM253" s="513">
        <f>IFERROR(__xludf.DUMMYFUNCTION("""COMPUTED_VALUE"""),369.37)</f>
        <v/>
      </c>
      <c r="BO253" s="512">
        <f>IFERROR(__xludf.DUMMYFUNCTION("""COMPUTED_VALUE"""),46231.6666666666)</f>
        <v/>
      </c>
      <c r="BP253" s="513">
        <f>IFERROR(__xludf.DUMMYFUNCTION("""COMPUTED_VALUE"""),91.63)</f>
        <v/>
      </c>
    </row>
    <row r="254">
      <c r="A254" s="512">
        <f>IFERROR(__xludf.DUMMYFUNCTION("""COMPUTED_VALUE"""),46232.6666666666)</f>
        <v/>
      </c>
      <c r="B254" s="513">
        <f>IFERROR(__xludf.DUMMYFUNCTION("""COMPUTED_VALUE"""),729.46)</f>
        <v/>
      </c>
      <c r="D254" s="512">
        <f>IFERROR(__xludf.DUMMYFUNCTION("""COMPUTED_VALUE"""),46232.6666666666)</f>
        <v/>
      </c>
      <c r="E254" s="513">
        <f>IFERROR(__xludf.DUMMYFUNCTION("""COMPUTED_VALUE"""),100.66)</f>
        <v/>
      </c>
      <c r="G254" s="512" t="n"/>
      <c r="H254" s="513" t="n"/>
      <c r="J254" s="512">
        <f>IFERROR(__xludf.DUMMYFUNCTION("""COMPUTED_VALUE"""),46232.6666666666)</f>
        <v/>
      </c>
      <c r="K254" s="513">
        <f>IFERROR(__xludf.DUMMYFUNCTION("""COMPUTED_VALUE"""),89.35)</f>
        <v/>
      </c>
      <c r="M254" s="512">
        <f>IFERROR(__xludf.DUMMYFUNCTION("""COMPUTED_VALUE"""),46232.6666666666)</f>
        <v/>
      </c>
      <c r="N254" s="513">
        <f>IFERROR(__xludf.DUMMYFUNCTION("""COMPUTED_VALUE"""),288.57)</f>
        <v/>
      </c>
      <c r="P254" s="512">
        <f>IFERROR(__xludf.DUMMYFUNCTION("""COMPUTED_VALUE"""),46232.6666666666)</f>
        <v/>
      </c>
      <c r="Q254" s="513">
        <f>IFERROR(__xludf.DUMMYFUNCTION("""COMPUTED_VALUE"""),88.86)</f>
        <v/>
      </c>
      <c r="S254" s="512">
        <f>IFERROR(__xludf.DUMMYFUNCTION("""COMPUTED_VALUE"""),45502.6666666666)</f>
        <v/>
      </c>
      <c r="T254" s="513">
        <f>IFERROR(__xludf.DUMMYFUNCTION("""COMPUTED_VALUE"""),218.24)</f>
        <v/>
      </c>
      <c r="V254" s="512">
        <f>IFERROR(__xludf.DUMMYFUNCTION("""COMPUTED_VALUE"""),46232.6666666666)</f>
        <v/>
      </c>
      <c r="W254" s="513">
        <f>IFERROR(__xludf.DUMMYFUNCTION("""COMPUTED_VALUE"""),29.42)</f>
        <v/>
      </c>
      <c r="Y254" s="512">
        <f>IFERROR(__xludf.DUMMYFUNCTION("""COMPUTED_VALUE"""),46232.6666666666)</f>
        <v/>
      </c>
      <c r="Z254" s="513">
        <f>IFERROR(__xludf.DUMMYFUNCTION("""COMPUTED_VALUE"""),72.38)</f>
        <v/>
      </c>
      <c r="AB254" s="512">
        <f>IFERROR(__xludf.DUMMYFUNCTION("""COMPUTED_VALUE"""),46232.6666666666)</f>
        <v/>
      </c>
      <c r="AC254" s="513">
        <f>IFERROR(__xludf.DUMMYFUNCTION("""COMPUTED_VALUE"""),56.92)</f>
        <v/>
      </c>
      <c r="AE254" s="512">
        <f>IFERROR(__xludf.DUMMYFUNCTION("""COMPUTED_VALUE"""),46232.6666666666)</f>
        <v/>
      </c>
      <c r="AF254" s="513">
        <f>IFERROR(__xludf.DUMMYFUNCTION("""COMPUTED_VALUE"""),94.56)</f>
        <v/>
      </c>
      <c r="AH254" s="512">
        <f>IFERROR(__xludf.DUMMYFUNCTION("""COMPUTED_VALUE"""),46232.6666666666)</f>
        <v/>
      </c>
      <c r="AI254" s="513">
        <f>IFERROR(__xludf.DUMMYFUNCTION("""COMPUTED_VALUE"""),21.5)</f>
        <v/>
      </c>
      <c r="AK254" s="512">
        <f>IFERROR(__xludf.DUMMYFUNCTION("""COMPUTED_VALUE"""),46232.6666666666)</f>
        <v/>
      </c>
      <c r="AL254" s="513">
        <f>IFERROR(__xludf.DUMMYFUNCTION("""COMPUTED_VALUE"""),79.24)</f>
        <v/>
      </c>
      <c r="AN254" s="512">
        <f>IFERROR(__xludf.DUMMYFUNCTION("""COMPUTED_VALUE"""),46232.6666666666)</f>
        <v/>
      </c>
      <c r="AO254" s="513">
        <f>IFERROR(__xludf.DUMMYFUNCTION("""COMPUTED_VALUE"""),107.77)</f>
        <v/>
      </c>
      <c r="AQ254" s="512">
        <f>IFERROR(__xludf.DUMMYFUNCTION("""COMPUTED_VALUE"""),46232.6666666666)</f>
        <v/>
      </c>
      <c r="AR254" s="513">
        <f>IFERROR(__xludf.DUMMYFUNCTION("""COMPUTED_VALUE"""),103.37)</f>
        <v/>
      </c>
      <c r="AT254" s="512">
        <f>IFERROR(__xludf.DUMMYFUNCTION("""COMPUTED_VALUE"""),46232.6666666666)</f>
        <v/>
      </c>
      <c r="AU254" s="513">
        <f>IFERROR(__xludf.DUMMYFUNCTION("""COMPUTED_VALUE"""),61.07)</f>
        <v/>
      </c>
      <c r="AW254" s="512">
        <f>IFERROR(__xludf.DUMMYFUNCTION("""COMPUTED_VALUE"""),46232.6666666666)</f>
        <v/>
      </c>
      <c r="AX254" s="513">
        <f>IFERROR(__xludf.DUMMYFUNCTION("""COMPUTED_VALUE"""),97.55)</f>
        <v/>
      </c>
      <c r="AZ254" s="512">
        <f>IFERROR(__xludf.DUMMYFUNCTION("""COMPUTED_VALUE"""),46232.6666666666)</f>
        <v/>
      </c>
      <c r="BA254" s="513">
        <f>IFERROR(__xludf.DUMMYFUNCTION("""COMPUTED_VALUE"""),106.22)</f>
        <v/>
      </c>
      <c r="BC254" s="512">
        <f>IFERROR(__xludf.DUMMYFUNCTION("""COMPUTED_VALUE"""),46232.6666666666)</f>
        <v/>
      </c>
      <c r="BD254" s="513">
        <f>IFERROR(__xludf.DUMMYFUNCTION("""COMPUTED_VALUE"""),93.17)</f>
        <v/>
      </c>
      <c r="BF254" s="512">
        <f>IFERROR(__xludf.DUMMYFUNCTION("""COMPUTED_VALUE"""),46232.6666666666)</f>
        <v/>
      </c>
      <c r="BG254" s="513">
        <f>IFERROR(__xludf.DUMMYFUNCTION("""COMPUTED_VALUE"""),81.99)</f>
        <v/>
      </c>
      <c r="BI254" s="512">
        <f>IFERROR(__xludf.DUMMYFUNCTION("""COMPUTED_VALUE"""),46232.6666666666)</f>
        <v/>
      </c>
      <c r="BJ254" s="513">
        <f>IFERROR(__xludf.DUMMYFUNCTION("""COMPUTED_VALUE"""),82.85)</f>
        <v/>
      </c>
      <c r="BL254" s="512">
        <f>IFERROR(__xludf.DUMMYFUNCTION("""COMPUTED_VALUE"""),46232.6666666666)</f>
        <v/>
      </c>
      <c r="BM254" s="513">
        <f>IFERROR(__xludf.DUMMYFUNCTION("""COMPUTED_VALUE"""),371.08)</f>
        <v/>
      </c>
      <c r="BO254" s="512">
        <f>IFERROR(__xludf.DUMMYFUNCTION("""COMPUTED_VALUE"""),46232.6666666666)</f>
        <v/>
      </c>
      <c r="BP254" s="513">
        <f>IFERROR(__xludf.DUMMYFUNCTION("""COMPUTED_VALUE"""),91.64)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22" min="1" max="1"/>
    <col width="12" customWidth="1" style="322" min="2" max="2"/>
    <col width="14" customWidth="1" style="322" min="3" max="3"/>
    <col width="10" customWidth="1" style="322" min="4" max="4"/>
    <col width="14" customWidth="1" style="322" min="5" max="5"/>
    <col width="14" customWidth="1" style="322" min="6" max="6"/>
    <col width="28" customWidth="1" style="322" min="7" max="7"/>
    <col width="10" customWidth="1" style="322" min="8" max="8"/>
    <col width="10" customWidth="1" style="322" min="9" max="9"/>
    <col width="36" customWidth="1" style="322" min="10" max="10"/>
    <col width="24" customWidth="1" style="322" min="11" max="11"/>
    <col width="42" customWidth="1" style="322" min="13" max="13"/>
  </cols>
  <sheetData>
    <row r="1">
      <c r="A1" s="480" t="inlineStr">
        <is>
          <t>구분</t>
        </is>
      </c>
      <c r="B1" s="480" t="inlineStr">
        <is>
          <t>주기</t>
        </is>
      </c>
      <c r="C1" s="480" t="inlineStr">
        <is>
          <t>날짜</t>
        </is>
      </c>
      <c r="D1" s="480" t="inlineStr">
        <is>
          <t>시간</t>
        </is>
      </c>
      <c r="E1" s="480" t="inlineStr">
        <is>
          <t>시장/국가</t>
        </is>
      </c>
      <c r="F1" s="480" t="inlineStr">
        <is>
          <t>관련 Ticker</t>
        </is>
      </c>
      <c r="G1" s="480" t="inlineStr">
        <is>
          <t>이벤트명</t>
        </is>
      </c>
      <c r="H1" s="480" t="inlineStr">
        <is>
          <t>중요도</t>
        </is>
      </c>
      <c r="I1" s="480" t="inlineStr">
        <is>
          <t>상태</t>
        </is>
      </c>
      <c r="J1" s="480" t="inlineStr">
        <is>
          <t>메모</t>
        </is>
      </c>
      <c r="K1" s="480" t="inlineStr">
        <is>
          <t>자료 링크</t>
        </is>
      </c>
      <c r="M1" s="481" t="inlineStr">
        <is>
          <t>사용 방법</t>
        </is>
      </c>
    </row>
    <row r="2">
      <c r="A2" s="482" t="inlineStr">
        <is>
          <t>시장</t>
        </is>
      </c>
      <c r="B2" s="482" t="inlineStr">
        <is>
          <t>Weekly</t>
        </is>
      </c>
      <c r="C2" s="483">
        <f>TODAY()-WEEKDAY(TODAY(),2)+1</f>
        <v/>
      </c>
      <c r="D2" s="484" t="inlineStr">
        <is>
          <t>09:00</t>
        </is>
      </c>
      <c r="E2" s="482" t="inlineStr">
        <is>
          <t>US</t>
        </is>
      </c>
      <c r="F2" s="482" t="inlineStr">
        <is>
          <t>SPY</t>
        </is>
      </c>
      <c r="G2" s="482" t="inlineStr">
        <is>
          <t>주간 시장 점검</t>
        </is>
      </c>
      <c r="H2" s="482" t="inlineStr">
        <is>
          <t>중간</t>
        </is>
      </c>
      <c r="I2" s="482" t="inlineStr">
        <is>
          <t>예정</t>
        </is>
      </c>
      <c r="J2" s="482" t="inlineStr">
        <is>
          <t>주요 지수/금리/환율 확인</t>
        </is>
      </c>
      <c r="K2" s="482" t="inlineStr"/>
      <c r="M2" s="485" t="inlineStr">
        <is>
          <t>주기: Weekly 또는 Monthly로 입력</t>
        </is>
      </c>
    </row>
    <row r="3">
      <c r="A3" s="482" t="inlineStr">
        <is>
          <t>실적</t>
        </is>
      </c>
      <c r="B3" s="482" t="inlineStr">
        <is>
          <t>Weekly</t>
        </is>
      </c>
      <c r="C3" s="483">
        <f>TODAY()-WEEKDAY(TODAY(),2)+4</f>
        <v/>
      </c>
      <c r="D3" s="484" t="inlineStr"/>
      <c r="E3" s="482" t="inlineStr">
        <is>
          <t>US</t>
        </is>
      </c>
      <c r="F3" s="482" t="inlineStr">
        <is>
          <t>QQQ</t>
        </is>
      </c>
      <c r="G3" s="482" t="inlineStr">
        <is>
          <t>주요 기술주 실적 체크</t>
        </is>
      </c>
      <c r="H3" s="482" t="inlineStr">
        <is>
          <t>높음</t>
        </is>
      </c>
      <c r="I3" s="482" t="inlineStr">
        <is>
          <t>예정</t>
        </is>
      </c>
      <c r="J3" s="482" t="inlineStr">
        <is>
          <t>보유/관심 종목 중심</t>
        </is>
      </c>
      <c r="K3" s="482" t="inlineStr"/>
      <c r="M3" s="485" t="inlineStr">
        <is>
          <t>관련 Ticker: 관심종목 D열 코드와 맞추면 추적이 쉽습니다.</t>
        </is>
      </c>
    </row>
    <row r="4">
      <c r="A4" s="482" t="inlineStr">
        <is>
          <t>매크로</t>
        </is>
      </c>
      <c r="B4" s="482" t="inlineStr">
        <is>
          <t>Monthly</t>
        </is>
      </c>
      <c r="C4" s="483">
        <f>EOMONTH(TODAY(),-1)+1</f>
        <v/>
      </c>
      <c r="D4" s="484" t="inlineStr"/>
      <c r="E4" s="482" t="inlineStr">
        <is>
          <t>US</t>
        </is>
      </c>
      <c r="F4" s="482" t="inlineStr"/>
      <c r="G4" s="482" t="inlineStr">
        <is>
          <t>월간 경제지표 캘린더 업데이트</t>
        </is>
      </c>
      <c r="H4" s="482" t="inlineStr">
        <is>
          <t>높음</t>
        </is>
      </c>
      <c r="I4" s="482" t="inlineStr">
        <is>
          <t>예정</t>
        </is>
      </c>
      <c r="J4" s="482" t="inlineStr">
        <is>
          <t>CPI/FOMC/고용/PMI 일정 관리</t>
        </is>
      </c>
      <c r="K4" s="482" t="inlineStr"/>
      <c r="M4" s="485" t="inlineStr">
        <is>
          <t>상태: 예정/완료/보류 등으로 관리</t>
        </is>
      </c>
    </row>
    <row r="5">
      <c r="A5" s="482" t="inlineStr">
        <is>
          <t>포트폴리오</t>
        </is>
      </c>
      <c r="B5" s="482" t="inlineStr">
        <is>
          <t>Monthly</t>
        </is>
      </c>
      <c r="C5" s="483">
        <f>EOMONTH(TODAY(),0)</f>
        <v/>
      </c>
      <c r="D5" s="484" t="inlineStr"/>
      <c r="E5" s="482" t="inlineStr">
        <is>
          <t>Global</t>
        </is>
      </c>
      <c r="F5" s="482" t="inlineStr"/>
      <c r="G5" s="482" t="inlineStr">
        <is>
          <t>월말 리밸런싱 검토</t>
        </is>
      </c>
      <c r="H5" s="482" t="inlineStr">
        <is>
          <t>높음</t>
        </is>
      </c>
      <c r="I5" s="482" t="inlineStr">
        <is>
          <t>예정</t>
        </is>
      </c>
      <c r="J5" s="482" t="inlineStr">
        <is>
          <t>목표비중/모멘텀/현금비중 확인</t>
        </is>
      </c>
      <c r="K5" s="482" t="inlineStr"/>
    </row>
    <row r="6">
      <c r="A6" s="482" t="inlineStr"/>
      <c r="B6" s="482" t="inlineStr"/>
      <c r="C6" s="483" t="inlineStr"/>
      <c r="D6" s="484" t="inlineStr"/>
      <c r="E6" s="482" t="inlineStr"/>
      <c r="F6" s="482" t="inlineStr"/>
      <c r="G6" s="482" t="inlineStr"/>
      <c r="H6" s="482" t="inlineStr"/>
      <c r="I6" s="482" t="inlineStr"/>
      <c r="J6" s="482" t="inlineStr"/>
      <c r="K6" s="482" t="inlineStr"/>
    </row>
    <row r="7">
      <c r="A7" s="482" t="inlineStr"/>
      <c r="B7" s="482" t="inlineStr"/>
      <c r="C7" s="483" t="inlineStr"/>
      <c r="D7" s="484" t="inlineStr"/>
      <c r="E7" s="482" t="inlineStr"/>
      <c r="F7" s="482" t="inlineStr"/>
      <c r="G7" s="482" t="inlineStr"/>
      <c r="H7" s="482" t="inlineStr"/>
      <c r="I7" s="482" t="inlineStr"/>
      <c r="J7" s="482" t="inlineStr"/>
      <c r="K7" s="482" t="inlineStr"/>
    </row>
    <row r="8">
      <c r="A8" s="482" t="inlineStr"/>
      <c r="B8" s="482" t="inlineStr"/>
      <c r="C8" s="483" t="inlineStr"/>
      <c r="D8" s="484" t="inlineStr"/>
      <c r="E8" s="482" t="inlineStr"/>
      <c r="F8" s="482" t="inlineStr"/>
      <c r="G8" s="482" t="inlineStr"/>
      <c r="H8" s="482" t="inlineStr"/>
      <c r="I8" s="482" t="inlineStr"/>
      <c r="J8" s="482" t="inlineStr"/>
      <c r="K8" s="482" t="inlineStr"/>
    </row>
    <row r="9">
      <c r="A9" s="482" t="inlineStr"/>
      <c r="B9" s="482" t="inlineStr"/>
      <c r="C9" s="483" t="inlineStr"/>
      <c r="D9" s="484" t="inlineStr"/>
      <c r="E9" s="482" t="inlineStr"/>
      <c r="F9" s="482" t="inlineStr"/>
      <c r="G9" s="482" t="inlineStr"/>
      <c r="H9" s="482" t="inlineStr"/>
      <c r="I9" s="482" t="inlineStr"/>
      <c r="J9" s="482" t="inlineStr"/>
      <c r="K9" s="482" t="inlineStr"/>
    </row>
    <row r="10">
      <c r="A10" s="482" t="inlineStr"/>
      <c r="B10" s="482" t="inlineStr"/>
      <c r="C10" s="483" t="inlineStr"/>
      <c r="D10" s="484" t="inlineStr"/>
      <c r="E10" s="482" t="inlineStr"/>
      <c r="F10" s="482" t="inlineStr"/>
      <c r="G10" s="482" t="inlineStr"/>
      <c r="H10" s="482" t="inlineStr"/>
      <c r="I10" s="482" t="inlineStr"/>
      <c r="J10" s="482" t="inlineStr"/>
      <c r="K10" s="482" t="inlineStr"/>
    </row>
    <row r="11">
      <c r="A11" s="482" t="inlineStr"/>
      <c r="B11" s="482" t="inlineStr"/>
      <c r="C11" s="483" t="inlineStr"/>
      <c r="D11" s="484" t="inlineStr"/>
      <c r="E11" s="482" t="inlineStr"/>
      <c r="F11" s="482" t="inlineStr"/>
      <c r="G11" s="482" t="inlineStr"/>
      <c r="H11" s="482" t="inlineStr"/>
      <c r="I11" s="482" t="inlineStr"/>
      <c r="J11" s="482" t="inlineStr"/>
      <c r="K11" s="482" t="inlineStr"/>
    </row>
    <row r="12">
      <c r="A12" s="482" t="inlineStr"/>
      <c r="B12" s="482" t="inlineStr"/>
      <c r="C12" s="483" t="inlineStr"/>
      <c r="D12" s="484" t="inlineStr"/>
      <c r="E12" s="482" t="inlineStr"/>
      <c r="F12" s="482" t="inlineStr"/>
      <c r="G12" s="482" t="inlineStr"/>
      <c r="H12" s="482" t="inlineStr"/>
      <c r="I12" s="482" t="inlineStr"/>
      <c r="J12" s="482" t="inlineStr"/>
      <c r="K12" s="482" t="inlineStr"/>
    </row>
    <row r="13">
      <c r="A13" s="482" t="inlineStr"/>
      <c r="B13" s="482" t="inlineStr"/>
      <c r="C13" s="483" t="inlineStr"/>
      <c r="D13" s="484" t="inlineStr"/>
      <c r="E13" s="482" t="inlineStr"/>
      <c r="F13" s="482" t="inlineStr"/>
      <c r="G13" s="482" t="inlineStr"/>
      <c r="H13" s="482" t="inlineStr"/>
      <c r="I13" s="482" t="inlineStr"/>
      <c r="J13" s="482" t="inlineStr"/>
      <c r="K13" s="482" t="inlineStr"/>
    </row>
    <row r="14">
      <c r="A14" s="482" t="inlineStr"/>
      <c r="B14" s="482" t="inlineStr"/>
      <c r="C14" s="483" t="inlineStr"/>
      <c r="D14" s="484" t="inlineStr"/>
      <c r="E14" s="482" t="inlineStr"/>
      <c r="F14" s="482" t="inlineStr"/>
      <c r="G14" s="482" t="inlineStr"/>
      <c r="H14" s="482" t="inlineStr"/>
      <c r="I14" s="482" t="inlineStr"/>
      <c r="J14" s="482" t="inlineStr"/>
      <c r="K14" s="482" t="inlineStr"/>
    </row>
    <row r="15">
      <c r="A15" s="482" t="inlineStr"/>
      <c r="B15" s="482" t="inlineStr"/>
      <c r="C15" s="483" t="inlineStr"/>
      <c r="D15" s="484" t="inlineStr"/>
      <c r="E15" s="482" t="inlineStr"/>
      <c r="F15" s="482" t="inlineStr"/>
      <c r="G15" s="482" t="inlineStr"/>
      <c r="H15" s="482" t="inlineStr"/>
      <c r="I15" s="482" t="inlineStr"/>
      <c r="J15" s="482" t="inlineStr"/>
      <c r="K15" s="482" t="inlineStr"/>
    </row>
    <row r="16">
      <c r="A16" s="482" t="inlineStr"/>
      <c r="B16" s="482" t="inlineStr"/>
      <c r="C16" s="483" t="inlineStr"/>
      <c r="D16" s="484" t="inlineStr"/>
      <c r="E16" s="482" t="inlineStr"/>
      <c r="F16" s="482" t="inlineStr"/>
      <c r="G16" s="482" t="inlineStr"/>
      <c r="H16" s="482" t="inlineStr"/>
      <c r="I16" s="482" t="inlineStr"/>
      <c r="J16" s="482" t="inlineStr"/>
      <c r="K16" s="482" t="inlineStr"/>
    </row>
    <row r="17">
      <c r="A17" s="482" t="inlineStr"/>
      <c r="B17" s="482" t="inlineStr"/>
      <c r="C17" s="483" t="inlineStr"/>
      <c r="D17" s="484" t="inlineStr"/>
      <c r="E17" s="482" t="inlineStr"/>
      <c r="F17" s="482" t="inlineStr"/>
      <c r="G17" s="482" t="inlineStr"/>
      <c r="H17" s="482" t="inlineStr"/>
      <c r="I17" s="482" t="inlineStr"/>
      <c r="J17" s="482" t="inlineStr"/>
      <c r="K17" s="482" t="inlineStr"/>
    </row>
    <row r="18">
      <c r="A18" s="482" t="inlineStr"/>
      <c r="B18" s="482" t="inlineStr"/>
      <c r="C18" s="483" t="inlineStr"/>
      <c r="D18" s="484" t="inlineStr"/>
      <c r="E18" s="482" t="inlineStr"/>
      <c r="F18" s="482" t="inlineStr"/>
      <c r="G18" s="482" t="inlineStr"/>
      <c r="H18" s="482" t="inlineStr"/>
      <c r="I18" s="482" t="inlineStr"/>
      <c r="J18" s="482" t="inlineStr"/>
      <c r="K18" s="482" t="inlineStr"/>
    </row>
    <row r="19">
      <c r="A19" s="482" t="inlineStr"/>
      <c r="B19" s="482" t="inlineStr"/>
      <c r="C19" s="483" t="inlineStr"/>
      <c r="D19" s="484" t="inlineStr"/>
      <c r="E19" s="482" t="inlineStr"/>
      <c r="F19" s="482" t="inlineStr"/>
      <c r="G19" s="482" t="inlineStr"/>
      <c r="H19" s="482" t="inlineStr"/>
      <c r="I19" s="482" t="inlineStr"/>
      <c r="J19" s="482" t="inlineStr"/>
      <c r="K19" s="482" t="inlineStr"/>
    </row>
    <row r="20">
      <c r="A20" s="482" t="inlineStr"/>
      <c r="B20" s="482" t="inlineStr"/>
      <c r="C20" s="483" t="inlineStr"/>
      <c r="D20" s="484" t="inlineStr"/>
      <c r="E20" s="482" t="inlineStr"/>
      <c r="F20" s="482" t="inlineStr"/>
      <c r="G20" s="482" t="inlineStr"/>
      <c r="H20" s="482" t="inlineStr"/>
      <c r="I20" s="482" t="inlineStr"/>
      <c r="J20" s="482" t="inlineStr"/>
      <c r="K20" s="482" t="inlineStr"/>
    </row>
    <row r="21">
      <c r="A21" s="482" t="inlineStr"/>
      <c r="B21" s="482" t="inlineStr"/>
      <c r="C21" s="483" t="inlineStr"/>
      <c r="D21" s="484" t="inlineStr"/>
      <c r="E21" s="482" t="inlineStr"/>
      <c r="F21" s="482" t="inlineStr"/>
      <c r="G21" s="482" t="inlineStr"/>
      <c r="H21" s="482" t="inlineStr"/>
      <c r="I21" s="482" t="inlineStr"/>
      <c r="J21" s="482" t="inlineStr"/>
      <c r="K21" s="482" t="inlineStr"/>
    </row>
    <row r="22">
      <c r="A22" s="482" t="inlineStr"/>
      <c r="B22" s="482" t="inlineStr"/>
      <c r="C22" s="483" t="inlineStr"/>
      <c r="D22" s="484" t="inlineStr"/>
      <c r="E22" s="482" t="inlineStr"/>
      <c r="F22" s="482" t="inlineStr"/>
      <c r="G22" s="482" t="inlineStr"/>
      <c r="H22" s="482" t="inlineStr"/>
      <c r="I22" s="482" t="inlineStr"/>
      <c r="J22" s="482" t="inlineStr"/>
      <c r="K22" s="482" t="inlineStr"/>
    </row>
    <row r="23">
      <c r="A23" s="482" t="inlineStr"/>
      <c r="B23" s="482" t="inlineStr"/>
      <c r="C23" s="483" t="inlineStr"/>
      <c r="D23" s="484" t="inlineStr"/>
      <c r="E23" s="482" t="inlineStr"/>
      <c r="F23" s="482" t="inlineStr"/>
      <c r="G23" s="482" t="inlineStr"/>
      <c r="H23" s="482" t="inlineStr"/>
      <c r="I23" s="482" t="inlineStr"/>
      <c r="J23" s="482" t="inlineStr"/>
      <c r="K23" s="482" t="inlineStr"/>
    </row>
    <row r="24">
      <c r="A24" s="482" t="inlineStr"/>
      <c r="B24" s="482" t="inlineStr"/>
      <c r="C24" s="483" t="inlineStr"/>
      <c r="D24" s="484" t="inlineStr"/>
      <c r="E24" s="482" t="inlineStr"/>
      <c r="F24" s="482" t="inlineStr"/>
      <c r="G24" s="482" t="inlineStr"/>
      <c r="H24" s="482" t="inlineStr"/>
      <c r="I24" s="482" t="inlineStr"/>
      <c r="J24" s="482" t="inlineStr"/>
      <c r="K24" s="482" t="inlineStr"/>
    </row>
    <row r="25">
      <c r="A25" s="482" t="inlineStr"/>
      <c r="B25" s="482" t="inlineStr"/>
      <c r="C25" s="483" t="inlineStr"/>
      <c r="D25" s="484" t="inlineStr"/>
      <c r="E25" s="482" t="inlineStr"/>
      <c r="F25" s="482" t="inlineStr"/>
      <c r="G25" s="482" t="inlineStr"/>
      <c r="H25" s="482" t="inlineStr"/>
      <c r="I25" s="482" t="inlineStr"/>
      <c r="J25" s="482" t="inlineStr"/>
      <c r="K25" s="482" t="inlineStr"/>
    </row>
    <row r="26">
      <c r="A26" s="482" t="inlineStr"/>
      <c r="B26" s="482" t="inlineStr"/>
      <c r="C26" s="483" t="inlineStr"/>
      <c r="D26" s="484" t="inlineStr"/>
      <c r="E26" s="482" t="inlineStr"/>
      <c r="F26" s="482" t="inlineStr"/>
      <c r="G26" s="482" t="inlineStr"/>
      <c r="H26" s="482" t="inlineStr"/>
      <c r="I26" s="482" t="inlineStr"/>
      <c r="J26" s="482" t="inlineStr"/>
      <c r="K26" s="482" t="inlineStr"/>
    </row>
    <row r="27">
      <c r="A27" s="482" t="inlineStr"/>
      <c r="B27" s="482" t="inlineStr"/>
      <c r="C27" s="483" t="inlineStr"/>
      <c r="D27" s="484" t="inlineStr"/>
      <c r="E27" s="482" t="inlineStr"/>
      <c r="F27" s="482" t="inlineStr"/>
      <c r="G27" s="482" t="inlineStr"/>
      <c r="H27" s="482" t="inlineStr"/>
      <c r="I27" s="482" t="inlineStr"/>
      <c r="J27" s="482" t="inlineStr"/>
      <c r="K27" s="482" t="inlineStr"/>
    </row>
    <row r="28">
      <c r="A28" s="482" t="inlineStr"/>
      <c r="B28" s="482" t="inlineStr"/>
      <c r="C28" s="483" t="inlineStr"/>
      <c r="D28" s="484" t="inlineStr"/>
      <c r="E28" s="482" t="inlineStr"/>
      <c r="F28" s="482" t="inlineStr"/>
      <c r="G28" s="482" t="inlineStr"/>
      <c r="H28" s="482" t="inlineStr"/>
      <c r="I28" s="482" t="inlineStr"/>
      <c r="J28" s="482" t="inlineStr"/>
      <c r="K28" s="482" t="inlineStr"/>
    </row>
    <row r="29">
      <c r="A29" s="482" t="inlineStr"/>
      <c r="B29" s="482" t="inlineStr"/>
      <c r="C29" s="483" t="inlineStr"/>
      <c r="D29" s="484" t="inlineStr"/>
      <c r="E29" s="482" t="inlineStr"/>
      <c r="F29" s="482" t="inlineStr"/>
      <c r="G29" s="482" t="inlineStr"/>
      <c r="H29" s="482" t="inlineStr"/>
      <c r="I29" s="482" t="inlineStr"/>
      <c r="J29" s="482" t="inlineStr"/>
      <c r="K29" s="482" t="inlineStr"/>
    </row>
    <row r="30">
      <c r="A30" s="482" t="inlineStr"/>
      <c r="B30" s="482" t="inlineStr"/>
      <c r="C30" s="483" t="inlineStr"/>
      <c r="D30" s="484" t="inlineStr"/>
      <c r="E30" s="482" t="inlineStr"/>
      <c r="F30" s="482" t="inlineStr"/>
      <c r="G30" s="482" t="inlineStr"/>
      <c r="H30" s="482" t="inlineStr"/>
      <c r="I30" s="482" t="inlineStr"/>
      <c r="J30" s="482" t="inlineStr"/>
      <c r="K30" s="482" t="inlineStr"/>
    </row>
    <row r="31">
      <c r="A31" s="482" t="inlineStr"/>
      <c r="B31" s="482" t="inlineStr"/>
      <c r="C31" s="483" t="inlineStr"/>
      <c r="D31" s="484" t="inlineStr"/>
      <c r="E31" s="482" t="inlineStr"/>
      <c r="F31" s="482" t="inlineStr"/>
      <c r="G31" s="482" t="inlineStr"/>
      <c r="H31" s="482" t="inlineStr"/>
      <c r="I31" s="482" t="inlineStr"/>
      <c r="J31" s="482" t="inlineStr"/>
      <c r="K31" s="482" t="inlineStr"/>
    </row>
    <row r="32">
      <c r="A32" s="482" t="inlineStr"/>
      <c r="B32" s="482" t="inlineStr"/>
      <c r="C32" s="483" t="inlineStr"/>
      <c r="D32" s="484" t="inlineStr"/>
      <c r="E32" s="482" t="inlineStr"/>
      <c r="F32" s="482" t="inlineStr"/>
      <c r="G32" s="482" t="inlineStr"/>
      <c r="H32" s="482" t="inlineStr"/>
      <c r="I32" s="482" t="inlineStr"/>
      <c r="J32" s="482" t="inlineStr"/>
      <c r="K32" s="482" t="inlineStr"/>
    </row>
    <row r="33">
      <c r="A33" s="482" t="inlineStr"/>
      <c r="B33" s="482" t="inlineStr"/>
      <c r="C33" s="483" t="inlineStr"/>
      <c r="D33" s="484" t="inlineStr"/>
      <c r="E33" s="482" t="inlineStr"/>
      <c r="F33" s="482" t="inlineStr"/>
      <c r="G33" s="482" t="inlineStr"/>
      <c r="H33" s="482" t="inlineStr"/>
      <c r="I33" s="482" t="inlineStr"/>
      <c r="J33" s="482" t="inlineStr"/>
      <c r="K33" s="482" t="inlineStr"/>
    </row>
    <row r="34">
      <c r="A34" s="482" t="inlineStr"/>
      <c r="B34" s="482" t="inlineStr"/>
      <c r="C34" s="483" t="inlineStr"/>
      <c r="D34" s="484" t="inlineStr"/>
      <c r="E34" s="482" t="inlineStr"/>
      <c r="F34" s="482" t="inlineStr"/>
      <c r="G34" s="482" t="inlineStr"/>
      <c r="H34" s="482" t="inlineStr"/>
      <c r="I34" s="482" t="inlineStr"/>
      <c r="J34" s="482" t="inlineStr"/>
      <c r="K34" s="482" t="inlineStr"/>
    </row>
    <row r="35">
      <c r="A35" s="482" t="inlineStr"/>
      <c r="B35" s="482" t="inlineStr"/>
      <c r="C35" s="483" t="inlineStr"/>
      <c r="D35" s="484" t="inlineStr"/>
      <c r="E35" s="482" t="inlineStr"/>
      <c r="F35" s="482" t="inlineStr"/>
      <c r="G35" s="482" t="inlineStr"/>
      <c r="H35" s="482" t="inlineStr"/>
      <c r="I35" s="482" t="inlineStr"/>
      <c r="J35" s="482" t="inlineStr"/>
      <c r="K35" s="482" t="inlineStr"/>
    </row>
    <row r="36">
      <c r="A36" s="482" t="inlineStr"/>
      <c r="B36" s="482" t="inlineStr"/>
      <c r="C36" s="483" t="inlineStr"/>
      <c r="D36" s="484" t="inlineStr"/>
      <c r="E36" s="482" t="inlineStr"/>
      <c r="F36" s="482" t="inlineStr"/>
      <c r="G36" s="482" t="inlineStr"/>
      <c r="H36" s="482" t="inlineStr"/>
      <c r="I36" s="482" t="inlineStr"/>
      <c r="J36" s="482" t="inlineStr"/>
      <c r="K36" s="482" t="inlineStr"/>
    </row>
    <row r="37">
      <c r="A37" s="482" t="inlineStr"/>
      <c r="B37" s="482" t="inlineStr"/>
      <c r="C37" s="483" t="inlineStr"/>
      <c r="D37" s="484" t="inlineStr"/>
      <c r="E37" s="482" t="inlineStr"/>
      <c r="F37" s="482" t="inlineStr"/>
      <c r="G37" s="482" t="inlineStr"/>
      <c r="H37" s="482" t="inlineStr"/>
      <c r="I37" s="482" t="inlineStr"/>
      <c r="J37" s="482" t="inlineStr"/>
      <c r="K37" s="482" t="inlineStr"/>
    </row>
    <row r="38">
      <c r="A38" s="482" t="inlineStr"/>
      <c r="B38" s="482" t="inlineStr"/>
      <c r="C38" s="483" t="inlineStr"/>
      <c r="D38" s="484" t="inlineStr"/>
      <c r="E38" s="482" t="inlineStr"/>
      <c r="F38" s="482" t="inlineStr"/>
      <c r="G38" s="482" t="inlineStr"/>
      <c r="H38" s="482" t="inlineStr"/>
      <c r="I38" s="482" t="inlineStr"/>
      <c r="J38" s="482" t="inlineStr"/>
      <c r="K38" s="482" t="inlineStr"/>
    </row>
    <row r="39">
      <c r="A39" s="482" t="inlineStr"/>
      <c r="B39" s="482" t="inlineStr"/>
      <c r="C39" s="483" t="inlineStr"/>
      <c r="D39" s="484" t="inlineStr"/>
      <c r="E39" s="482" t="inlineStr"/>
      <c r="F39" s="482" t="inlineStr"/>
      <c r="G39" s="482" t="inlineStr"/>
      <c r="H39" s="482" t="inlineStr"/>
      <c r="I39" s="482" t="inlineStr"/>
      <c r="J39" s="482" t="inlineStr"/>
      <c r="K39" s="482" t="inlineStr"/>
    </row>
    <row r="40">
      <c r="A40" s="482" t="inlineStr"/>
      <c r="B40" s="482" t="inlineStr"/>
      <c r="C40" s="483" t="inlineStr"/>
      <c r="D40" s="484" t="inlineStr"/>
      <c r="E40" s="482" t="inlineStr"/>
      <c r="F40" s="482" t="inlineStr"/>
      <c r="G40" s="482" t="inlineStr"/>
      <c r="H40" s="482" t="inlineStr"/>
      <c r="I40" s="482" t="inlineStr"/>
      <c r="J40" s="482" t="inlineStr"/>
      <c r="K40" s="482" t="inlineStr"/>
    </row>
    <row r="41">
      <c r="A41" s="482" t="inlineStr"/>
      <c r="B41" s="482" t="inlineStr"/>
      <c r="C41" s="483" t="inlineStr"/>
      <c r="D41" s="484" t="inlineStr"/>
      <c r="E41" s="482" t="inlineStr"/>
      <c r="F41" s="482" t="inlineStr"/>
      <c r="G41" s="482" t="inlineStr"/>
      <c r="H41" s="482" t="inlineStr"/>
      <c r="I41" s="482" t="inlineStr"/>
      <c r="J41" s="482" t="inlineStr"/>
      <c r="K41" s="482" t="inlineStr"/>
    </row>
    <row r="42">
      <c r="A42" s="482" t="inlineStr"/>
      <c r="B42" s="482" t="inlineStr"/>
      <c r="C42" s="483" t="inlineStr"/>
      <c r="D42" s="484" t="inlineStr"/>
      <c r="E42" s="482" t="inlineStr"/>
      <c r="F42" s="482" t="inlineStr"/>
      <c r="G42" s="482" t="inlineStr"/>
      <c r="H42" s="482" t="inlineStr"/>
      <c r="I42" s="482" t="inlineStr"/>
      <c r="J42" s="482" t="inlineStr"/>
      <c r="K42" s="482" t="inlineStr"/>
    </row>
    <row r="43">
      <c r="A43" s="482" t="inlineStr"/>
      <c r="B43" s="482" t="inlineStr"/>
      <c r="C43" s="483" t="inlineStr"/>
      <c r="D43" s="484" t="inlineStr"/>
      <c r="E43" s="482" t="inlineStr"/>
      <c r="F43" s="482" t="inlineStr"/>
      <c r="G43" s="482" t="inlineStr"/>
      <c r="H43" s="482" t="inlineStr"/>
      <c r="I43" s="482" t="inlineStr"/>
      <c r="J43" s="482" t="inlineStr"/>
      <c r="K43" s="482" t="inlineStr"/>
    </row>
    <row r="44">
      <c r="A44" s="482" t="inlineStr"/>
      <c r="B44" s="482" t="inlineStr"/>
      <c r="C44" s="483" t="inlineStr"/>
      <c r="D44" s="484" t="inlineStr"/>
      <c r="E44" s="482" t="inlineStr"/>
      <c r="F44" s="482" t="inlineStr"/>
      <c r="G44" s="482" t="inlineStr"/>
      <c r="H44" s="482" t="inlineStr"/>
      <c r="I44" s="482" t="inlineStr"/>
      <c r="J44" s="482" t="inlineStr"/>
      <c r="K44" s="482" t="inlineStr"/>
    </row>
    <row r="45">
      <c r="A45" s="482" t="inlineStr"/>
      <c r="B45" s="482" t="inlineStr"/>
      <c r="C45" s="483" t="inlineStr"/>
      <c r="D45" s="484" t="inlineStr"/>
      <c r="E45" s="482" t="inlineStr"/>
      <c r="F45" s="482" t="inlineStr"/>
      <c r="G45" s="482" t="inlineStr"/>
      <c r="H45" s="482" t="inlineStr"/>
      <c r="I45" s="482" t="inlineStr"/>
      <c r="J45" s="482" t="inlineStr"/>
      <c r="K45" s="482" t="inlineStr"/>
    </row>
    <row r="46">
      <c r="A46" s="482" t="inlineStr"/>
      <c r="B46" s="482" t="inlineStr"/>
      <c r="C46" s="483" t="inlineStr"/>
      <c r="D46" s="484" t="inlineStr"/>
      <c r="E46" s="482" t="inlineStr"/>
      <c r="F46" s="482" t="inlineStr"/>
      <c r="G46" s="482" t="inlineStr"/>
      <c r="H46" s="482" t="inlineStr"/>
      <c r="I46" s="482" t="inlineStr"/>
      <c r="J46" s="482" t="inlineStr"/>
      <c r="K46" s="482" t="inlineStr"/>
    </row>
    <row r="47">
      <c r="A47" s="482" t="inlineStr"/>
      <c r="B47" s="482" t="inlineStr"/>
      <c r="C47" s="483" t="inlineStr"/>
      <c r="D47" s="484" t="inlineStr"/>
      <c r="E47" s="482" t="inlineStr"/>
      <c r="F47" s="482" t="inlineStr"/>
      <c r="G47" s="482" t="inlineStr"/>
      <c r="H47" s="482" t="inlineStr"/>
      <c r="I47" s="482" t="inlineStr"/>
      <c r="J47" s="482" t="inlineStr"/>
      <c r="K47" s="482" t="inlineStr"/>
    </row>
    <row r="48">
      <c r="A48" s="482" t="inlineStr"/>
      <c r="B48" s="482" t="inlineStr"/>
      <c r="C48" s="483" t="inlineStr"/>
      <c r="D48" s="484" t="inlineStr"/>
      <c r="E48" s="482" t="inlineStr"/>
      <c r="F48" s="482" t="inlineStr"/>
      <c r="G48" s="482" t="inlineStr"/>
      <c r="H48" s="482" t="inlineStr"/>
      <c r="I48" s="482" t="inlineStr"/>
      <c r="J48" s="482" t="inlineStr"/>
      <c r="K48" s="482" t="inlineStr"/>
    </row>
    <row r="49">
      <c r="A49" s="482" t="inlineStr"/>
      <c r="B49" s="482" t="inlineStr"/>
      <c r="C49" s="483" t="inlineStr"/>
      <c r="D49" s="484" t="inlineStr"/>
      <c r="E49" s="482" t="inlineStr"/>
      <c r="F49" s="482" t="inlineStr"/>
      <c r="G49" s="482" t="inlineStr"/>
      <c r="H49" s="482" t="inlineStr"/>
      <c r="I49" s="482" t="inlineStr"/>
      <c r="J49" s="482" t="inlineStr"/>
      <c r="K49" s="482" t="inlineStr"/>
    </row>
    <row r="50">
      <c r="A50" s="482" t="inlineStr"/>
      <c r="B50" s="482" t="inlineStr"/>
      <c r="C50" s="483" t="inlineStr"/>
      <c r="D50" s="484" t="inlineStr"/>
      <c r="E50" s="482" t="inlineStr"/>
      <c r="F50" s="482" t="inlineStr"/>
      <c r="G50" s="482" t="inlineStr"/>
      <c r="H50" s="482" t="inlineStr"/>
      <c r="I50" s="482" t="inlineStr"/>
      <c r="J50" s="482" t="inlineStr"/>
      <c r="K50" s="482" t="inlineStr"/>
    </row>
    <row r="51">
      <c r="A51" s="482" t="inlineStr"/>
      <c r="B51" s="482" t="inlineStr"/>
      <c r="C51" s="483" t="inlineStr"/>
      <c r="D51" s="484" t="inlineStr"/>
      <c r="E51" s="482" t="inlineStr"/>
      <c r="F51" s="482" t="inlineStr"/>
      <c r="G51" s="482" t="inlineStr"/>
      <c r="H51" s="482" t="inlineStr"/>
      <c r="I51" s="482" t="inlineStr"/>
      <c r="J51" s="482" t="inlineStr"/>
      <c r="K51" s="482" t="inlineStr"/>
    </row>
    <row r="52">
      <c r="A52" s="482" t="inlineStr"/>
      <c r="B52" s="482" t="inlineStr"/>
      <c r="C52" s="483" t="inlineStr"/>
      <c r="D52" s="484" t="inlineStr"/>
      <c r="E52" s="482" t="inlineStr"/>
      <c r="F52" s="482" t="inlineStr"/>
      <c r="G52" s="482" t="inlineStr"/>
      <c r="H52" s="482" t="inlineStr"/>
      <c r="I52" s="482" t="inlineStr"/>
      <c r="J52" s="482" t="inlineStr"/>
      <c r="K52" s="482" t="inlineStr"/>
    </row>
    <row r="53">
      <c r="A53" s="482" t="inlineStr"/>
      <c r="B53" s="482" t="inlineStr"/>
      <c r="C53" s="483" t="inlineStr"/>
      <c r="D53" s="484" t="inlineStr"/>
      <c r="E53" s="482" t="inlineStr"/>
      <c r="F53" s="482" t="inlineStr"/>
      <c r="G53" s="482" t="inlineStr"/>
      <c r="H53" s="482" t="inlineStr"/>
      <c r="I53" s="482" t="inlineStr"/>
      <c r="J53" s="482" t="inlineStr"/>
      <c r="K53" s="482" t="inlineStr"/>
    </row>
    <row r="54">
      <c r="A54" s="482" t="inlineStr"/>
      <c r="B54" s="482" t="inlineStr"/>
      <c r="C54" s="483" t="inlineStr"/>
      <c r="D54" s="484" t="inlineStr"/>
      <c r="E54" s="482" t="inlineStr"/>
      <c r="F54" s="482" t="inlineStr"/>
      <c r="G54" s="482" t="inlineStr"/>
      <c r="H54" s="482" t="inlineStr"/>
      <c r="I54" s="482" t="inlineStr"/>
      <c r="J54" s="482" t="inlineStr"/>
      <c r="K54" s="482" t="inlineStr"/>
    </row>
    <row r="55">
      <c r="A55" s="482" t="inlineStr"/>
      <c r="B55" s="482" t="inlineStr"/>
      <c r="C55" s="483" t="inlineStr"/>
      <c r="D55" s="484" t="inlineStr"/>
      <c r="E55" s="482" t="inlineStr"/>
      <c r="F55" s="482" t="inlineStr"/>
      <c r="G55" s="482" t="inlineStr"/>
      <c r="H55" s="482" t="inlineStr"/>
      <c r="I55" s="482" t="inlineStr"/>
      <c r="J55" s="482" t="inlineStr"/>
      <c r="K55" s="482" t="inlineStr"/>
    </row>
    <row r="56">
      <c r="A56" s="482" t="inlineStr"/>
      <c r="B56" s="482" t="inlineStr"/>
      <c r="C56" s="483" t="inlineStr"/>
      <c r="D56" s="484" t="inlineStr"/>
      <c r="E56" s="482" t="inlineStr"/>
      <c r="F56" s="482" t="inlineStr"/>
      <c r="G56" s="482" t="inlineStr"/>
      <c r="H56" s="482" t="inlineStr"/>
      <c r="I56" s="482" t="inlineStr"/>
      <c r="J56" s="482" t="inlineStr"/>
      <c r="K56" s="482" t="inlineStr"/>
    </row>
    <row r="57">
      <c r="A57" s="482" t="inlineStr"/>
      <c r="B57" s="482" t="inlineStr"/>
      <c r="C57" s="483" t="inlineStr"/>
      <c r="D57" s="484" t="inlineStr"/>
      <c r="E57" s="482" t="inlineStr"/>
      <c r="F57" s="482" t="inlineStr"/>
      <c r="G57" s="482" t="inlineStr"/>
      <c r="H57" s="482" t="inlineStr"/>
      <c r="I57" s="482" t="inlineStr"/>
      <c r="J57" s="482" t="inlineStr"/>
      <c r="K57" s="482" t="inlineStr"/>
    </row>
    <row r="58">
      <c r="A58" s="482" t="inlineStr"/>
      <c r="B58" s="482" t="inlineStr"/>
      <c r="C58" s="483" t="inlineStr"/>
      <c r="D58" s="484" t="inlineStr"/>
      <c r="E58" s="482" t="inlineStr"/>
      <c r="F58" s="482" t="inlineStr"/>
      <c r="G58" s="482" t="inlineStr"/>
      <c r="H58" s="482" t="inlineStr"/>
      <c r="I58" s="482" t="inlineStr"/>
      <c r="J58" s="482" t="inlineStr"/>
      <c r="K58" s="482" t="inlineStr"/>
    </row>
    <row r="59">
      <c r="A59" s="482" t="inlineStr"/>
      <c r="B59" s="482" t="inlineStr"/>
      <c r="C59" s="483" t="inlineStr"/>
      <c r="D59" s="484" t="inlineStr"/>
      <c r="E59" s="482" t="inlineStr"/>
      <c r="F59" s="482" t="inlineStr"/>
      <c r="G59" s="482" t="inlineStr"/>
      <c r="H59" s="482" t="inlineStr"/>
      <c r="I59" s="482" t="inlineStr"/>
      <c r="J59" s="482" t="inlineStr"/>
      <c r="K59" s="482" t="inlineStr"/>
    </row>
    <row r="60">
      <c r="A60" s="482" t="inlineStr"/>
      <c r="B60" s="482" t="inlineStr"/>
      <c r="C60" s="483" t="inlineStr"/>
      <c r="D60" s="484" t="inlineStr"/>
      <c r="E60" s="482" t="inlineStr"/>
      <c r="F60" s="482" t="inlineStr"/>
      <c r="G60" s="482" t="inlineStr"/>
      <c r="H60" s="482" t="inlineStr"/>
      <c r="I60" s="482" t="inlineStr"/>
      <c r="J60" s="482" t="inlineStr"/>
      <c r="K60" s="482" t="inlineStr"/>
    </row>
    <row r="61">
      <c r="A61" s="482" t="inlineStr"/>
      <c r="B61" s="482" t="inlineStr"/>
      <c r="C61" s="483" t="inlineStr"/>
      <c r="D61" s="484" t="inlineStr"/>
      <c r="E61" s="482" t="inlineStr"/>
      <c r="F61" s="482" t="inlineStr"/>
      <c r="G61" s="482" t="inlineStr"/>
      <c r="H61" s="482" t="inlineStr"/>
      <c r="I61" s="482" t="inlineStr"/>
      <c r="J61" s="482" t="inlineStr"/>
      <c r="K61" s="482" t="inlineStr"/>
    </row>
    <row r="62">
      <c r="A62" s="482" t="inlineStr"/>
      <c r="B62" s="482" t="inlineStr"/>
      <c r="C62" s="483" t="inlineStr"/>
      <c r="D62" s="484" t="inlineStr"/>
      <c r="E62" s="482" t="inlineStr"/>
      <c r="F62" s="482" t="inlineStr"/>
      <c r="G62" s="482" t="inlineStr"/>
      <c r="H62" s="482" t="inlineStr"/>
      <c r="I62" s="482" t="inlineStr"/>
      <c r="J62" s="482" t="inlineStr"/>
      <c r="K62" s="482" t="inlineStr"/>
    </row>
    <row r="63">
      <c r="A63" s="482" t="inlineStr"/>
      <c r="B63" s="482" t="inlineStr"/>
      <c r="C63" s="483" t="inlineStr"/>
      <c r="D63" s="484" t="inlineStr"/>
      <c r="E63" s="482" t="inlineStr"/>
      <c r="F63" s="482" t="inlineStr"/>
      <c r="G63" s="482" t="inlineStr"/>
      <c r="H63" s="482" t="inlineStr"/>
      <c r="I63" s="482" t="inlineStr"/>
      <c r="J63" s="482" t="inlineStr"/>
      <c r="K63" s="482" t="inlineStr"/>
    </row>
    <row r="64">
      <c r="A64" s="482" t="inlineStr"/>
      <c r="B64" s="482" t="inlineStr"/>
      <c r="C64" s="483" t="inlineStr"/>
      <c r="D64" s="484" t="inlineStr"/>
      <c r="E64" s="482" t="inlineStr"/>
      <c r="F64" s="482" t="inlineStr"/>
      <c r="G64" s="482" t="inlineStr"/>
      <c r="H64" s="482" t="inlineStr"/>
      <c r="I64" s="482" t="inlineStr"/>
      <c r="J64" s="482" t="inlineStr"/>
      <c r="K64" s="482" t="inlineStr"/>
    </row>
    <row r="65">
      <c r="A65" s="482" t="inlineStr"/>
      <c r="B65" s="482" t="inlineStr"/>
      <c r="C65" s="483" t="inlineStr"/>
      <c r="D65" s="484" t="inlineStr"/>
      <c r="E65" s="482" t="inlineStr"/>
      <c r="F65" s="482" t="inlineStr"/>
      <c r="G65" s="482" t="inlineStr"/>
      <c r="H65" s="482" t="inlineStr"/>
      <c r="I65" s="482" t="inlineStr"/>
      <c r="J65" s="482" t="inlineStr"/>
      <c r="K65" s="482" t="inlineStr"/>
    </row>
    <row r="66">
      <c r="A66" s="482" t="inlineStr"/>
      <c r="B66" s="482" t="inlineStr"/>
      <c r="C66" s="483" t="inlineStr"/>
      <c r="D66" s="484" t="inlineStr"/>
      <c r="E66" s="482" t="inlineStr"/>
      <c r="F66" s="482" t="inlineStr"/>
      <c r="G66" s="482" t="inlineStr"/>
      <c r="H66" s="482" t="inlineStr"/>
      <c r="I66" s="482" t="inlineStr"/>
      <c r="J66" s="482" t="inlineStr"/>
      <c r="K66" s="482" t="inlineStr"/>
    </row>
    <row r="67">
      <c r="A67" s="482" t="inlineStr"/>
      <c r="B67" s="482" t="inlineStr"/>
      <c r="C67" s="483" t="inlineStr"/>
      <c r="D67" s="484" t="inlineStr"/>
      <c r="E67" s="482" t="inlineStr"/>
      <c r="F67" s="482" t="inlineStr"/>
      <c r="G67" s="482" t="inlineStr"/>
      <c r="H67" s="482" t="inlineStr"/>
      <c r="I67" s="482" t="inlineStr"/>
      <c r="J67" s="482" t="inlineStr"/>
      <c r="K67" s="482" t="inlineStr"/>
    </row>
    <row r="68">
      <c r="A68" s="482" t="inlineStr"/>
      <c r="B68" s="482" t="inlineStr"/>
      <c r="C68" s="483" t="inlineStr"/>
      <c r="D68" s="484" t="inlineStr"/>
      <c r="E68" s="482" t="inlineStr"/>
      <c r="F68" s="482" t="inlineStr"/>
      <c r="G68" s="482" t="inlineStr"/>
      <c r="H68" s="482" t="inlineStr"/>
      <c r="I68" s="482" t="inlineStr"/>
      <c r="J68" s="482" t="inlineStr"/>
      <c r="K68" s="482" t="inlineStr"/>
    </row>
    <row r="69">
      <c r="A69" s="482" t="inlineStr"/>
      <c r="B69" s="482" t="inlineStr"/>
      <c r="C69" s="483" t="inlineStr"/>
      <c r="D69" s="484" t="inlineStr"/>
      <c r="E69" s="482" t="inlineStr"/>
      <c r="F69" s="482" t="inlineStr"/>
      <c r="G69" s="482" t="inlineStr"/>
      <c r="H69" s="482" t="inlineStr"/>
      <c r="I69" s="482" t="inlineStr"/>
      <c r="J69" s="482" t="inlineStr"/>
      <c r="K69" s="482" t="inlineStr"/>
    </row>
    <row r="70">
      <c r="A70" s="482" t="inlineStr"/>
      <c r="B70" s="482" t="inlineStr"/>
      <c r="C70" s="483" t="inlineStr"/>
      <c r="D70" s="484" t="inlineStr"/>
      <c r="E70" s="482" t="inlineStr"/>
      <c r="F70" s="482" t="inlineStr"/>
      <c r="G70" s="482" t="inlineStr"/>
      <c r="H70" s="482" t="inlineStr"/>
      <c r="I70" s="482" t="inlineStr"/>
      <c r="J70" s="482" t="inlineStr"/>
      <c r="K70" s="482" t="inlineStr"/>
    </row>
    <row r="71">
      <c r="A71" s="482" t="inlineStr"/>
      <c r="B71" s="482" t="inlineStr"/>
      <c r="C71" s="483" t="inlineStr"/>
      <c r="D71" s="484" t="inlineStr"/>
      <c r="E71" s="482" t="inlineStr"/>
      <c r="F71" s="482" t="inlineStr"/>
      <c r="G71" s="482" t="inlineStr"/>
      <c r="H71" s="482" t="inlineStr"/>
      <c r="I71" s="482" t="inlineStr"/>
      <c r="J71" s="482" t="inlineStr"/>
      <c r="K71" s="482" t="inlineStr"/>
    </row>
    <row r="72">
      <c r="A72" s="482" t="inlineStr"/>
      <c r="B72" s="482" t="inlineStr"/>
      <c r="C72" s="483" t="inlineStr"/>
      <c r="D72" s="484" t="inlineStr"/>
      <c r="E72" s="482" t="inlineStr"/>
      <c r="F72" s="482" t="inlineStr"/>
      <c r="G72" s="482" t="inlineStr"/>
      <c r="H72" s="482" t="inlineStr"/>
      <c r="I72" s="482" t="inlineStr"/>
      <c r="J72" s="482" t="inlineStr"/>
      <c r="K72" s="482" t="inlineStr"/>
    </row>
    <row r="73">
      <c r="A73" s="482" t="inlineStr"/>
      <c r="B73" s="482" t="inlineStr"/>
      <c r="C73" s="483" t="inlineStr"/>
      <c r="D73" s="484" t="inlineStr"/>
      <c r="E73" s="482" t="inlineStr"/>
      <c r="F73" s="482" t="inlineStr"/>
      <c r="G73" s="482" t="inlineStr"/>
      <c r="H73" s="482" t="inlineStr"/>
      <c r="I73" s="482" t="inlineStr"/>
      <c r="J73" s="482" t="inlineStr"/>
      <c r="K73" s="482" t="inlineStr"/>
    </row>
    <row r="74">
      <c r="A74" s="482" t="inlineStr"/>
      <c r="B74" s="482" t="inlineStr"/>
      <c r="C74" s="483" t="inlineStr"/>
      <c r="D74" s="484" t="inlineStr"/>
      <c r="E74" s="482" t="inlineStr"/>
      <c r="F74" s="482" t="inlineStr"/>
      <c r="G74" s="482" t="inlineStr"/>
      <c r="H74" s="482" t="inlineStr"/>
      <c r="I74" s="482" t="inlineStr"/>
      <c r="J74" s="482" t="inlineStr"/>
      <c r="K74" s="482" t="inlineStr"/>
    </row>
    <row r="75">
      <c r="A75" s="482" t="inlineStr"/>
      <c r="B75" s="482" t="inlineStr"/>
      <c r="C75" s="483" t="inlineStr"/>
      <c r="D75" s="484" t="inlineStr"/>
      <c r="E75" s="482" t="inlineStr"/>
      <c r="F75" s="482" t="inlineStr"/>
      <c r="G75" s="482" t="inlineStr"/>
      <c r="H75" s="482" t="inlineStr"/>
      <c r="I75" s="482" t="inlineStr"/>
      <c r="J75" s="482" t="inlineStr"/>
      <c r="K75" s="482" t="inlineStr"/>
    </row>
    <row r="76">
      <c r="A76" s="482" t="inlineStr"/>
      <c r="B76" s="482" t="inlineStr"/>
      <c r="C76" s="483" t="inlineStr"/>
      <c r="D76" s="484" t="inlineStr"/>
      <c r="E76" s="482" t="inlineStr"/>
      <c r="F76" s="482" t="inlineStr"/>
      <c r="G76" s="482" t="inlineStr"/>
      <c r="H76" s="482" t="inlineStr"/>
      <c r="I76" s="482" t="inlineStr"/>
      <c r="J76" s="482" t="inlineStr"/>
      <c r="K76" s="482" t="inlineStr"/>
    </row>
    <row r="77">
      <c r="A77" s="482" t="inlineStr"/>
      <c r="B77" s="482" t="inlineStr"/>
      <c r="C77" s="483" t="inlineStr"/>
      <c r="D77" s="484" t="inlineStr"/>
      <c r="E77" s="482" t="inlineStr"/>
      <c r="F77" s="482" t="inlineStr"/>
      <c r="G77" s="482" t="inlineStr"/>
      <c r="H77" s="482" t="inlineStr"/>
      <c r="I77" s="482" t="inlineStr"/>
      <c r="J77" s="482" t="inlineStr"/>
      <c r="K77" s="482" t="inlineStr"/>
    </row>
    <row r="78">
      <c r="A78" s="482" t="inlineStr"/>
      <c r="B78" s="482" t="inlineStr"/>
      <c r="C78" s="483" t="inlineStr"/>
      <c r="D78" s="484" t="inlineStr"/>
      <c r="E78" s="482" t="inlineStr"/>
      <c r="F78" s="482" t="inlineStr"/>
      <c r="G78" s="482" t="inlineStr"/>
      <c r="H78" s="482" t="inlineStr"/>
      <c r="I78" s="482" t="inlineStr"/>
      <c r="J78" s="482" t="inlineStr"/>
      <c r="K78" s="482" t="inlineStr"/>
    </row>
    <row r="79">
      <c r="A79" s="482" t="inlineStr"/>
      <c r="B79" s="482" t="inlineStr"/>
      <c r="C79" s="483" t="inlineStr"/>
      <c r="D79" s="484" t="inlineStr"/>
      <c r="E79" s="482" t="inlineStr"/>
      <c r="F79" s="482" t="inlineStr"/>
      <c r="G79" s="482" t="inlineStr"/>
      <c r="H79" s="482" t="inlineStr"/>
      <c r="I79" s="482" t="inlineStr"/>
      <c r="J79" s="482" t="inlineStr"/>
      <c r="K79" s="482" t="inlineStr"/>
    </row>
    <row r="80">
      <c r="A80" s="482" t="inlineStr"/>
      <c r="B80" s="482" t="inlineStr"/>
      <c r="C80" s="483" t="inlineStr"/>
      <c r="D80" s="484" t="inlineStr"/>
      <c r="E80" s="482" t="inlineStr"/>
      <c r="F80" s="482" t="inlineStr"/>
      <c r="G80" s="482" t="inlineStr"/>
      <c r="H80" s="482" t="inlineStr"/>
      <c r="I80" s="482" t="inlineStr"/>
      <c r="J80" s="482" t="inlineStr"/>
      <c r="K80" s="482" t="inlineStr"/>
    </row>
    <row r="81">
      <c r="A81" s="482" t="inlineStr"/>
      <c r="B81" s="482" t="inlineStr"/>
      <c r="C81" s="483" t="inlineStr"/>
      <c r="D81" s="484" t="inlineStr"/>
      <c r="E81" s="482" t="inlineStr"/>
      <c r="F81" s="482" t="inlineStr"/>
      <c r="G81" s="482" t="inlineStr"/>
      <c r="H81" s="482" t="inlineStr"/>
      <c r="I81" s="482" t="inlineStr"/>
      <c r="J81" s="482" t="inlineStr"/>
      <c r="K81" s="482" t="inlineStr"/>
    </row>
    <row r="82">
      <c r="A82" s="482" t="inlineStr"/>
      <c r="B82" s="482" t="inlineStr"/>
      <c r="C82" s="483" t="inlineStr"/>
      <c r="D82" s="484" t="inlineStr"/>
      <c r="E82" s="482" t="inlineStr"/>
      <c r="F82" s="482" t="inlineStr"/>
      <c r="G82" s="482" t="inlineStr"/>
      <c r="H82" s="482" t="inlineStr"/>
      <c r="I82" s="482" t="inlineStr"/>
      <c r="J82" s="482" t="inlineStr"/>
      <c r="K82" s="482" t="inlineStr"/>
    </row>
    <row r="83">
      <c r="A83" s="482" t="inlineStr"/>
      <c r="B83" s="482" t="inlineStr"/>
      <c r="C83" s="483" t="inlineStr"/>
      <c r="D83" s="484" t="inlineStr"/>
      <c r="E83" s="482" t="inlineStr"/>
      <c r="F83" s="482" t="inlineStr"/>
      <c r="G83" s="482" t="inlineStr"/>
      <c r="H83" s="482" t="inlineStr"/>
      <c r="I83" s="482" t="inlineStr"/>
      <c r="J83" s="482" t="inlineStr"/>
      <c r="K83" s="482" t="inlineStr"/>
    </row>
    <row r="84">
      <c r="A84" s="482" t="inlineStr"/>
      <c r="B84" s="482" t="inlineStr"/>
      <c r="C84" s="483" t="inlineStr"/>
      <c r="D84" s="484" t="inlineStr"/>
      <c r="E84" s="482" t="inlineStr"/>
      <c r="F84" s="482" t="inlineStr"/>
      <c r="G84" s="482" t="inlineStr"/>
      <c r="H84" s="482" t="inlineStr"/>
      <c r="I84" s="482" t="inlineStr"/>
      <c r="J84" s="482" t="inlineStr"/>
      <c r="K84" s="482" t="inlineStr"/>
    </row>
    <row r="85">
      <c r="A85" s="482" t="inlineStr"/>
      <c r="B85" s="482" t="inlineStr"/>
      <c r="C85" s="483" t="inlineStr"/>
      <c r="D85" s="484" t="inlineStr"/>
      <c r="E85" s="482" t="inlineStr"/>
      <c r="F85" s="482" t="inlineStr"/>
      <c r="G85" s="482" t="inlineStr"/>
      <c r="H85" s="482" t="inlineStr"/>
      <c r="I85" s="482" t="inlineStr"/>
      <c r="J85" s="482" t="inlineStr"/>
      <c r="K85" s="482" t="inlineStr"/>
    </row>
    <row r="86">
      <c r="A86" s="482" t="inlineStr"/>
      <c r="B86" s="482" t="inlineStr"/>
      <c r="C86" s="483" t="inlineStr"/>
      <c r="D86" s="484" t="inlineStr"/>
      <c r="E86" s="482" t="inlineStr"/>
      <c r="F86" s="482" t="inlineStr"/>
      <c r="G86" s="482" t="inlineStr"/>
      <c r="H86" s="482" t="inlineStr"/>
      <c r="I86" s="482" t="inlineStr"/>
      <c r="J86" s="482" t="inlineStr"/>
      <c r="K86" s="482" t="inlineStr"/>
    </row>
    <row r="87">
      <c r="A87" s="482" t="inlineStr"/>
      <c r="B87" s="482" t="inlineStr"/>
      <c r="C87" s="483" t="inlineStr"/>
      <c r="D87" s="484" t="inlineStr"/>
      <c r="E87" s="482" t="inlineStr"/>
      <c r="F87" s="482" t="inlineStr"/>
      <c r="G87" s="482" t="inlineStr"/>
      <c r="H87" s="482" t="inlineStr"/>
      <c r="I87" s="482" t="inlineStr"/>
      <c r="J87" s="482" t="inlineStr"/>
      <c r="K87" s="482" t="inlineStr"/>
    </row>
    <row r="88">
      <c r="A88" s="482" t="inlineStr"/>
      <c r="B88" s="482" t="inlineStr"/>
      <c r="C88" s="483" t="inlineStr"/>
      <c r="D88" s="484" t="inlineStr"/>
      <c r="E88" s="482" t="inlineStr"/>
      <c r="F88" s="482" t="inlineStr"/>
      <c r="G88" s="482" t="inlineStr"/>
      <c r="H88" s="482" t="inlineStr"/>
      <c r="I88" s="482" t="inlineStr"/>
      <c r="J88" s="482" t="inlineStr"/>
      <c r="K88" s="482" t="inlineStr"/>
    </row>
    <row r="89">
      <c r="A89" s="482" t="inlineStr"/>
      <c r="B89" s="482" t="inlineStr"/>
      <c r="C89" s="483" t="inlineStr"/>
      <c r="D89" s="484" t="inlineStr"/>
      <c r="E89" s="482" t="inlineStr"/>
      <c r="F89" s="482" t="inlineStr"/>
      <c r="G89" s="482" t="inlineStr"/>
      <c r="H89" s="482" t="inlineStr"/>
      <c r="I89" s="482" t="inlineStr"/>
      <c r="J89" s="482" t="inlineStr"/>
      <c r="K89" s="482" t="inlineStr"/>
    </row>
    <row r="90">
      <c r="A90" s="482" t="inlineStr"/>
      <c r="B90" s="482" t="inlineStr"/>
      <c r="C90" s="483" t="inlineStr"/>
      <c r="D90" s="484" t="inlineStr"/>
      <c r="E90" s="482" t="inlineStr"/>
      <c r="F90" s="482" t="inlineStr"/>
      <c r="G90" s="482" t="inlineStr"/>
      <c r="H90" s="482" t="inlineStr"/>
      <c r="I90" s="482" t="inlineStr"/>
      <c r="J90" s="482" t="inlineStr"/>
      <c r="K90" s="482" t="inlineStr"/>
    </row>
    <row r="91">
      <c r="A91" s="482" t="inlineStr"/>
      <c r="B91" s="482" t="inlineStr"/>
      <c r="C91" s="483" t="inlineStr"/>
      <c r="D91" s="484" t="inlineStr"/>
      <c r="E91" s="482" t="inlineStr"/>
      <c r="F91" s="482" t="inlineStr"/>
      <c r="G91" s="482" t="inlineStr"/>
      <c r="H91" s="482" t="inlineStr"/>
      <c r="I91" s="482" t="inlineStr"/>
      <c r="J91" s="482" t="inlineStr"/>
      <c r="K91" s="482" t="inlineStr"/>
    </row>
    <row r="92">
      <c r="A92" s="482" t="inlineStr"/>
      <c r="B92" s="482" t="inlineStr"/>
      <c r="C92" s="483" t="inlineStr"/>
      <c r="D92" s="484" t="inlineStr"/>
      <c r="E92" s="482" t="inlineStr"/>
      <c r="F92" s="482" t="inlineStr"/>
      <c r="G92" s="482" t="inlineStr"/>
      <c r="H92" s="482" t="inlineStr"/>
      <c r="I92" s="482" t="inlineStr"/>
      <c r="J92" s="482" t="inlineStr"/>
      <c r="K92" s="482" t="inlineStr"/>
    </row>
    <row r="93">
      <c r="A93" s="482" t="inlineStr"/>
      <c r="B93" s="482" t="inlineStr"/>
      <c r="C93" s="483" t="inlineStr"/>
      <c r="D93" s="484" t="inlineStr"/>
      <c r="E93" s="482" t="inlineStr"/>
      <c r="F93" s="482" t="inlineStr"/>
      <c r="G93" s="482" t="inlineStr"/>
      <c r="H93" s="482" t="inlineStr"/>
      <c r="I93" s="482" t="inlineStr"/>
      <c r="J93" s="482" t="inlineStr"/>
      <c r="K93" s="482" t="inlineStr"/>
    </row>
    <row r="94">
      <c r="A94" s="482" t="inlineStr"/>
      <c r="B94" s="482" t="inlineStr"/>
      <c r="C94" s="483" t="inlineStr"/>
      <c r="D94" s="484" t="inlineStr"/>
      <c r="E94" s="482" t="inlineStr"/>
      <c r="F94" s="482" t="inlineStr"/>
      <c r="G94" s="482" t="inlineStr"/>
      <c r="H94" s="482" t="inlineStr"/>
      <c r="I94" s="482" t="inlineStr"/>
      <c r="J94" s="482" t="inlineStr"/>
      <c r="K94" s="482" t="inlineStr"/>
    </row>
    <row r="95">
      <c r="A95" s="482" t="inlineStr"/>
      <c r="B95" s="482" t="inlineStr"/>
      <c r="C95" s="483" t="inlineStr"/>
      <c r="D95" s="484" t="inlineStr"/>
      <c r="E95" s="482" t="inlineStr"/>
      <c r="F95" s="482" t="inlineStr"/>
      <c r="G95" s="482" t="inlineStr"/>
      <c r="H95" s="482" t="inlineStr"/>
      <c r="I95" s="482" t="inlineStr"/>
      <c r="J95" s="482" t="inlineStr"/>
      <c r="K95" s="482" t="inlineStr"/>
    </row>
    <row r="96">
      <c r="A96" s="482" t="inlineStr"/>
      <c r="B96" s="482" t="inlineStr"/>
      <c r="C96" s="483" t="inlineStr"/>
      <c r="D96" s="484" t="inlineStr"/>
      <c r="E96" s="482" t="inlineStr"/>
      <c r="F96" s="482" t="inlineStr"/>
      <c r="G96" s="482" t="inlineStr"/>
      <c r="H96" s="482" t="inlineStr"/>
      <c r="I96" s="482" t="inlineStr"/>
      <c r="J96" s="482" t="inlineStr"/>
      <c r="K96" s="482" t="inlineStr"/>
    </row>
    <row r="97">
      <c r="A97" s="482" t="inlineStr"/>
      <c r="B97" s="482" t="inlineStr"/>
      <c r="C97" s="483" t="inlineStr"/>
      <c r="D97" s="484" t="inlineStr"/>
      <c r="E97" s="482" t="inlineStr"/>
      <c r="F97" s="482" t="inlineStr"/>
      <c r="G97" s="482" t="inlineStr"/>
      <c r="H97" s="482" t="inlineStr"/>
      <c r="I97" s="482" t="inlineStr"/>
      <c r="J97" s="482" t="inlineStr"/>
      <c r="K97" s="482" t="inlineStr"/>
    </row>
    <row r="98">
      <c r="A98" s="482" t="inlineStr"/>
      <c r="B98" s="482" t="inlineStr"/>
      <c r="C98" s="483" t="inlineStr"/>
      <c r="D98" s="484" t="inlineStr"/>
      <c r="E98" s="482" t="inlineStr"/>
      <c r="F98" s="482" t="inlineStr"/>
      <c r="G98" s="482" t="inlineStr"/>
      <c r="H98" s="482" t="inlineStr"/>
      <c r="I98" s="482" t="inlineStr"/>
      <c r="J98" s="482" t="inlineStr"/>
      <c r="K98" s="482" t="inlineStr"/>
    </row>
    <row r="99">
      <c r="A99" s="482" t="inlineStr"/>
      <c r="B99" s="482" t="inlineStr"/>
      <c r="C99" s="483" t="inlineStr"/>
      <c r="D99" s="484" t="inlineStr"/>
      <c r="E99" s="482" t="inlineStr"/>
      <c r="F99" s="482" t="inlineStr"/>
      <c r="G99" s="482" t="inlineStr"/>
      <c r="H99" s="482" t="inlineStr"/>
      <c r="I99" s="482" t="inlineStr"/>
      <c r="J99" s="482" t="inlineStr"/>
      <c r="K99" s="482" t="inlineStr"/>
    </row>
    <row r="100">
      <c r="A100" s="482" t="inlineStr"/>
      <c r="B100" s="482" t="inlineStr"/>
      <c r="C100" s="483" t="inlineStr"/>
      <c r="D100" s="484" t="inlineStr"/>
      <c r="E100" s="482" t="inlineStr"/>
      <c r="F100" s="482" t="inlineStr"/>
      <c r="G100" s="482" t="inlineStr"/>
      <c r="H100" s="482" t="inlineStr"/>
      <c r="I100" s="482" t="inlineStr"/>
      <c r="J100" s="482" t="inlineStr"/>
      <c r="K100" s="482" t="inlineStr"/>
    </row>
    <row r="101">
      <c r="A101" s="482" t="inlineStr"/>
      <c r="B101" s="482" t="inlineStr"/>
      <c r="C101" s="483" t="inlineStr"/>
      <c r="D101" s="484" t="inlineStr"/>
      <c r="E101" s="482" t="inlineStr"/>
      <c r="F101" s="482" t="inlineStr"/>
      <c r="G101" s="482" t="inlineStr"/>
      <c r="H101" s="482" t="inlineStr"/>
      <c r="I101" s="482" t="inlineStr"/>
      <c r="J101" s="482" t="inlineStr"/>
      <c r="K101" s="482" t="inlineStr"/>
    </row>
    <row r="102">
      <c r="A102" s="482" t="inlineStr"/>
      <c r="B102" s="482" t="inlineStr"/>
      <c r="C102" s="483" t="inlineStr"/>
      <c r="D102" s="484" t="inlineStr"/>
      <c r="E102" s="482" t="inlineStr"/>
      <c r="F102" s="482" t="inlineStr"/>
      <c r="G102" s="482" t="inlineStr"/>
      <c r="H102" s="482" t="inlineStr"/>
      <c r="I102" s="482" t="inlineStr"/>
      <c r="J102" s="482" t="inlineStr"/>
      <c r="K102" s="482" t="inlineStr"/>
    </row>
    <row r="103">
      <c r="A103" s="482" t="inlineStr"/>
      <c r="B103" s="482" t="inlineStr"/>
      <c r="C103" s="483" t="inlineStr"/>
      <c r="D103" s="484" t="inlineStr"/>
      <c r="E103" s="482" t="inlineStr"/>
      <c r="F103" s="482" t="inlineStr"/>
      <c r="G103" s="482" t="inlineStr"/>
      <c r="H103" s="482" t="inlineStr"/>
      <c r="I103" s="482" t="inlineStr"/>
      <c r="J103" s="482" t="inlineStr"/>
      <c r="K103" s="482" t="inlineStr"/>
    </row>
    <row r="104">
      <c r="A104" s="482" t="inlineStr"/>
      <c r="B104" s="482" t="inlineStr"/>
      <c r="C104" s="483" t="inlineStr"/>
      <c r="D104" s="484" t="inlineStr"/>
      <c r="E104" s="482" t="inlineStr"/>
      <c r="F104" s="482" t="inlineStr"/>
      <c r="G104" s="482" t="inlineStr"/>
      <c r="H104" s="482" t="inlineStr"/>
      <c r="I104" s="482" t="inlineStr"/>
      <c r="J104" s="482" t="inlineStr"/>
      <c r="K104" s="482" t="inlineStr"/>
    </row>
  </sheetData>
  <autoFilter ref="A1:K1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Q1014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8.85546875" customWidth="1" style="322" min="1" max="1"/>
    <col width="7.85546875" customWidth="1" style="322" min="2" max="2"/>
    <col width="7.42578125" customWidth="1" style="322" min="3" max="15"/>
    <col width="10.7109375" customWidth="1" style="322" min="16" max="17"/>
    <col width="9.140625" customWidth="1" style="322" min="18" max="18"/>
    <col width="8.85546875" customWidth="1" style="322" min="19" max="21"/>
    <col width="7.85546875" customWidth="1" style="322" min="22" max="26"/>
  </cols>
  <sheetData>
    <row r="1" ht="13.5" customHeight="1" s="322">
      <c r="A1" s="2" t="n"/>
      <c r="B1" s="4" t="inlineStr">
        <is>
          <t>현재가</t>
        </is>
      </c>
      <c r="C1" s="486">
        <f>TODAY()-1</f>
        <v/>
      </c>
      <c r="D1" s="486">
        <f>EDATE($C$1,-1)</f>
        <v/>
      </c>
      <c r="E1" s="486">
        <f>EDATE($C$1,-2)</f>
        <v/>
      </c>
      <c r="F1" s="486">
        <f>EDATE($C$1,-3)</f>
        <v/>
      </c>
      <c r="G1" s="486">
        <f>EDATE($C$1,-4)</f>
        <v/>
      </c>
      <c r="H1" s="486">
        <f>EDATE($C$1,-5)</f>
        <v/>
      </c>
      <c r="I1" s="486">
        <f>EDATE($C$1,-6)</f>
        <v/>
      </c>
      <c r="J1" s="486">
        <f>EDATE($C$1,-7)</f>
        <v/>
      </c>
      <c r="K1" s="486">
        <f>EDATE($C$1,-8)</f>
        <v/>
      </c>
      <c r="L1" s="486">
        <f>EDATE($C$1,-9)</f>
        <v/>
      </c>
      <c r="M1" s="486">
        <f>EDATE($C$1,-10)</f>
        <v/>
      </c>
      <c r="N1" s="486">
        <f>EDATE($C$1,-11)</f>
        <v/>
      </c>
      <c r="O1" s="486">
        <f>TODAY()-362</f>
        <v/>
      </c>
      <c r="P1" s="28" t="n"/>
      <c r="Q1" s="28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  <c r="AF1" s="50" t="n"/>
      <c r="AG1" s="50" t="n"/>
      <c r="AH1" s="50" t="n"/>
      <c r="AI1" s="50" t="n"/>
      <c r="AJ1" s="50" t="n"/>
      <c r="AK1" s="50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  <c r="BQ1" s="50" t="n"/>
      <c r="BR1" s="50" t="n"/>
      <c r="BS1" s="50" t="n"/>
      <c r="BT1" s="50" t="n"/>
      <c r="BU1" s="50" t="n"/>
      <c r="BV1" s="50" t="n"/>
      <c r="BW1" s="50" t="n"/>
      <c r="BX1" s="50" t="n"/>
      <c r="BY1" s="50" t="n"/>
      <c r="BZ1" s="5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  <c r="CO1" s="50" t="n"/>
      <c r="CP1" s="50" t="n"/>
      <c r="CQ1" s="50" t="n"/>
      <c r="CR1" s="50" t="n"/>
      <c r="CS1" s="50" t="n"/>
      <c r="CT1" s="50" t="n"/>
      <c r="CU1" s="50" t="n"/>
      <c r="CV1" s="50" t="n"/>
      <c r="CW1" s="50" t="n"/>
      <c r="CX1" s="50" t="n"/>
      <c r="CY1" s="50" t="n"/>
      <c r="CZ1" s="50" t="n"/>
      <c r="DA1" s="50" t="n"/>
      <c r="DB1" s="50" t="n"/>
      <c r="DC1" s="50" t="n"/>
      <c r="DD1" s="50" t="n"/>
      <c r="DE1" s="50" t="n"/>
      <c r="DF1" s="50" t="n"/>
      <c r="DG1" s="50" t="n"/>
      <c r="DH1" s="50" t="n"/>
      <c r="DI1" s="50" t="n"/>
      <c r="DJ1" s="50" t="n"/>
      <c r="DK1" s="50" t="n"/>
      <c r="DL1" s="50" t="n"/>
      <c r="DM1" s="50" t="n"/>
      <c r="DN1" s="50" t="n"/>
      <c r="DO1" s="50" t="n"/>
      <c r="DP1" s="50" t="n"/>
      <c r="DQ1" s="50" t="n"/>
      <c r="DR1" s="50" t="n"/>
      <c r="DS1" s="50" t="n"/>
      <c r="DT1" s="50" t="n"/>
      <c r="DU1" s="50" t="n"/>
      <c r="DV1" s="50" t="n"/>
      <c r="DW1" s="50" t="n"/>
      <c r="DX1" s="50" t="n"/>
      <c r="DY1" s="50" t="n"/>
      <c r="DZ1" s="50" t="n"/>
      <c r="EA1" s="50" t="n"/>
      <c r="EB1" s="50" t="n"/>
      <c r="EC1" s="50" t="n"/>
      <c r="ED1" s="50" t="n"/>
      <c r="EE1" s="50" t="n"/>
      <c r="EF1" s="50" t="n"/>
      <c r="EG1" s="50" t="n"/>
      <c r="EH1" s="50" t="n"/>
      <c r="EI1" s="50" t="n"/>
      <c r="EJ1" s="50" t="n"/>
      <c r="EK1" s="50" t="n"/>
      <c r="EL1" s="50" t="n"/>
      <c r="EM1" s="50" t="n"/>
      <c r="EN1" s="50" t="n"/>
      <c r="EO1" s="50" t="n"/>
      <c r="EP1" s="50" t="n"/>
      <c r="EQ1" s="50" t="n"/>
      <c r="ER1" s="50" t="n"/>
      <c r="ES1" s="50" t="n"/>
      <c r="ET1" s="50" t="n"/>
      <c r="EU1" s="50" t="n"/>
      <c r="EV1" s="50" t="n"/>
      <c r="EW1" s="50" t="n"/>
      <c r="EX1" s="50" t="n"/>
      <c r="EY1" s="50" t="n"/>
      <c r="EZ1" s="50" t="n"/>
      <c r="FA1" s="50" t="n"/>
      <c r="FB1" s="50" t="n"/>
      <c r="FC1" s="50" t="n"/>
      <c r="FD1" s="50" t="n"/>
      <c r="FE1" s="50" t="n"/>
      <c r="FF1" s="50" t="n"/>
      <c r="FG1" s="50" t="n"/>
      <c r="FH1" s="50" t="n"/>
      <c r="FI1" s="50" t="n"/>
      <c r="FJ1" s="50" t="n"/>
      <c r="FK1" s="50" t="n"/>
      <c r="FL1" s="50" t="n"/>
      <c r="FM1" s="50" t="n"/>
      <c r="FN1" s="50" t="n"/>
      <c r="FO1" s="50" t="n"/>
      <c r="FP1" s="50" t="n"/>
      <c r="FQ1" s="50" t="n"/>
      <c r="FR1" s="50" t="n"/>
      <c r="FS1" s="50" t="n"/>
      <c r="FT1" s="50" t="n"/>
      <c r="FU1" s="50" t="n"/>
      <c r="FV1" s="50" t="n"/>
      <c r="FW1" s="50" t="n"/>
      <c r="FX1" s="50" t="n"/>
      <c r="FY1" s="50" t="n"/>
      <c r="FZ1" s="50" t="n"/>
      <c r="GA1" s="50" t="n"/>
      <c r="GB1" s="50" t="n"/>
      <c r="GC1" s="50" t="n"/>
      <c r="GD1" s="50" t="n"/>
      <c r="GE1" s="50" t="n"/>
      <c r="GF1" s="50" t="n"/>
      <c r="GG1" s="50" t="n"/>
      <c r="GH1" s="50" t="n"/>
      <c r="GI1" s="50" t="n"/>
      <c r="GJ1" s="50" t="n"/>
      <c r="GK1" s="50" t="n"/>
      <c r="GL1" s="50" t="n"/>
      <c r="GM1" s="50" t="n"/>
      <c r="GN1" s="50" t="n"/>
      <c r="GO1" s="50" t="n"/>
      <c r="GP1" s="50" t="n"/>
      <c r="GQ1" s="50" t="n"/>
      <c r="GR1" s="50" t="n"/>
      <c r="GS1" s="50" t="n"/>
      <c r="GT1" s="50" t="n"/>
      <c r="GU1" s="50" t="n"/>
      <c r="GV1" s="50" t="n"/>
      <c r="GW1" s="50" t="n"/>
      <c r="GX1" s="50" t="n"/>
      <c r="GY1" s="50" t="n"/>
      <c r="GZ1" s="50" t="n"/>
      <c r="HA1" s="50" t="n"/>
      <c r="HB1" s="50" t="n"/>
      <c r="HC1" s="50" t="n"/>
      <c r="HD1" s="50" t="n"/>
      <c r="HE1" s="50" t="n"/>
      <c r="HF1" s="50" t="n"/>
      <c r="HG1" s="50" t="n"/>
      <c r="HH1" s="50" t="n"/>
      <c r="HI1" s="50" t="n"/>
      <c r="HJ1" s="50" t="n"/>
      <c r="HK1" s="50" t="n"/>
      <c r="HL1" s="50" t="n"/>
      <c r="HM1" s="50" t="n"/>
      <c r="HN1" s="50" t="n"/>
      <c r="HO1" s="50" t="n"/>
      <c r="HP1" s="50" t="n"/>
      <c r="HQ1" s="50" t="n"/>
      <c r="HR1" s="50" t="n"/>
      <c r="HS1" s="50" t="n"/>
      <c r="HT1" s="50" t="n"/>
      <c r="HU1" s="50" t="n"/>
      <c r="HV1" s="50" t="n"/>
      <c r="HW1" s="50" t="n"/>
      <c r="HX1" s="50" t="n"/>
      <c r="HY1" s="50" t="n"/>
      <c r="HZ1" s="50" t="n"/>
      <c r="IA1" s="50" t="n"/>
      <c r="IB1" s="50" t="n"/>
      <c r="IC1" s="50" t="n"/>
      <c r="ID1" s="50" t="n"/>
      <c r="IE1" s="50" t="n"/>
      <c r="IF1" s="50" t="n"/>
      <c r="IG1" s="50" t="n"/>
      <c r="IH1" s="50" t="n"/>
      <c r="II1" s="50" t="n"/>
      <c r="IJ1" s="50" t="n"/>
      <c r="IK1" s="50" t="n"/>
      <c r="IL1" s="50" t="n"/>
      <c r="IM1" s="50" t="n"/>
      <c r="IN1" s="50" t="n"/>
      <c r="IO1" s="50" t="n"/>
      <c r="IP1" s="50" t="n"/>
      <c r="IQ1" s="50" t="n"/>
    </row>
    <row r="2" ht="13.5" customHeight="1" s="322">
      <c r="A2" s="49" t="n"/>
      <c r="B2" s="50" t="n"/>
      <c r="C2" s="487" t="n"/>
      <c r="D2" s="487" t="n"/>
      <c r="E2" s="487" t="n"/>
      <c r="F2" s="487" t="n"/>
      <c r="G2" s="487" t="n"/>
      <c r="H2" s="487" t="n"/>
      <c r="I2" s="487" t="n"/>
      <c r="J2" s="487" t="n"/>
      <c r="K2" s="487" t="n"/>
      <c r="L2" s="487" t="n"/>
      <c r="M2" s="487" t="n"/>
      <c r="N2" s="487" t="n"/>
      <c r="O2" s="487" t="n"/>
      <c r="P2" s="52" t="n"/>
      <c r="Q2" s="52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  <c r="AF2" s="50" t="n"/>
      <c r="AG2" s="50" t="n"/>
      <c r="AH2" s="50" t="n"/>
      <c r="AI2" s="50" t="n"/>
      <c r="AJ2" s="50" t="n"/>
      <c r="AK2" s="50" t="n"/>
      <c r="AL2" s="50" t="n"/>
      <c r="AM2" s="50" t="n"/>
      <c r="AN2" s="50" t="n"/>
      <c r="AO2" s="50" t="n"/>
      <c r="AP2" s="50" t="n"/>
      <c r="AQ2" s="50" t="n"/>
      <c r="AR2" s="50" t="n"/>
      <c r="AS2" s="50" t="n"/>
      <c r="AT2" s="50" t="n"/>
      <c r="AU2" s="50" t="n"/>
      <c r="AV2" s="50" t="n"/>
      <c r="AW2" s="50" t="n"/>
      <c r="AX2" s="50" t="n"/>
      <c r="AY2" s="50" t="n"/>
      <c r="AZ2" s="50" t="n"/>
      <c r="BA2" s="50" t="n"/>
      <c r="BB2" s="50" t="n"/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  <c r="BW2" s="50" t="n"/>
      <c r="BX2" s="50" t="n"/>
      <c r="BY2" s="50" t="n"/>
      <c r="BZ2" s="50" t="n"/>
      <c r="CA2" s="50" t="n"/>
      <c r="CB2" s="50" t="n"/>
      <c r="CC2" s="50" t="n"/>
      <c r="CD2" s="50" t="n"/>
      <c r="CE2" s="50" t="n"/>
      <c r="CF2" s="50" t="n"/>
      <c r="CG2" s="50" t="n"/>
      <c r="CH2" s="50" t="n"/>
      <c r="CI2" s="50" t="n"/>
      <c r="CJ2" s="50" t="n"/>
      <c r="CK2" s="50" t="n"/>
      <c r="CL2" s="50" t="n"/>
      <c r="CM2" s="50" t="n"/>
      <c r="CN2" s="50" t="n"/>
      <c r="CO2" s="50" t="n"/>
      <c r="CP2" s="50" t="n"/>
      <c r="CQ2" s="50" t="n"/>
      <c r="CR2" s="50" t="n"/>
      <c r="CS2" s="50" t="n"/>
      <c r="CT2" s="50" t="n"/>
      <c r="CU2" s="50" t="n"/>
      <c r="CV2" s="50" t="n"/>
      <c r="CW2" s="50" t="n"/>
      <c r="CX2" s="50" t="n"/>
      <c r="CY2" s="50" t="n"/>
      <c r="CZ2" s="50" t="n"/>
      <c r="DA2" s="50" t="n"/>
      <c r="DB2" s="50" t="n"/>
      <c r="DC2" s="50" t="n"/>
      <c r="DD2" s="50" t="n"/>
      <c r="DE2" s="50" t="n"/>
      <c r="DF2" s="50" t="n"/>
      <c r="DG2" s="50" t="n"/>
      <c r="DH2" s="50" t="n"/>
      <c r="DI2" s="50" t="n"/>
      <c r="DJ2" s="50" t="n"/>
      <c r="DK2" s="50" t="n"/>
      <c r="DL2" s="50" t="n"/>
      <c r="DM2" s="50" t="n"/>
      <c r="DN2" s="50" t="n"/>
      <c r="DO2" s="50" t="n"/>
      <c r="DP2" s="50" t="n"/>
      <c r="DQ2" s="50" t="n"/>
      <c r="DR2" s="50" t="n"/>
      <c r="DS2" s="50" t="n"/>
      <c r="DT2" s="50" t="n"/>
      <c r="DU2" s="50" t="n"/>
      <c r="DV2" s="50" t="n"/>
      <c r="DW2" s="50" t="n"/>
      <c r="DX2" s="50" t="n"/>
      <c r="DY2" s="50" t="n"/>
      <c r="DZ2" s="50" t="n"/>
      <c r="EA2" s="50" t="n"/>
      <c r="EB2" s="50" t="n"/>
      <c r="EC2" s="50" t="n"/>
      <c r="ED2" s="50" t="n"/>
      <c r="EE2" s="50" t="n"/>
      <c r="EF2" s="50" t="n"/>
      <c r="EG2" s="50" t="n"/>
      <c r="EH2" s="50" t="n"/>
      <c r="EI2" s="50" t="n"/>
      <c r="EJ2" s="50" t="n"/>
      <c r="EK2" s="50" t="n"/>
      <c r="EL2" s="50" t="n"/>
      <c r="EM2" s="50" t="n"/>
      <c r="EN2" s="50" t="n"/>
      <c r="EO2" s="50" t="n"/>
      <c r="EP2" s="50" t="n"/>
      <c r="EQ2" s="50" t="n"/>
      <c r="ER2" s="50" t="n"/>
      <c r="ES2" s="50" t="n"/>
      <c r="ET2" s="50" t="n"/>
      <c r="EU2" s="50" t="n"/>
      <c r="EV2" s="50" t="n"/>
      <c r="EW2" s="50" t="n"/>
      <c r="EX2" s="50" t="n"/>
      <c r="EY2" s="50" t="n"/>
      <c r="EZ2" s="50" t="n"/>
      <c r="FA2" s="50" t="n"/>
      <c r="FB2" s="50" t="n"/>
      <c r="FC2" s="50" t="n"/>
      <c r="FD2" s="50" t="n"/>
      <c r="FE2" s="50" t="n"/>
      <c r="FF2" s="50" t="n"/>
      <c r="FG2" s="50" t="n"/>
      <c r="FH2" s="50" t="n"/>
      <c r="FI2" s="50" t="n"/>
      <c r="FJ2" s="50" t="n"/>
      <c r="FK2" s="50" t="n"/>
      <c r="FL2" s="50" t="n"/>
      <c r="FM2" s="50" t="n"/>
      <c r="FN2" s="50" t="n"/>
      <c r="FO2" s="50" t="n"/>
      <c r="FP2" s="50" t="n"/>
      <c r="FQ2" s="50" t="n"/>
      <c r="FR2" s="50" t="n"/>
      <c r="FS2" s="50" t="n"/>
      <c r="FT2" s="50" t="n"/>
      <c r="FU2" s="50" t="n"/>
      <c r="FV2" s="50" t="n"/>
      <c r="FW2" s="50" t="n"/>
      <c r="FX2" s="50" t="n"/>
      <c r="FY2" s="50" t="n"/>
      <c r="FZ2" s="50" t="n"/>
      <c r="GA2" s="50" t="n"/>
      <c r="GB2" s="50" t="n"/>
      <c r="GC2" s="50" t="n"/>
      <c r="GD2" s="50" t="n"/>
      <c r="GE2" s="50" t="n"/>
      <c r="GF2" s="50" t="n"/>
      <c r="GG2" s="50" t="n"/>
      <c r="GH2" s="50" t="n"/>
      <c r="GI2" s="50" t="n"/>
      <c r="GJ2" s="50" t="n"/>
      <c r="GK2" s="50" t="n"/>
      <c r="GL2" s="50" t="n"/>
      <c r="GM2" s="50" t="n"/>
      <c r="GN2" s="50" t="n"/>
      <c r="GO2" s="50" t="n"/>
      <c r="GP2" s="50" t="n"/>
      <c r="GQ2" s="50" t="n"/>
      <c r="GR2" s="50" t="n"/>
      <c r="GS2" s="50" t="n"/>
      <c r="GT2" s="50" t="n"/>
      <c r="GU2" s="50" t="n"/>
      <c r="GV2" s="50" t="n"/>
      <c r="GW2" s="50" t="n"/>
      <c r="GX2" s="50" t="n"/>
      <c r="GY2" s="50" t="n"/>
      <c r="GZ2" s="50" t="n"/>
      <c r="HA2" s="50" t="n"/>
      <c r="HB2" s="50" t="n"/>
      <c r="HC2" s="50" t="n"/>
      <c r="HD2" s="50" t="n"/>
      <c r="HE2" s="50" t="n"/>
      <c r="HF2" s="50" t="n"/>
      <c r="HG2" s="50" t="n"/>
      <c r="HH2" s="50" t="n"/>
      <c r="HI2" s="50" t="n"/>
      <c r="HJ2" s="50" t="n"/>
      <c r="HK2" s="50" t="n"/>
      <c r="HL2" s="50" t="n"/>
      <c r="HM2" s="50" t="n"/>
      <c r="HN2" s="50" t="n"/>
      <c r="HO2" s="50" t="n"/>
      <c r="HP2" s="50" t="n"/>
      <c r="HQ2" s="50" t="n"/>
      <c r="HR2" s="50" t="n"/>
      <c r="HS2" s="50" t="n"/>
      <c r="HT2" s="50" t="n"/>
      <c r="HU2" s="50" t="n"/>
      <c r="HV2" s="50" t="n"/>
      <c r="HW2" s="50" t="n"/>
      <c r="HX2" s="50" t="n"/>
      <c r="HY2" s="50" t="n"/>
      <c r="HZ2" s="50" t="n"/>
      <c r="IA2" s="50" t="n"/>
      <c r="IB2" s="50" t="n"/>
      <c r="IC2" s="50" t="n"/>
      <c r="ID2" s="50" t="n"/>
      <c r="IE2" s="50" t="n"/>
      <c r="IF2" s="50" t="n"/>
      <c r="IG2" s="50" t="n"/>
      <c r="IH2" s="50" t="n"/>
      <c r="II2" s="50" t="n"/>
      <c r="IJ2" s="50" t="n"/>
      <c r="IK2" s="50" t="n"/>
      <c r="IL2" s="50" t="n"/>
      <c r="IM2" s="50" t="n"/>
      <c r="IN2" s="50" t="n"/>
      <c r="IO2" s="50" t="n"/>
      <c r="IP2" s="50" t="n"/>
      <c r="IQ2" s="50" t="n"/>
    </row>
    <row r="3" ht="18" customHeight="1" s="322">
      <c r="A3" s="78" t="inlineStr">
        <is>
          <t>ㅣBAA중도형_공격자산 12종목</t>
        </is>
      </c>
      <c r="B3" s="4" t="n"/>
      <c r="C3" s="486" t="n"/>
      <c r="D3" s="486" t="n"/>
      <c r="E3" s="486" t="n"/>
      <c r="F3" s="486" t="n"/>
      <c r="G3" s="486" t="n"/>
      <c r="H3" s="486" t="n"/>
      <c r="I3" s="486" t="n"/>
      <c r="J3" s="486" t="n"/>
      <c r="K3" s="486" t="n"/>
      <c r="L3" s="486" t="n"/>
      <c r="M3" s="486" t="n"/>
      <c r="N3" s="486" t="n"/>
      <c r="O3" s="486" t="n"/>
      <c r="P3" s="28" t="n"/>
      <c r="Q3" s="52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  <c r="AI3" s="50" t="n"/>
      <c r="AJ3" s="50" t="n"/>
      <c r="AK3" s="50" t="n"/>
      <c r="AL3" s="50" t="n"/>
      <c r="AM3" s="50" t="n"/>
      <c r="AN3" s="50" t="n"/>
      <c r="AO3" s="50" t="n"/>
      <c r="AP3" s="50" t="n"/>
      <c r="AQ3" s="50" t="n"/>
      <c r="AR3" s="50" t="n"/>
      <c r="AS3" s="50" t="n"/>
      <c r="AT3" s="50" t="n"/>
      <c r="AU3" s="50" t="n"/>
      <c r="AV3" s="50" t="n"/>
      <c r="AW3" s="50" t="n"/>
      <c r="AX3" s="50" t="n"/>
      <c r="AY3" s="50" t="n"/>
      <c r="AZ3" s="50" t="n"/>
      <c r="BA3" s="50" t="n"/>
      <c r="BB3" s="50" t="n"/>
      <c r="BC3" s="50" t="n"/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0" t="n"/>
      <c r="BO3" s="50" t="n"/>
      <c r="BP3" s="50" t="n"/>
      <c r="BQ3" s="50" t="n"/>
      <c r="BR3" s="50" t="n"/>
      <c r="BS3" s="50" t="n"/>
      <c r="BT3" s="50" t="n"/>
      <c r="BU3" s="50" t="n"/>
      <c r="BV3" s="50" t="n"/>
      <c r="BW3" s="50" t="n"/>
      <c r="BX3" s="50" t="n"/>
      <c r="BY3" s="50" t="n"/>
      <c r="BZ3" s="50" t="n"/>
      <c r="CA3" s="50" t="n"/>
      <c r="CB3" s="50" t="n"/>
      <c r="CC3" s="50" t="n"/>
      <c r="CD3" s="50" t="n"/>
      <c r="CE3" s="50" t="n"/>
      <c r="CF3" s="50" t="n"/>
      <c r="CG3" s="50" t="n"/>
      <c r="CH3" s="50" t="n"/>
      <c r="CI3" s="50" t="n"/>
      <c r="CJ3" s="50" t="n"/>
      <c r="CK3" s="50" t="n"/>
      <c r="CL3" s="50" t="n"/>
      <c r="CM3" s="50" t="n"/>
      <c r="CN3" s="50" t="n"/>
      <c r="CO3" s="50" t="n"/>
      <c r="CP3" s="50" t="n"/>
      <c r="CQ3" s="50" t="n"/>
      <c r="CR3" s="50" t="n"/>
      <c r="CS3" s="50" t="n"/>
      <c r="CT3" s="50" t="n"/>
      <c r="CU3" s="50" t="n"/>
      <c r="CV3" s="50" t="n"/>
      <c r="CW3" s="50" t="n"/>
      <c r="CX3" s="50" t="n"/>
      <c r="CY3" s="50" t="n"/>
      <c r="CZ3" s="50" t="n"/>
      <c r="DA3" s="50" t="n"/>
      <c r="DB3" s="50" t="n"/>
      <c r="DC3" s="50" t="n"/>
      <c r="DD3" s="50" t="n"/>
      <c r="DE3" s="50" t="n"/>
      <c r="DF3" s="50" t="n"/>
      <c r="DG3" s="50" t="n"/>
      <c r="DH3" s="50" t="n"/>
      <c r="DI3" s="50" t="n"/>
      <c r="DJ3" s="50" t="n"/>
      <c r="DK3" s="50" t="n"/>
      <c r="DL3" s="50" t="n"/>
      <c r="DM3" s="50" t="n"/>
      <c r="DN3" s="50" t="n"/>
      <c r="DO3" s="50" t="n"/>
      <c r="DP3" s="50" t="n"/>
      <c r="DQ3" s="50" t="n"/>
      <c r="DR3" s="50" t="n"/>
      <c r="DS3" s="50" t="n"/>
      <c r="DT3" s="50" t="n"/>
      <c r="DU3" s="50" t="n"/>
      <c r="DV3" s="50" t="n"/>
      <c r="DW3" s="50" t="n"/>
      <c r="DX3" s="50" t="n"/>
      <c r="DY3" s="50" t="n"/>
      <c r="DZ3" s="50" t="n"/>
      <c r="EA3" s="50" t="n"/>
      <c r="EB3" s="50" t="n"/>
      <c r="EC3" s="50" t="n"/>
      <c r="ED3" s="50" t="n"/>
      <c r="EE3" s="50" t="n"/>
      <c r="EF3" s="50" t="n"/>
      <c r="EG3" s="50" t="n"/>
      <c r="EH3" s="50" t="n"/>
      <c r="EI3" s="50" t="n"/>
      <c r="EJ3" s="50" t="n"/>
      <c r="EK3" s="50" t="n"/>
      <c r="EL3" s="50" t="n"/>
      <c r="EM3" s="50" t="n"/>
      <c r="EN3" s="50" t="n"/>
      <c r="EO3" s="50" t="n"/>
      <c r="EP3" s="50" t="n"/>
      <c r="EQ3" s="50" t="n"/>
      <c r="ER3" s="50" t="n"/>
      <c r="ES3" s="50" t="n"/>
      <c r="ET3" s="50" t="n"/>
      <c r="EU3" s="50" t="n"/>
      <c r="EV3" s="50" t="n"/>
      <c r="EW3" s="50" t="n"/>
      <c r="EX3" s="50" t="n"/>
      <c r="EY3" s="50" t="n"/>
      <c r="EZ3" s="50" t="n"/>
      <c r="FA3" s="50" t="n"/>
      <c r="FB3" s="50" t="n"/>
      <c r="FC3" s="50" t="n"/>
      <c r="FD3" s="50" t="n"/>
      <c r="FE3" s="50" t="n"/>
      <c r="FF3" s="50" t="n"/>
      <c r="FG3" s="50" t="n"/>
      <c r="FH3" s="50" t="n"/>
      <c r="FI3" s="50" t="n"/>
      <c r="FJ3" s="50" t="n"/>
      <c r="FK3" s="50" t="n"/>
      <c r="FL3" s="50" t="n"/>
      <c r="FM3" s="50" t="n"/>
      <c r="FN3" s="50" t="n"/>
      <c r="FO3" s="50" t="n"/>
      <c r="FP3" s="50" t="n"/>
      <c r="FQ3" s="50" t="n"/>
      <c r="FR3" s="50" t="n"/>
      <c r="FS3" s="50" t="n"/>
      <c r="FT3" s="50" t="n"/>
      <c r="FU3" s="50" t="n"/>
      <c r="FV3" s="50" t="n"/>
      <c r="FW3" s="50" t="n"/>
      <c r="FX3" s="50" t="n"/>
      <c r="FY3" s="50" t="n"/>
      <c r="FZ3" s="50" t="n"/>
      <c r="GA3" s="50" t="n"/>
      <c r="GB3" s="50" t="n"/>
      <c r="GC3" s="50" t="n"/>
      <c r="GD3" s="50" t="n"/>
      <c r="GE3" s="50" t="n"/>
      <c r="GF3" s="50" t="n"/>
      <c r="GG3" s="50" t="n"/>
      <c r="GH3" s="50" t="n"/>
      <c r="GI3" s="50" t="n"/>
      <c r="GJ3" s="50" t="n"/>
      <c r="GK3" s="50" t="n"/>
      <c r="GL3" s="50" t="n"/>
      <c r="GM3" s="50" t="n"/>
      <c r="GN3" s="50" t="n"/>
      <c r="GO3" s="50" t="n"/>
      <c r="GP3" s="50" t="n"/>
      <c r="GQ3" s="50" t="n"/>
      <c r="GR3" s="50" t="n"/>
      <c r="GS3" s="50" t="n"/>
      <c r="GT3" s="50" t="n"/>
      <c r="GU3" s="50" t="n"/>
      <c r="GV3" s="50" t="n"/>
      <c r="GW3" s="50" t="n"/>
      <c r="GX3" s="50" t="n"/>
      <c r="GY3" s="50" t="n"/>
      <c r="GZ3" s="50" t="n"/>
      <c r="HA3" s="50" t="n"/>
      <c r="HB3" s="50" t="n"/>
      <c r="HC3" s="50" t="n"/>
      <c r="HD3" s="50" t="n"/>
      <c r="HE3" s="50" t="n"/>
      <c r="HF3" s="50" t="n"/>
      <c r="HG3" s="50" t="n"/>
      <c r="HH3" s="50" t="n"/>
      <c r="HI3" s="50" t="n"/>
      <c r="HJ3" s="50" t="n"/>
      <c r="HK3" s="50" t="n"/>
      <c r="HL3" s="50" t="n"/>
      <c r="HM3" s="50" t="n"/>
      <c r="HN3" s="50" t="n"/>
      <c r="HO3" s="50" t="n"/>
      <c r="HP3" s="50" t="n"/>
      <c r="HQ3" s="50" t="n"/>
      <c r="HR3" s="50" t="n"/>
      <c r="HS3" s="50" t="n"/>
      <c r="HT3" s="50" t="n"/>
      <c r="HU3" s="50" t="n"/>
      <c r="HV3" s="50" t="n"/>
      <c r="HW3" s="50" t="n"/>
      <c r="HX3" s="50" t="n"/>
      <c r="HY3" s="50" t="n"/>
      <c r="HZ3" s="50" t="n"/>
      <c r="IA3" s="50" t="n"/>
      <c r="IB3" s="50" t="n"/>
      <c r="IC3" s="50" t="n"/>
      <c r="ID3" s="50" t="n"/>
      <c r="IE3" s="50" t="n"/>
      <c r="IF3" s="50" t="n"/>
      <c r="IG3" s="50" t="n"/>
      <c r="IH3" s="50" t="n"/>
      <c r="II3" s="50" t="n"/>
      <c r="IJ3" s="50" t="n"/>
      <c r="IK3" s="50" t="n"/>
      <c r="IL3" s="50" t="n"/>
      <c r="IM3" s="50" t="n"/>
      <c r="IN3" s="50" t="n"/>
      <c r="IO3" s="50" t="n"/>
      <c r="IP3" s="50" t="n"/>
      <c r="IQ3" s="50" t="n"/>
    </row>
    <row r="4" ht="29.25" customHeight="1" s="322">
      <c r="A4" s="110" t="inlineStr">
        <is>
          <t>구간</t>
        </is>
      </c>
      <c r="B4" s="112" t="inlineStr">
        <is>
          <t>현재</t>
        </is>
      </c>
      <c r="C4" s="112" t="inlineStr">
        <is>
          <t>전 날</t>
        </is>
      </c>
      <c r="D4" s="112" t="inlineStr">
        <is>
          <t>1개월 전</t>
        </is>
      </c>
      <c r="E4" s="112" t="inlineStr">
        <is>
          <t>2개월 전</t>
        </is>
      </c>
      <c r="F4" s="112" t="inlineStr">
        <is>
          <t>3개월 전</t>
        </is>
      </c>
      <c r="G4" s="112" t="inlineStr">
        <is>
          <t>4개월 전</t>
        </is>
      </c>
      <c r="H4" s="112" t="inlineStr">
        <is>
          <t>5개월 전</t>
        </is>
      </c>
      <c r="I4" s="112" t="inlineStr">
        <is>
          <t>6개월 전</t>
        </is>
      </c>
      <c r="J4" s="112" t="inlineStr">
        <is>
          <t>7개월 전</t>
        </is>
      </c>
      <c r="K4" s="112" t="inlineStr">
        <is>
          <t>8개월 전</t>
        </is>
      </c>
      <c r="L4" s="112" t="inlineStr">
        <is>
          <t>9개월 전</t>
        </is>
      </c>
      <c r="M4" s="112" t="inlineStr">
        <is>
          <t>10개월 전</t>
        </is>
      </c>
      <c r="N4" s="112" t="inlineStr">
        <is>
          <t>11개월 전</t>
        </is>
      </c>
      <c r="O4" s="112" t="inlineStr">
        <is>
          <t>12개월 전</t>
        </is>
      </c>
      <c r="P4" s="117" t="inlineStr">
        <is>
          <t>12개월 이동평균</t>
        </is>
      </c>
      <c r="Q4" s="119" t="inlineStr">
        <is>
          <t>현재가격/12개월 이동평균</t>
        </is>
      </c>
      <c r="R4" s="269" t="inlineStr">
        <is>
          <t>1개월 수익률</t>
        </is>
      </c>
      <c r="S4" s="269" t="inlineStr">
        <is>
          <t>3개월 수익률</t>
        </is>
      </c>
      <c r="T4" s="269" t="inlineStr">
        <is>
          <t>6개월 수익률</t>
        </is>
      </c>
      <c r="U4" s="269" t="inlineStr">
        <is>
          <t>최근 1년 수익률</t>
        </is>
      </c>
      <c r="V4" s="121" t="inlineStr">
        <is>
          <t>1개월 수익률*12</t>
        </is>
      </c>
      <c r="W4" s="121" t="inlineStr">
        <is>
          <t>3개월 수익률*4</t>
        </is>
      </c>
      <c r="X4" s="121" t="inlineStr">
        <is>
          <t>6개월 수익률*2</t>
        </is>
      </c>
      <c r="Y4" s="121" t="inlineStr">
        <is>
          <t>12개월 수익률*1</t>
        </is>
      </c>
      <c r="Z4" s="124" t="inlineStr">
        <is>
          <t>모멘텀 스코어</t>
        </is>
      </c>
      <c r="AA4" s="50" t="n"/>
      <c r="AB4" s="50" t="n"/>
      <c r="AC4" s="50" t="n"/>
      <c r="AD4" s="50" t="n"/>
      <c r="AE4" s="50" t="n"/>
      <c r="AF4" s="50" t="n"/>
      <c r="AG4" s="50" t="n"/>
      <c r="AH4" s="50" t="n"/>
      <c r="AI4" s="50" t="n"/>
      <c r="AJ4" s="50" t="n"/>
      <c r="AK4" s="50" t="n"/>
      <c r="AL4" s="50" t="n"/>
      <c r="AM4" s="50" t="n"/>
      <c r="AN4" s="50" t="n"/>
      <c r="AO4" s="50" t="n"/>
      <c r="AP4" s="50" t="n"/>
      <c r="AQ4" s="50" t="n"/>
      <c r="AR4" s="50" t="n"/>
      <c r="AS4" s="50" t="n"/>
      <c r="AT4" s="50" t="n"/>
      <c r="AU4" s="50" t="n"/>
      <c r="AV4" s="50" t="n"/>
      <c r="AW4" s="50" t="n"/>
      <c r="AX4" s="50" t="n"/>
      <c r="AY4" s="50" t="n"/>
      <c r="AZ4" s="50" t="n"/>
      <c r="BA4" s="50" t="n"/>
      <c r="BB4" s="50" t="n"/>
      <c r="BC4" s="50" t="n"/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  <c r="BW4" s="50" t="n"/>
      <c r="BX4" s="50" t="n"/>
      <c r="BY4" s="50" t="n"/>
      <c r="BZ4" s="50" t="n"/>
      <c r="CA4" s="50" t="n"/>
      <c r="CB4" s="50" t="n"/>
      <c r="CC4" s="50" t="n"/>
      <c r="CD4" s="50" t="n"/>
      <c r="CE4" s="50" t="n"/>
      <c r="CF4" s="50" t="n"/>
      <c r="CG4" s="50" t="n"/>
      <c r="CH4" s="50" t="n"/>
      <c r="CI4" s="50" t="n"/>
      <c r="CJ4" s="50" t="n"/>
      <c r="CK4" s="50" t="n"/>
      <c r="CL4" s="50" t="n"/>
      <c r="CM4" s="50" t="n"/>
      <c r="CN4" s="50" t="n"/>
      <c r="CO4" s="50" t="n"/>
      <c r="CP4" s="50" t="n"/>
      <c r="CQ4" s="50" t="n"/>
      <c r="CR4" s="50" t="n"/>
      <c r="CS4" s="50" t="n"/>
      <c r="CT4" s="50" t="n"/>
      <c r="CU4" s="50" t="n"/>
      <c r="CV4" s="50" t="n"/>
      <c r="CW4" s="50" t="n"/>
      <c r="CX4" s="50" t="n"/>
      <c r="CY4" s="50" t="n"/>
      <c r="CZ4" s="50" t="n"/>
      <c r="DA4" s="50" t="n"/>
      <c r="DB4" s="50" t="n"/>
      <c r="DC4" s="50" t="n"/>
      <c r="DD4" s="50" t="n"/>
      <c r="DE4" s="50" t="n"/>
      <c r="DF4" s="50" t="n"/>
      <c r="DG4" s="50" t="n"/>
      <c r="DH4" s="50" t="n"/>
      <c r="DI4" s="50" t="n"/>
      <c r="DJ4" s="50" t="n"/>
      <c r="DK4" s="50" t="n"/>
      <c r="DL4" s="50" t="n"/>
      <c r="DM4" s="50" t="n"/>
      <c r="DN4" s="50" t="n"/>
      <c r="DO4" s="50" t="n"/>
      <c r="DP4" s="50" t="n"/>
      <c r="DQ4" s="50" t="n"/>
      <c r="DR4" s="50" t="n"/>
      <c r="DS4" s="50" t="n"/>
      <c r="DT4" s="50" t="n"/>
      <c r="DU4" s="50" t="n"/>
      <c r="DV4" s="50" t="n"/>
      <c r="DW4" s="50" t="n"/>
      <c r="DX4" s="50" t="n"/>
      <c r="DY4" s="50" t="n"/>
      <c r="DZ4" s="50" t="n"/>
      <c r="EA4" s="50" t="n"/>
      <c r="EB4" s="50" t="n"/>
      <c r="EC4" s="50" t="n"/>
      <c r="ED4" s="50" t="n"/>
      <c r="EE4" s="50" t="n"/>
      <c r="EF4" s="50" t="n"/>
      <c r="EG4" s="50" t="n"/>
      <c r="EH4" s="50" t="n"/>
      <c r="EI4" s="50" t="n"/>
      <c r="EJ4" s="50" t="n"/>
      <c r="EK4" s="50" t="n"/>
      <c r="EL4" s="50" t="n"/>
      <c r="EM4" s="50" t="n"/>
      <c r="EN4" s="50" t="n"/>
      <c r="EO4" s="50" t="n"/>
      <c r="EP4" s="50" t="n"/>
      <c r="EQ4" s="50" t="n"/>
      <c r="ER4" s="50" t="n"/>
      <c r="ES4" s="50" t="n"/>
      <c r="ET4" s="50" t="n"/>
      <c r="EU4" s="50" t="n"/>
      <c r="EV4" s="50" t="n"/>
      <c r="EW4" s="50" t="n"/>
      <c r="EX4" s="50" t="n"/>
      <c r="EY4" s="50" t="n"/>
      <c r="EZ4" s="50" t="n"/>
      <c r="FA4" s="50" t="n"/>
      <c r="FB4" s="50" t="n"/>
      <c r="FC4" s="50" t="n"/>
      <c r="FD4" s="50" t="n"/>
      <c r="FE4" s="50" t="n"/>
      <c r="FF4" s="50" t="n"/>
      <c r="FG4" s="50" t="n"/>
      <c r="FH4" s="50" t="n"/>
      <c r="FI4" s="50" t="n"/>
      <c r="FJ4" s="50" t="n"/>
      <c r="FK4" s="50" t="n"/>
      <c r="FL4" s="50" t="n"/>
      <c r="FM4" s="50" t="n"/>
      <c r="FN4" s="50" t="n"/>
      <c r="FO4" s="50" t="n"/>
      <c r="FP4" s="50" t="n"/>
      <c r="FQ4" s="50" t="n"/>
      <c r="FR4" s="50" t="n"/>
      <c r="FS4" s="50" t="n"/>
      <c r="FT4" s="50" t="n"/>
      <c r="FU4" s="50" t="n"/>
      <c r="FV4" s="50" t="n"/>
      <c r="FW4" s="50" t="n"/>
      <c r="FX4" s="50" t="n"/>
      <c r="FY4" s="50" t="n"/>
      <c r="FZ4" s="50" t="n"/>
      <c r="GA4" s="50" t="n"/>
      <c r="GB4" s="50" t="n"/>
      <c r="GC4" s="50" t="n"/>
      <c r="GD4" s="50" t="n"/>
      <c r="GE4" s="50" t="n"/>
      <c r="GF4" s="50" t="n"/>
      <c r="GG4" s="50" t="n"/>
      <c r="GH4" s="50" t="n"/>
      <c r="GI4" s="50" t="n"/>
      <c r="GJ4" s="50" t="n"/>
      <c r="GK4" s="50" t="n"/>
      <c r="GL4" s="50" t="n"/>
      <c r="GM4" s="50" t="n"/>
      <c r="GN4" s="50" t="n"/>
      <c r="GO4" s="50" t="n"/>
      <c r="GP4" s="50" t="n"/>
      <c r="GQ4" s="50" t="n"/>
      <c r="GR4" s="50" t="n"/>
      <c r="GS4" s="50" t="n"/>
      <c r="GT4" s="50" t="n"/>
      <c r="GU4" s="50" t="n"/>
      <c r="GV4" s="50" t="n"/>
      <c r="GW4" s="50" t="n"/>
      <c r="GX4" s="50" t="n"/>
      <c r="GY4" s="50" t="n"/>
      <c r="GZ4" s="50" t="n"/>
      <c r="HA4" s="50" t="n"/>
      <c r="HB4" s="50" t="n"/>
      <c r="HC4" s="50" t="n"/>
      <c r="HD4" s="50" t="n"/>
      <c r="HE4" s="50" t="n"/>
      <c r="HF4" s="50" t="n"/>
      <c r="HG4" s="50" t="n"/>
      <c r="HH4" s="50" t="n"/>
      <c r="HI4" s="50" t="n"/>
      <c r="HJ4" s="50" t="n"/>
      <c r="HK4" s="50" t="n"/>
      <c r="HL4" s="50" t="n"/>
      <c r="HM4" s="50" t="n"/>
      <c r="HN4" s="50" t="n"/>
      <c r="HO4" s="50" t="n"/>
      <c r="HP4" s="50" t="n"/>
      <c r="HQ4" s="50" t="n"/>
      <c r="HR4" s="50" t="n"/>
      <c r="HS4" s="50" t="n"/>
      <c r="HT4" s="50" t="n"/>
      <c r="HU4" s="50" t="n"/>
      <c r="HV4" s="50" t="n"/>
      <c r="HW4" s="50" t="n"/>
      <c r="HX4" s="50" t="n"/>
      <c r="HY4" s="50" t="n"/>
      <c r="HZ4" s="50" t="n"/>
      <c r="IA4" s="50" t="n"/>
      <c r="IB4" s="50" t="n"/>
      <c r="IC4" s="50" t="n"/>
      <c r="ID4" s="50" t="n"/>
      <c r="IE4" s="50" t="n"/>
      <c r="IF4" s="50" t="n"/>
      <c r="IG4" s="50" t="n"/>
      <c r="IH4" s="50" t="n"/>
      <c r="II4" s="50" t="n"/>
      <c r="IJ4" s="50" t="n"/>
      <c r="IK4" s="50" t="n"/>
      <c r="IL4" s="50" t="n"/>
      <c r="IM4" s="50" t="n"/>
      <c r="IN4" s="50" t="n"/>
      <c r="IO4" s="50" t="n"/>
      <c r="IP4" s="50" t="n"/>
      <c r="IQ4" s="50" t="n"/>
    </row>
    <row r="5" ht="13.5" customHeight="1" s="322">
      <c r="A5" s="145">
        <f>관심종목!D10</f>
        <v/>
      </c>
      <c r="B5" s="488">
        <f>관심종목!H10</f>
        <v/>
      </c>
      <c r="C5" s="148">
        <f>IFERROR(LOOKUP(C1,INDEX(차트데이터!$A:$BZ,0,MATCH("SPY",차트데이터!$1:$1,0)),INDEX(차트데이터!$A:$BZ,0,MATCH("SPY",차트데이터!$1:$1,0)+1)),"")</f>
        <v/>
      </c>
      <c r="D5" s="148">
        <f>IFERROR(LOOKUP(D1,INDEX(차트데이터!$A:$BZ,0,MATCH("SPY",차트데이터!$1:$1,0)),INDEX(차트데이터!$A:$BZ,0,MATCH("SPY",차트데이터!$1:$1,0)+1)),"")</f>
        <v/>
      </c>
      <c r="E5" s="148">
        <f>IFERROR(LOOKUP(E1,INDEX(차트데이터!$A:$BZ,0,MATCH("SPY",차트데이터!$1:$1,0)),INDEX(차트데이터!$A:$BZ,0,MATCH("SPY",차트데이터!$1:$1,0)+1)),"")</f>
        <v/>
      </c>
      <c r="F5" s="148">
        <f>IFERROR(LOOKUP(F1,INDEX(차트데이터!$A:$BZ,0,MATCH("SPY",차트데이터!$1:$1,0)),INDEX(차트데이터!$A:$BZ,0,MATCH("SPY",차트데이터!$1:$1,0)+1)),"")</f>
        <v/>
      </c>
      <c r="G5" s="148">
        <f>IFERROR(LOOKUP(G1,INDEX(차트데이터!$A:$BZ,0,MATCH("SPY",차트데이터!$1:$1,0)),INDEX(차트데이터!$A:$BZ,0,MATCH("SPY",차트데이터!$1:$1,0)+1)),"")</f>
        <v/>
      </c>
      <c r="H5" s="148">
        <f>IFERROR(LOOKUP(H1,INDEX(차트데이터!$A:$BZ,0,MATCH("SPY",차트데이터!$1:$1,0)),INDEX(차트데이터!$A:$BZ,0,MATCH("SPY",차트데이터!$1:$1,0)+1)),"")</f>
        <v/>
      </c>
      <c r="I5" s="148">
        <f>IFERROR(LOOKUP(I1,INDEX(차트데이터!$A:$BZ,0,MATCH("SPY",차트데이터!$1:$1,0)),INDEX(차트데이터!$A:$BZ,0,MATCH("SPY",차트데이터!$1:$1,0)+1)),"")</f>
        <v/>
      </c>
      <c r="J5" s="148">
        <f>IFERROR(LOOKUP(J1,INDEX(차트데이터!$A:$BZ,0,MATCH("SPY",차트데이터!$1:$1,0)),INDEX(차트데이터!$A:$BZ,0,MATCH("SPY",차트데이터!$1:$1,0)+1)),"")</f>
        <v/>
      </c>
      <c r="K5" s="148">
        <f>IFERROR(LOOKUP(K1,INDEX(차트데이터!$A:$BZ,0,MATCH("SPY",차트데이터!$1:$1,0)),INDEX(차트데이터!$A:$BZ,0,MATCH("SPY",차트데이터!$1:$1,0)+1)),"")</f>
        <v/>
      </c>
      <c r="L5" s="148">
        <f>IFERROR(LOOKUP(L1,INDEX(차트데이터!$A:$BZ,0,MATCH("SPY",차트데이터!$1:$1,0)),INDEX(차트데이터!$A:$BZ,0,MATCH("SPY",차트데이터!$1:$1,0)+1)),"")</f>
        <v/>
      </c>
      <c r="M5" s="148">
        <f>IFERROR(LOOKUP(M1,INDEX(차트데이터!$A:$BZ,0,MATCH("SPY",차트데이터!$1:$1,0)),INDEX(차트데이터!$A:$BZ,0,MATCH("SPY",차트데이터!$1:$1,0)+1)),"")</f>
        <v/>
      </c>
      <c r="N5" s="148">
        <f>IFERROR(LOOKUP(N1,INDEX(차트데이터!$A:$BZ,0,MATCH("SPY",차트데이터!$1:$1,0)),INDEX(차트데이터!$A:$BZ,0,MATCH("SPY",차트데이터!$1:$1,0)+1)),"")</f>
        <v/>
      </c>
      <c r="O5" s="148">
        <f>IFERROR(LOOKUP(O1,INDEX(차트데이터!$A:$BZ,0,MATCH("SPY",차트데이터!$1:$1,0)),INDEX(차트데이터!$A:$BZ,0,MATCH("SPY",차트데이터!$1:$1,0)+1)),"")</f>
        <v/>
      </c>
      <c r="P5" s="163">
        <f>AVERAGE(D5:O5)</f>
        <v/>
      </c>
      <c r="Q5" s="165">
        <f>B5/P5</f>
        <v/>
      </c>
      <c r="R5" s="168">
        <f>(B5/D5)-1</f>
        <v/>
      </c>
      <c r="S5" s="168">
        <f>(B5/F5)-1</f>
        <v/>
      </c>
      <c r="T5" s="168">
        <f>(B5/I5)-1</f>
        <v/>
      </c>
      <c r="U5" s="168">
        <f>(B5/O5)-1</f>
        <v/>
      </c>
      <c r="V5" s="489">
        <f>R5*12</f>
        <v/>
      </c>
      <c r="W5" s="489">
        <f>S5*4</f>
        <v/>
      </c>
      <c r="X5" s="489">
        <f>T5*2</f>
        <v/>
      </c>
      <c r="Y5" s="489">
        <f>U5*1</f>
        <v/>
      </c>
      <c r="Z5" s="180">
        <f>SUM(V5:Y5)</f>
        <v/>
      </c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  <c r="AL5" s="50" t="n"/>
      <c r="AM5" s="50" t="n"/>
      <c r="AN5" s="50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  <c r="AX5" s="50" t="n"/>
      <c r="AY5" s="50" t="n"/>
      <c r="AZ5" s="50" t="n"/>
      <c r="BA5" s="50" t="n"/>
      <c r="BB5" s="50" t="n"/>
      <c r="BC5" s="50" t="n"/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0" t="n"/>
      <c r="BO5" s="50" t="n"/>
      <c r="BP5" s="50" t="n"/>
      <c r="BQ5" s="50" t="n"/>
      <c r="BR5" s="50" t="n"/>
      <c r="BS5" s="50" t="n"/>
      <c r="BT5" s="50" t="n"/>
      <c r="BU5" s="50" t="n"/>
      <c r="BV5" s="50" t="n"/>
      <c r="BW5" s="50" t="n"/>
      <c r="BX5" s="50" t="n"/>
      <c r="BY5" s="50" t="n"/>
      <c r="BZ5" s="50" t="n"/>
      <c r="CA5" s="50" t="n"/>
      <c r="CB5" s="50" t="n"/>
      <c r="CC5" s="50" t="n"/>
      <c r="CD5" s="50" t="n"/>
      <c r="CE5" s="50" t="n"/>
      <c r="CF5" s="50" t="n"/>
      <c r="CG5" s="50" t="n"/>
      <c r="CH5" s="50" t="n"/>
      <c r="CI5" s="50" t="n"/>
      <c r="CJ5" s="50" t="n"/>
      <c r="CK5" s="50" t="n"/>
      <c r="CL5" s="50" t="n"/>
      <c r="CM5" s="50" t="n"/>
      <c r="CN5" s="50" t="n"/>
      <c r="CO5" s="50" t="n"/>
      <c r="CP5" s="50" t="n"/>
      <c r="CQ5" s="50" t="n"/>
      <c r="CR5" s="50" t="n"/>
      <c r="CS5" s="50" t="n"/>
      <c r="CT5" s="50" t="n"/>
      <c r="CU5" s="50" t="n"/>
      <c r="CV5" s="50" t="n"/>
      <c r="CW5" s="50" t="n"/>
      <c r="CX5" s="50" t="n"/>
      <c r="CY5" s="50" t="n"/>
      <c r="CZ5" s="50" t="n"/>
      <c r="DA5" s="50" t="n"/>
      <c r="DB5" s="50" t="n"/>
      <c r="DC5" s="50" t="n"/>
      <c r="DD5" s="50" t="n"/>
      <c r="DE5" s="50" t="n"/>
      <c r="DF5" s="50" t="n"/>
      <c r="DG5" s="50" t="n"/>
      <c r="DH5" s="50" t="n"/>
      <c r="DI5" s="50" t="n"/>
      <c r="DJ5" s="50" t="n"/>
      <c r="DK5" s="50" t="n"/>
      <c r="DL5" s="50" t="n"/>
      <c r="DM5" s="50" t="n"/>
      <c r="DN5" s="50" t="n"/>
      <c r="DO5" s="50" t="n"/>
      <c r="DP5" s="50" t="n"/>
      <c r="DQ5" s="50" t="n"/>
      <c r="DR5" s="50" t="n"/>
      <c r="DS5" s="50" t="n"/>
      <c r="DT5" s="50" t="n"/>
      <c r="DU5" s="50" t="n"/>
      <c r="DV5" s="50" t="n"/>
      <c r="DW5" s="50" t="n"/>
      <c r="DX5" s="50" t="n"/>
      <c r="DY5" s="50" t="n"/>
      <c r="DZ5" s="50" t="n"/>
      <c r="EA5" s="50" t="n"/>
      <c r="EB5" s="50" t="n"/>
      <c r="EC5" s="50" t="n"/>
      <c r="ED5" s="50" t="n"/>
      <c r="EE5" s="50" t="n"/>
      <c r="EF5" s="50" t="n"/>
      <c r="EG5" s="50" t="n"/>
      <c r="EH5" s="50" t="n"/>
      <c r="EI5" s="50" t="n"/>
      <c r="EJ5" s="50" t="n"/>
      <c r="EK5" s="50" t="n"/>
      <c r="EL5" s="50" t="n"/>
      <c r="EM5" s="50" t="n"/>
      <c r="EN5" s="50" t="n"/>
      <c r="EO5" s="50" t="n"/>
      <c r="EP5" s="50" t="n"/>
      <c r="EQ5" s="50" t="n"/>
      <c r="ER5" s="50" t="n"/>
      <c r="ES5" s="50" t="n"/>
      <c r="ET5" s="50" t="n"/>
      <c r="EU5" s="50" t="n"/>
      <c r="EV5" s="50" t="n"/>
      <c r="EW5" s="50" t="n"/>
      <c r="EX5" s="50" t="n"/>
      <c r="EY5" s="50" t="n"/>
      <c r="EZ5" s="50" t="n"/>
      <c r="FA5" s="50" t="n"/>
      <c r="FB5" s="50" t="n"/>
      <c r="FC5" s="50" t="n"/>
      <c r="FD5" s="50" t="n"/>
      <c r="FE5" s="50" t="n"/>
      <c r="FF5" s="50" t="n"/>
      <c r="FG5" s="50" t="n"/>
      <c r="FH5" s="50" t="n"/>
      <c r="FI5" s="50" t="n"/>
      <c r="FJ5" s="50" t="n"/>
      <c r="FK5" s="50" t="n"/>
      <c r="FL5" s="50" t="n"/>
      <c r="FM5" s="50" t="n"/>
      <c r="FN5" s="50" t="n"/>
      <c r="FO5" s="50" t="n"/>
      <c r="FP5" s="50" t="n"/>
      <c r="FQ5" s="50" t="n"/>
      <c r="FR5" s="50" t="n"/>
      <c r="FS5" s="50" t="n"/>
      <c r="FT5" s="50" t="n"/>
      <c r="FU5" s="50" t="n"/>
      <c r="FV5" s="50" t="n"/>
      <c r="FW5" s="50" t="n"/>
      <c r="FX5" s="50" t="n"/>
      <c r="FY5" s="50" t="n"/>
      <c r="FZ5" s="50" t="n"/>
      <c r="GA5" s="50" t="n"/>
      <c r="GB5" s="50" t="n"/>
      <c r="GC5" s="50" t="n"/>
      <c r="GD5" s="50" t="n"/>
      <c r="GE5" s="50" t="n"/>
      <c r="GF5" s="50" t="n"/>
      <c r="GG5" s="50" t="n"/>
      <c r="GH5" s="50" t="n"/>
      <c r="GI5" s="50" t="n"/>
      <c r="GJ5" s="50" t="n"/>
      <c r="GK5" s="50" t="n"/>
      <c r="GL5" s="50" t="n"/>
      <c r="GM5" s="50" t="n"/>
      <c r="GN5" s="50" t="n"/>
      <c r="GO5" s="50" t="n"/>
      <c r="GP5" s="50" t="n"/>
      <c r="GQ5" s="50" t="n"/>
      <c r="GR5" s="50" t="n"/>
      <c r="GS5" s="50" t="n"/>
      <c r="GT5" s="50" t="n"/>
      <c r="GU5" s="50" t="n"/>
      <c r="GV5" s="50" t="n"/>
      <c r="GW5" s="50" t="n"/>
      <c r="GX5" s="50" t="n"/>
      <c r="GY5" s="50" t="n"/>
      <c r="GZ5" s="50" t="n"/>
      <c r="HA5" s="50" t="n"/>
      <c r="HB5" s="50" t="n"/>
      <c r="HC5" s="50" t="n"/>
      <c r="HD5" s="50" t="n"/>
      <c r="HE5" s="50" t="n"/>
      <c r="HF5" s="50" t="n"/>
      <c r="HG5" s="50" t="n"/>
      <c r="HH5" s="50" t="n"/>
      <c r="HI5" s="50" t="n"/>
      <c r="HJ5" s="50" t="n"/>
      <c r="HK5" s="50" t="n"/>
      <c r="HL5" s="50" t="n"/>
      <c r="HM5" s="50" t="n"/>
      <c r="HN5" s="50" t="n"/>
      <c r="HO5" s="50" t="n"/>
      <c r="HP5" s="50" t="n"/>
      <c r="HQ5" s="50" t="n"/>
      <c r="HR5" s="50" t="n"/>
      <c r="HS5" s="50" t="n"/>
      <c r="HT5" s="50" t="n"/>
      <c r="HU5" s="50" t="n"/>
      <c r="HV5" s="50" t="n"/>
      <c r="HW5" s="50" t="n"/>
      <c r="HX5" s="50" t="n"/>
      <c r="HY5" s="50" t="n"/>
      <c r="HZ5" s="50" t="n"/>
      <c r="IA5" s="50" t="n"/>
      <c r="IB5" s="50" t="n"/>
      <c r="IC5" s="50" t="n"/>
      <c r="ID5" s="50" t="n"/>
      <c r="IE5" s="50" t="n"/>
      <c r="IF5" s="50" t="n"/>
      <c r="IG5" s="50" t="n"/>
      <c r="IH5" s="50" t="n"/>
      <c r="II5" s="50" t="n"/>
      <c r="IJ5" s="50" t="n"/>
      <c r="IK5" s="50" t="n"/>
      <c r="IL5" s="50" t="n"/>
      <c r="IM5" s="50" t="n"/>
      <c r="IN5" s="50" t="n"/>
      <c r="IO5" s="50" t="n"/>
      <c r="IP5" s="50" t="n"/>
      <c r="IQ5" s="50" t="n"/>
    </row>
    <row r="6" ht="13.5" customHeight="1" s="322">
      <c r="A6" s="145">
        <f>관심종목!D11</f>
        <v/>
      </c>
      <c r="B6" s="488">
        <f>관심종목!H11</f>
        <v/>
      </c>
      <c r="C6" s="148">
        <f>IFERROR(LOOKUP(C1,INDEX(차트데이터!$A:$BZ,0,MATCH("QQQ",차트데이터!$1:$1,0)),INDEX(차트데이터!$A:$BZ,0,MATCH("QQQ",차트데이터!$1:$1,0)+1)),"")</f>
        <v/>
      </c>
      <c r="D6" s="148">
        <f>IFERROR(LOOKUP(D1,INDEX(차트데이터!$A:$BZ,0,MATCH("QQQ",차트데이터!$1:$1,0)),INDEX(차트데이터!$A:$BZ,0,MATCH("QQQ",차트데이터!$1:$1,0)+1)),"")</f>
        <v/>
      </c>
      <c r="E6" s="148">
        <f>IFERROR(LOOKUP(E1,INDEX(차트데이터!$A:$BZ,0,MATCH("QQQ",차트데이터!$1:$1,0)),INDEX(차트데이터!$A:$BZ,0,MATCH("QQQ",차트데이터!$1:$1,0)+1)),"")</f>
        <v/>
      </c>
      <c r="F6" s="148">
        <f>IFERROR(LOOKUP(F1,INDEX(차트데이터!$A:$BZ,0,MATCH("QQQ",차트데이터!$1:$1,0)),INDEX(차트데이터!$A:$BZ,0,MATCH("QQQ",차트데이터!$1:$1,0)+1)),"")</f>
        <v/>
      </c>
      <c r="G6" s="148">
        <f>IFERROR(LOOKUP(G1,INDEX(차트데이터!$A:$BZ,0,MATCH("QQQ",차트데이터!$1:$1,0)),INDEX(차트데이터!$A:$BZ,0,MATCH("QQQ",차트데이터!$1:$1,0)+1)),"")</f>
        <v/>
      </c>
      <c r="H6" s="148">
        <f>IFERROR(LOOKUP(H1,INDEX(차트데이터!$A:$BZ,0,MATCH("QQQ",차트데이터!$1:$1,0)),INDEX(차트데이터!$A:$BZ,0,MATCH("QQQ",차트데이터!$1:$1,0)+1)),"")</f>
        <v/>
      </c>
      <c r="I6" s="148">
        <f>IFERROR(LOOKUP(I1,INDEX(차트데이터!$A:$BZ,0,MATCH("QQQ",차트데이터!$1:$1,0)),INDEX(차트데이터!$A:$BZ,0,MATCH("QQQ",차트데이터!$1:$1,0)+1)),"")</f>
        <v/>
      </c>
      <c r="J6" s="148">
        <f>IFERROR(LOOKUP(J1,INDEX(차트데이터!$A:$BZ,0,MATCH("QQQ",차트데이터!$1:$1,0)),INDEX(차트데이터!$A:$BZ,0,MATCH("QQQ",차트데이터!$1:$1,0)+1)),"")</f>
        <v/>
      </c>
      <c r="K6" s="148">
        <f>IFERROR(LOOKUP(K1,INDEX(차트데이터!$A:$BZ,0,MATCH("QQQ",차트데이터!$1:$1,0)),INDEX(차트데이터!$A:$BZ,0,MATCH("QQQ",차트데이터!$1:$1,0)+1)),"")</f>
        <v/>
      </c>
      <c r="L6" s="148">
        <f>IFERROR(LOOKUP(L1,INDEX(차트데이터!$A:$BZ,0,MATCH("QQQ",차트데이터!$1:$1,0)),INDEX(차트데이터!$A:$BZ,0,MATCH("QQQ",차트데이터!$1:$1,0)+1)),"")</f>
        <v/>
      </c>
      <c r="M6" s="148">
        <f>IFERROR(LOOKUP(M1,INDEX(차트데이터!$A:$BZ,0,MATCH("QQQ",차트데이터!$1:$1,0)),INDEX(차트데이터!$A:$BZ,0,MATCH("QQQ",차트데이터!$1:$1,0)+1)),"")</f>
        <v/>
      </c>
      <c r="N6" s="148">
        <f>IFERROR(LOOKUP(N1,INDEX(차트데이터!$A:$BZ,0,MATCH("QQQ",차트데이터!$1:$1,0)),INDEX(차트데이터!$A:$BZ,0,MATCH("QQQ",차트데이터!$1:$1,0)+1)),"")</f>
        <v/>
      </c>
      <c r="O6" s="148">
        <f>IFERROR(LOOKUP(O1,INDEX(차트데이터!$A:$BZ,0,MATCH("QQQ",차트데이터!$1:$1,0)),INDEX(차트데이터!$A:$BZ,0,MATCH("QQQ",차트데이터!$1:$1,0)+1)),"")</f>
        <v/>
      </c>
      <c r="P6" s="163">
        <f>AVERAGE(D6:O6)</f>
        <v/>
      </c>
      <c r="Q6" s="165">
        <f>B6/P6</f>
        <v/>
      </c>
      <c r="R6" s="168">
        <f>(B6/D6)-1</f>
        <v/>
      </c>
      <c r="S6" s="168">
        <f>(B6/F6)-1</f>
        <v/>
      </c>
      <c r="T6" s="168">
        <f>(B6/I6)-1</f>
        <v/>
      </c>
      <c r="U6" s="168">
        <f>(B6/O6)-1</f>
        <v/>
      </c>
      <c r="V6" s="489">
        <f>R6*12</f>
        <v/>
      </c>
      <c r="W6" s="489">
        <f>S6*4</f>
        <v/>
      </c>
      <c r="X6" s="489">
        <f>T6*2</f>
        <v/>
      </c>
      <c r="Y6" s="489">
        <f>U6*1</f>
        <v/>
      </c>
      <c r="Z6" s="180">
        <f>SUM(V6:Y6)</f>
        <v/>
      </c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50" t="n"/>
      <c r="DD6" s="50" t="n"/>
      <c r="DE6" s="50" t="n"/>
      <c r="DF6" s="50" t="n"/>
      <c r="DG6" s="50" t="n"/>
      <c r="DH6" s="50" t="n"/>
      <c r="DI6" s="50" t="n"/>
      <c r="DJ6" s="50" t="n"/>
      <c r="DK6" s="50" t="n"/>
      <c r="DL6" s="50" t="n"/>
      <c r="DM6" s="50" t="n"/>
      <c r="DN6" s="50" t="n"/>
      <c r="DO6" s="50" t="n"/>
      <c r="DP6" s="50" t="n"/>
      <c r="DQ6" s="50" t="n"/>
      <c r="DR6" s="50" t="n"/>
      <c r="DS6" s="50" t="n"/>
      <c r="DT6" s="50" t="n"/>
      <c r="DU6" s="50" t="n"/>
      <c r="DV6" s="50" t="n"/>
      <c r="DW6" s="50" t="n"/>
      <c r="DX6" s="50" t="n"/>
      <c r="DY6" s="50" t="n"/>
      <c r="DZ6" s="50" t="n"/>
      <c r="EA6" s="50" t="n"/>
      <c r="EB6" s="50" t="n"/>
      <c r="EC6" s="50" t="n"/>
      <c r="ED6" s="50" t="n"/>
      <c r="EE6" s="50" t="n"/>
      <c r="EF6" s="50" t="n"/>
      <c r="EG6" s="50" t="n"/>
      <c r="EH6" s="50" t="n"/>
      <c r="EI6" s="50" t="n"/>
      <c r="EJ6" s="50" t="n"/>
      <c r="EK6" s="50" t="n"/>
      <c r="EL6" s="50" t="n"/>
      <c r="EM6" s="50" t="n"/>
      <c r="EN6" s="50" t="n"/>
      <c r="EO6" s="50" t="n"/>
      <c r="EP6" s="50" t="n"/>
      <c r="EQ6" s="50" t="n"/>
      <c r="ER6" s="50" t="n"/>
      <c r="ES6" s="50" t="n"/>
      <c r="ET6" s="50" t="n"/>
      <c r="EU6" s="50" t="n"/>
      <c r="EV6" s="50" t="n"/>
      <c r="EW6" s="50" t="n"/>
      <c r="EX6" s="50" t="n"/>
      <c r="EY6" s="50" t="n"/>
      <c r="EZ6" s="50" t="n"/>
      <c r="FA6" s="50" t="n"/>
      <c r="FB6" s="50" t="n"/>
      <c r="FC6" s="50" t="n"/>
      <c r="FD6" s="50" t="n"/>
      <c r="FE6" s="50" t="n"/>
      <c r="FF6" s="50" t="n"/>
      <c r="FG6" s="50" t="n"/>
      <c r="FH6" s="50" t="n"/>
      <c r="FI6" s="50" t="n"/>
      <c r="FJ6" s="50" t="n"/>
      <c r="FK6" s="50" t="n"/>
      <c r="FL6" s="50" t="n"/>
      <c r="FM6" s="50" t="n"/>
      <c r="FN6" s="50" t="n"/>
      <c r="FO6" s="50" t="n"/>
      <c r="FP6" s="50" t="n"/>
      <c r="FQ6" s="50" t="n"/>
      <c r="FR6" s="50" t="n"/>
      <c r="FS6" s="50" t="n"/>
      <c r="FT6" s="50" t="n"/>
      <c r="FU6" s="50" t="n"/>
      <c r="FV6" s="50" t="n"/>
      <c r="FW6" s="50" t="n"/>
      <c r="FX6" s="50" t="n"/>
      <c r="FY6" s="50" t="n"/>
      <c r="FZ6" s="50" t="n"/>
      <c r="GA6" s="50" t="n"/>
      <c r="GB6" s="50" t="n"/>
      <c r="GC6" s="50" t="n"/>
      <c r="GD6" s="50" t="n"/>
      <c r="GE6" s="50" t="n"/>
      <c r="GF6" s="50" t="n"/>
      <c r="GG6" s="50" t="n"/>
      <c r="GH6" s="50" t="n"/>
      <c r="GI6" s="50" t="n"/>
      <c r="GJ6" s="50" t="n"/>
      <c r="GK6" s="50" t="n"/>
      <c r="GL6" s="50" t="n"/>
      <c r="GM6" s="50" t="n"/>
      <c r="GN6" s="50" t="n"/>
      <c r="GO6" s="50" t="n"/>
      <c r="GP6" s="50" t="n"/>
      <c r="GQ6" s="50" t="n"/>
      <c r="GR6" s="50" t="n"/>
      <c r="GS6" s="50" t="n"/>
      <c r="GT6" s="50" t="n"/>
      <c r="GU6" s="50" t="n"/>
      <c r="GV6" s="50" t="n"/>
      <c r="GW6" s="50" t="n"/>
      <c r="GX6" s="50" t="n"/>
      <c r="GY6" s="50" t="n"/>
      <c r="GZ6" s="50" t="n"/>
      <c r="HA6" s="50" t="n"/>
      <c r="HB6" s="50" t="n"/>
      <c r="HC6" s="50" t="n"/>
      <c r="HD6" s="50" t="n"/>
      <c r="HE6" s="50" t="n"/>
      <c r="HF6" s="50" t="n"/>
      <c r="HG6" s="50" t="n"/>
      <c r="HH6" s="50" t="n"/>
      <c r="HI6" s="50" t="n"/>
      <c r="HJ6" s="50" t="n"/>
      <c r="HK6" s="50" t="n"/>
      <c r="HL6" s="50" t="n"/>
      <c r="HM6" s="50" t="n"/>
      <c r="HN6" s="50" t="n"/>
      <c r="HO6" s="50" t="n"/>
      <c r="HP6" s="50" t="n"/>
      <c r="HQ6" s="50" t="n"/>
      <c r="HR6" s="50" t="n"/>
      <c r="HS6" s="50" t="n"/>
      <c r="HT6" s="50" t="n"/>
      <c r="HU6" s="50" t="n"/>
      <c r="HV6" s="50" t="n"/>
      <c r="HW6" s="50" t="n"/>
      <c r="HX6" s="50" t="n"/>
      <c r="HY6" s="50" t="n"/>
      <c r="HZ6" s="50" t="n"/>
      <c r="IA6" s="50" t="n"/>
      <c r="IB6" s="50" t="n"/>
      <c r="IC6" s="50" t="n"/>
      <c r="ID6" s="50" t="n"/>
      <c r="IE6" s="50" t="n"/>
      <c r="IF6" s="50" t="n"/>
      <c r="IG6" s="50" t="n"/>
      <c r="IH6" s="50" t="n"/>
      <c r="II6" s="50" t="n"/>
      <c r="IJ6" s="50" t="n"/>
      <c r="IK6" s="50" t="n"/>
      <c r="IL6" s="50" t="n"/>
      <c r="IM6" s="50" t="n"/>
      <c r="IN6" s="50" t="n"/>
      <c r="IO6" s="50" t="n"/>
      <c r="IP6" s="50" t="n"/>
      <c r="IQ6" s="50" t="n"/>
    </row>
    <row r="7" ht="13.5" customHeight="1" s="322">
      <c r="A7" s="145">
        <f>관심종목!D12</f>
        <v/>
      </c>
      <c r="B7" s="488">
        <f>관심종목!H12</f>
        <v/>
      </c>
      <c r="C7" s="148">
        <f>IFERROR(LOOKUP(C1,INDEX(차트데이터!$A:$BZ,0,MATCH("IWM",차트데이터!$1:$1,0)),INDEX(차트데이터!$A:$BZ,0,MATCH("IWM",차트데이터!$1:$1,0)+1)),"")</f>
        <v/>
      </c>
      <c r="D7" s="148">
        <f>IFERROR(LOOKUP(D1,INDEX(차트데이터!$A:$BZ,0,MATCH("IWM",차트데이터!$1:$1,0)),INDEX(차트데이터!$A:$BZ,0,MATCH("IWM",차트데이터!$1:$1,0)+1)),"")</f>
        <v/>
      </c>
      <c r="E7" s="148">
        <f>IFERROR(LOOKUP(E1,INDEX(차트데이터!$A:$BZ,0,MATCH("IWM",차트데이터!$1:$1,0)),INDEX(차트데이터!$A:$BZ,0,MATCH("IWM",차트데이터!$1:$1,0)+1)),"")</f>
        <v/>
      </c>
      <c r="F7" s="148">
        <f>IFERROR(LOOKUP(F1,INDEX(차트데이터!$A:$BZ,0,MATCH("IWM",차트데이터!$1:$1,0)),INDEX(차트데이터!$A:$BZ,0,MATCH("IWM",차트데이터!$1:$1,0)+1)),"")</f>
        <v/>
      </c>
      <c r="G7" s="148">
        <f>IFERROR(LOOKUP(G1,INDEX(차트데이터!$A:$BZ,0,MATCH("IWM",차트데이터!$1:$1,0)),INDEX(차트데이터!$A:$BZ,0,MATCH("IWM",차트데이터!$1:$1,0)+1)),"")</f>
        <v/>
      </c>
      <c r="H7" s="148">
        <f>IFERROR(LOOKUP(H1,INDEX(차트데이터!$A:$BZ,0,MATCH("IWM",차트데이터!$1:$1,0)),INDEX(차트데이터!$A:$BZ,0,MATCH("IWM",차트데이터!$1:$1,0)+1)),"")</f>
        <v/>
      </c>
      <c r="I7" s="148">
        <f>IFERROR(LOOKUP(I1,INDEX(차트데이터!$A:$BZ,0,MATCH("IWM",차트데이터!$1:$1,0)),INDEX(차트데이터!$A:$BZ,0,MATCH("IWM",차트데이터!$1:$1,0)+1)),"")</f>
        <v/>
      </c>
      <c r="J7" s="148">
        <f>IFERROR(LOOKUP(J1,INDEX(차트데이터!$A:$BZ,0,MATCH("IWM",차트데이터!$1:$1,0)),INDEX(차트데이터!$A:$BZ,0,MATCH("IWM",차트데이터!$1:$1,0)+1)),"")</f>
        <v/>
      </c>
      <c r="K7" s="148">
        <f>IFERROR(LOOKUP(K1,INDEX(차트데이터!$A:$BZ,0,MATCH("IWM",차트데이터!$1:$1,0)),INDEX(차트데이터!$A:$BZ,0,MATCH("IWM",차트데이터!$1:$1,0)+1)),"")</f>
        <v/>
      </c>
      <c r="L7" s="148">
        <f>IFERROR(LOOKUP(L1,INDEX(차트데이터!$A:$BZ,0,MATCH("IWM",차트데이터!$1:$1,0)),INDEX(차트데이터!$A:$BZ,0,MATCH("IWM",차트데이터!$1:$1,0)+1)),"")</f>
        <v/>
      </c>
      <c r="M7" s="148">
        <f>IFERROR(LOOKUP(M1,INDEX(차트데이터!$A:$BZ,0,MATCH("IWM",차트데이터!$1:$1,0)),INDEX(차트데이터!$A:$BZ,0,MATCH("IWM",차트데이터!$1:$1,0)+1)),"")</f>
        <v/>
      </c>
      <c r="N7" s="148">
        <f>IFERROR(LOOKUP(N1,INDEX(차트데이터!$A:$BZ,0,MATCH("IWM",차트데이터!$1:$1,0)),INDEX(차트데이터!$A:$BZ,0,MATCH("IWM",차트데이터!$1:$1,0)+1)),"")</f>
        <v/>
      </c>
      <c r="O7" s="148">
        <f>IFERROR(LOOKUP(O1,INDEX(차트데이터!$A:$BZ,0,MATCH("IWM",차트데이터!$1:$1,0)),INDEX(차트데이터!$A:$BZ,0,MATCH("IWM",차트데이터!$1:$1,0)+1)),"")</f>
        <v/>
      </c>
      <c r="P7" s="163">
        <f>AVERAGE(D7:O7)</f>
        <v/>
      </c>
      <c r="Q7" s="165">
        <f>B7/P7</f>
        <v/>
      </c>
      <c r="R7" s="168">
        <f>(B7/D7)-1</f>
        <v/>
      </c>
      <c r="S7" s="168">
        <f>(B7/F7)-1</f>
        <v/>
      </c>
      <c r="T7" s="168">
        <f>(B7/I7)-1</f>
        <v/>
      </c>
      <c r="U7" s="168">
        <f>(B7/O7)-1</f>
        <v/>
      </c>
      <c r="V7" s="489">
        <f>R7*12</f>
        <v/>
      </c>
      <c r="W7" s="489">
        <f>S7*4</f>
        <v/>
      </c>
      <c r="X7" s="489">
        <f>T7*2</f>
        <v/>
      </c>
      <c r="Y7" s="489">
        <f>U7*1</f>
        <v/>
      </c>
      <c r="Z7" s="180">
        <f>SUM(V7:Y7)</f>
        <v/>
      </c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  <c r="AL7" s="50" t="n"/>
      <c r="AM7" s="50" t="n"/>
      <c r="AN7" s="50" t="n"/>
      <c r="AO7" s="50" t="n"/>
      <c r="AP7" s="50" t="n"/>
      <c r="AQ7" s="50" t="n"/>
      <c r="AR7" s="50" t="n"/>
      <c r="AS7" s="50" t="n"/>
      <c r="AT7" s="50" t="n"/>
      <c r="AU7" s="50" t="n"/>
      <c r="AV7" s="50" t="n"/>
      <c r="AW7" s="50" t="n"/>
      <c r="AX7" s="50" t="n"/>
      <c r="AY7" s="50" t="n"/>
      <c r="AZ7" s="50" t="n"/>
      <c r="BA7" s="50" t="n"/>
      <c r="BB7" s="50" t="n"/>
      <c r="BC7" s="50" t="n"/>
      <c r="BD7" s="50" t="n"/>
      <c r="BE7" s="50" t="n"/>
      <c r="BF7" s="50" t="n"/>
      <c r="BG7" s="50" t="n"/>
      <c r="BH7" s="50" t="n"/>
      <c r="BI7" s="50" t="n"/>
      <c r="BJ7" s="50" t="n"/>
      <c r="BK7" s="50" t="n"/>
      <c r="BL7" s="50" t="n"/>
      <c r="BM7" s="50" t="n"/>
      <c r="BN7" s="50" t="n"/>
      <c r="BO7" s="50" t="n"/>
      <c r="BP7" s="50" t="n"/>
      <c r="BQ7" s="50" t="n"/>
      <c r="BR7" s="50" t="n"/>
      <c r="BS7" s="50" t="n"/>
      <c r="BT7" s="50" t="n"/>
      <c r="BU7" s="50" t="n"/>
      <c r="BV7" s="50" t="n"/>
      <c r="BW7" s="50" t="n"/>
      <c r="BX7" s="50" t="n"/>
      <c r="BY7" s="50" t="n"/>
      <c r="BZ7" s="50" t="n"/>
      <c r="CA7" s="50" t="n"/>
      <c r="CB7" s="50" t="n"/>
      <c r="CC7" s="50" t="n"/>
      <c r="CD7" s="50" t="n"/>
      <c r="CE7" s="50" t="n"/>
      <c r="CF7" s="50" t="n"/>
      <c r="CG7" s="50" t="n"/>
      <c r="CH7" s="50" t="n"/>
      <c r="CI7" s="50" t="n"/>
      <c r="CJ7" s="50" t="n"/>
      <c r="CK7" s="50" t="n"/>
      <c r="CL7" s="50" t="n"/>
      <c r="CM7" s="50" t="n"/>
      <c r="CN7" s="50" t="n"/>
      <c r="CO7" s="50" t="n"/>
      <c r="CP7" s="50" t="n"/>
      <c r="CQ7" s="50" t="n"/>
      <c r="CR7" s="50" t="n"/>
      <c r="CS7" s="50" t="n"/>
      <c r="CT7" s="50" t="n"/>
      <c r="CU7" s="50" t="n"/>
      <c r="CV7" s="50" t="n"/>
      <c r="CW7" s="50" t="n"/>
      <c r="CX7" s="50" t="n"/>
      <c r="CY7" s="50" t="n"/>
      <c r="CZ7" s="50" t="n"/>
      <c r="DA7" s="50" t="n"/>
      <c r="DB7" s="50" t="n"/>
      <c r="DC7" s="50" t="n"/>
      <c r="DD7" s="50" t="n"/>
      <c r="DE7" s="50" t="n"/>
      <c r="DF7" s="50" t="n"/>
      <c r="DG7" s="50" t="n"/>
      <c r="DH7" s="50" t="n"/>
      <c r="DI7" s="50" t="n"/>
      <c r="DJ7" s="50" t="n"/>
      <c r="DK7" s="50" t="n"/>
      <c r="DL7" s="50" t="n"/>
      <c r="DM7" s="50" t="n"/>
      <c r="DN7" s="50" t="n"/>
      <c r="DO7" s="50" t="n"/>
      <c r="DP7" s="50" t="n"/>
      <c r="DQ7" s="50" t="n"/>
      <c r="DR7" s="50" t="n"/>
      <c r="DS7" s="50" t="n"/>
      <c r="DT7" s="50" t="n"/>
      <c r="DU7" s="50" t="n"/>
      <c r="DV7" s="50" t="n"/>
      <c r="DW7" s="50" t="n"/>
      <c r="DX7" s="50" t="n"/>
      <c r="DY7" s="50" t="n"/>
      <c r="DZ7" s="50" t="n"/>
      <c r="EA7" s="50" t="n"/>
      <c r="EB7" s="50" t="n"/>
      <c r="EC7" s="50" t="n"/>
      <c r="ED7" s="50" t="n"/>
      <c r="EE7" s="50" t="n"/>
      <c r="EF7" s="50" t="n"/>
      <c r="EG7" s="50" t="n"/>
      <c r="EH7" s="50" t="n"/>
      <c r="EI7" s="50" t="n"/>
      <c r="EJ7" s="50" t="n"/>
      <c r="EK7" s="50" t="n"/>
      <c r="EL7" s="50" t="n"/>
      <c r="EM7" s="50" t="n"/>
      <c r="EN7" s="50" t="n"/>
      <c r="EO7" s="50" t="n"/>
      <c r="EP7" s="50" t="n"/>
      <c r="EQ7" s="50" t="n"/>
      <c r="ER7" s="50" t="n"/>
      <c r="ES7" s="50" t="n"/>
      <c r="ET7" s="50" t="n"/>
      <c r="EU7" s="50" t="n"/>
      <c r="EV7" s="50" t="n"/>
      <c r="EW7" s="50" t="n"/>
      <c r="EX7" s="50" t="n"/>
      <c r="EY7" s="50" t="n"/>
      <c r="EZ7" s="50" t="n"/>
      <c r="FA7" s="50" t="n"/>
      <c r="FB7" s="50" t="n"/>
      <c r="FC7" s="50" t="n"/>
      <c r="FD7" s="50" t="n"/>
      <c r="FE7" s="50" t="n"/>
      <c r="FF7" s="50" t="n"/>
      <c r="FG7" s="50" t="n"/>
      <c r="FH7" s="50" t="n"/>
      <c r="FI7" s="50" t="n"/>
      <c r="FJ7" s="50" t="n"/>
      <c r="FK7" s="50" t="n"/>
      <c r="FL7" s="50" t="n"/>
      <c r="FM7" s="50" t="n"/>
      <c r="FN7" s="50" t="n"/>
      <c r="FO7" s="50" t="n"/>
      <c r="FP7" s="50" t="n"/>
      <c r="FQ7" s="50" t="n"/>
      <c r="FR7" s="50" t="n"/>
      <c r="FS7" s="50" t="n"/>
      <c r="FT7" s="50" t="n"/>
      <c r="FU7" s="50" t="n"/>
      <c r="FV7" s="50" t="n"/>
      <c r="FW7" s="50" t="n"/>
      <c r="FX7" s="50" t="n"/>
      <c r="FY7" s="50" t="n"/>
      <c r="FZ7" s="50" t="n"/>
      <c r="GA7" s="50" t="n"/>
      <c r="GB7" s="50" t="n"/>
      <c r="GC7" s="50" t="n"/>
      <c r="GD7" s="50" t="n"/>
      <c r="GE7" s="50" t="n"/>
      <c r="GF7" s="50" t="n"/>
      <c r="GG7" s="50" t="n"/>
      <c r="GH7" s="50" t="n"/>
      <c r="GI7" s="50" t="n"/>
      <c r="GJ7" s="50" t="n"/>
      <c r="GK7" s="50" t="n"/>
      <c r="GL7" s="50" t="n"/>
      <c r="GM7" s="50" t="n"/>
      <c r="GN7" s="50" t="n"/>
      <c r="GO7" s="50" t="n"/>
      <c r="GP7" s="50" t="n"/>
      <c r="GQ7" s="50" t="n"/>
      <c r="GR7" s="50" t="n"/>
      <c r="GS7" s="50" t="n"/>
      <c r="GT7" s="50" t="n"/>
      <c r="GU7" s="50" t="n"/>
      <c r="GV7" s="50" t="n"/>
      <c r="GW7" s="50" t="n"/>
      <c r="GX7" s="50" t="n"/>
      <c r="GY7" s="50" t="n"/>
      <c r="GZ7" s="50" t="n"/>
      <c r="HA7" s="50" t="n"/>
      <c r="HB7" s="50" t="n"/>
      <c r="HC7" s="50" t="n"/>
      <c r="HD7" s="50" t="n"/>
      <c r="HE7" s="50" t="n"/>
      <c r="HF7" s="50" t="n"/>
      <c r="HG7" s="50" t="n"/>
      <c r="HH7" s="50" t="n"/>
      <c r="HI7" s="50" t="n"/>
      <c r="HJ7" s="50" t="n"/>
      <c r="HK7" s="50" t="n"/>
      <c r="HL7" s="50" t="n"/>
      <c r="HM7" s="50" t="n"/>
      <c r="HN7" s="50" t="n"/>
      <c r="HO7" s="50" t="n"/>
      <c r="HP7" s="50" t="n"/>
      <c r="HQ7" s="50" t="n"/>
      <c r="HR7" s="50" t="n"/>
      <c r="HS7" s="50" t="n"/>
      <c r="HT7" s="50" t="n"/>
      <c r="HU7" s="50" t="n"/>
      <c r="HV7" s="50" t="n"/>
      <c r="HW7" s="50" t="n"/>
      <c r="HX7" s="50" t="n"/>
      <c r="HY7" s="50" t="n"/>
      <c r="HZ7" s="50" t="n"/>
      <c r="IA7" s="50" t="n"/>
      <c r="IB7" s="50" t="n"/>
      <c r="IC7" s="50" t="n"/>
      <c r="ID7" s="50" t="n"/>
      <c r="IE7" s="50" t="n"/>
      <c r="IF7" s="50" t="n"/>
      <c r="IG7" s="50" t="n"/>
      <c r="IH7" s="50" t="n"/>
      <c r="II7" s="50" t="n"/>
      <c r="IJ7" s="50" t="n"/>
      <c r="IK7" s="50" t="n"/>
      <c r="IL7" s="50" t="n"/>
      <c r="IM7" s="50" t="n"/>
      <c r="IN7" s="50" t="n"/>
      <c r="IO7" s="50" t="n"/>
      <c r="IP7" s="50" t="n"/>
      <c r="IQ7" s="50" t="n"/>
    </row>
    <row r="8" ht="13.5" customHeight="1" s="322">
      <c r="A8" s="145">
        <f>관심종목!D13</f>
        <v/>
      </c>
      <c r="B8" s="488">
        <f>관심종목!H13</f>
        <v/>
      </c>
      <c r="C8" s="148">
        <f>IFERROR(LOOKUP(C1,INDEX(차트데이터!$A:$BZ,0,MATCH("VGK",차트데이터!$1:$1,0)),INDEX(차트데이터!$A:$BZ,0,MATCH("VGK",차트데이터!$1:$1,0)+1)),"")</f>
        <v/>
      </c>
      <c r="D8" s="148">
        <f>IFERROR(LOOKUP(D1,INDEX(차트데이터!$A:$BZ,0,MATCH("VGK",차트데이터!$1:$1,0)),INDEX(차트데이터!$A:$BZ,0,MATCH("VGK",차트데이터!$1:$1,0)+1)),"")</f>
        <v/>
      </c>
      <c r="E8" s="148">
        <f>IFERROR(LOOKUP(E1,INDEX(차트데이터!$A:$BZ,0,MATCH("VGK",차트데이터!$1:$1,0)),INDEX(차트데이터!$A:$BZ,0,MATCH("VGK",차트데이터!$1:$1,0)+1)),"")</f>
        <v/>
      </c>
      <c r="F8" s="148">
        <f>IFERROR(LOOKUP(F1,INDEX(차트데이터!$A:$BZ,0,MATCH("VGK",차트데이터!$1:$1,0)),INDEX(차트데이터!$A:$BZ,0,MATCH("VGK",차트데이터!$1:$1,0)+1)),"")</f>
        <v/>
      </c>
      <c r="G8" s="148">
        <f>IFERROR(LOOKUP(G1,INDEX(차트데이터!$A:$BZ,0,MATCH("VGK",차트데이터!$1:$1,0)),INDEX(차트데이터!$A:$BZ,0,MATCH("VGK",차트데이터!$1:$1,0)+1)),"")</f>
        <v/>
      </c>
      <c r="H8" s="148">
        <f>IFERROR(LOOKUP(H1,INDEX(차트데이터!$A:$BZ,0,MATCH("VGK",차트데이터!$1:$1,0)),INDEX(차트데이터!$A:$BZ,0,MATCH("VGK",차트데이터!$1:$1,0)+1)),"")</f>
        <v/>
      </c>
      <c r="I8" s="148">
        <f>IFERROR(LOOKUP(I1,INDEX(차트데이터!$A:$BZ,0,MATCH("VGK",차트데이터!$1:$1,0)),INDEX(차트데이터!$A:$BZ,0,MATCH("VGK",차트데이터!$1:$1,0)+1)),"")</f>
        <v/>
      </c>
      <c r="J8" s="148">
        <f>IFERROR(LOOKUP(J1,INDEX(차트데이터!$A:$BZ,0,MATCH("VGK",차트데이터!$1:$1,0)),INDEX(차트데이터!$A:$BZ,0,MATCH("VGK",차트데이터!$1:$1,0)+1)),"")</f>
        <v/>
      </c>
      <c r="K8" s="148">
        <f>IFERROR(LOOKUP(K1,INDEX(차트데이터!$A:$BZ,0,MATCH("VGK",차트데이터!$1:$1,0)),INDEX(차트데이터!$A:$BZ,0,MATCH("VGK",차트데이터!$1:$1,0)+1)),"")</f>
        <v/>
      </c>
      <c r="L8" s="148">
        <f>IFERROR(LOOKUP(L1,INDEX(차트데이터!$A:$BZ,0,MATCH("VGK",차트데이터!$1:$1,0)),INDEX(차트데이터!$A:$BZ,0,MATCH("VGK",차트데이터!$1:$1,0)+1)),"")</f>
        <v/>
      </c>
      <c r="M8" s="148">
        <f>IFERROR(LOOKUP(M1,INDEX(차트데이터!$A:$BZ,0,MATCH("VGK",차트데이터!$1:$1,0)),INDEX(차트데이터!$A:$BZ,0,MATCH("VGK",차트데이터!$1:$1,0)+1)),"")</f>
        <v/>
      </c>
      <c r="N8" s="148">
        <f>IFERROR(LOOKUP(N1,INDEX(차트데이터!$A:$BZ,0,MATCH("VGK",차트데이터!$1:$1,0)),INDEX(차트데이터!$A:$BZ,0,MATCH("VGK",차트데이터!$1:$1,0)+1)),"")</f>
        <v/>
      </c>
      <c r="O8" s="148">
        <f>IFERROR(LOOKUP(O1,INDEX(차트데이터!$A:$BZ,0,MATCH("VGK",차트데이터!$1:$1,0)),INDEX(차트데이터!$A:$BZ,0,MATCH("VGK",차트데이터!$1:$1,0)+1)),"")</f>
        <v/>
      </c>
      <c r="P8" s="163">
        <f>AVERAGE(D8:O8)</f>
        <v/>
      </c>
      <c r="Q8" s="165">
        <f>B8/P8</f>
        <v/>
      </c>
      <c r="R8" s="168">
        <f>(B8/D8)-1</f>
        <v/>
      </c>
      <c r="S8" s="168">
        <f>(B8/F8)-1</f>
        <v/>
      </c>
      <c r="T8" s="168">
        <f>(B8/I8)-1</f>
        <v/>
      </c>
      <c r="U8" s="168">
        <f>(B8/O8)-1</f>
        <v/>
      </c>
      <c r="V8" s="489">
        <f>R8*12</f>
        <v/>
      </c>
      <c r="W8" s="489">
        <f>S8*4</f>
        <v/>
      </c>
      <c r="X8" s="489">
        <f>T8*2</f>
        <v/>
      </c>
      <c r="Y8" s="489">
        <f>U8*1</f>
        <v/>
      </c>
      <c r="Z8" s="180">
        <f>SUM(V8:Y8)</f>
        <v/>
      </c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50" t="n"/>
      <c r="BE8" s="50" t="n"/>
      <c r="BF8" s="50" t="n"/>
      <c r="BG8" s="50" t="n"/>
      <c r="BH8" s="50" t="n"/>
      <c r="BI8" s="50" t="n"/>
      <c r="BJ8" s="50" t="n"/>
      <c r="BK8" s="50" t="n"/>
      <c r="BL8" s="50" t="n"/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  <c r="BW8" s="50" t="n"/>
      <c r="BX8" s="50" t="n"/>
      <c r="BY8" s="50" t="n"/>
      <c r="BZ8" s="50" t="n"/>
      <c r="CA8" s="50" t="n"/>
      <c r="CB8" s="50" t="n"/>
      <c r="CC8" s="50" t="n"/>
      <c r="CD8" s="50" t="n"/>
      <c r="CE8" s="50" t="n"/>
      <c r="CF8" s="50" t="n"/>
      <c r="CG8" s="50" t="n"/>
      <c r="CH8" s="50" t="n"/>
      <c r="CI8" s="50" t="n"/>
      <c r="CJ8" s="50" t="n"/>
      <c r="CK8" s="50" t="n"/>
      <c r="CL8" s="50" t="n"/>
      <c r="CM8" s="50" t="n"/>
      <c r="CN8" s="50" t="n"/>
      <c r="CO8" s="50" t="n"/>
      <c r="CP8" s="50" t="n"/>
      <c r="CQ8" s="50" t="n"/>
      <c r="CR8" s="50" t="n"/>
      <c r="CS8" s="50" t="n"/>
      <c r="CT8" s="50" t="n"/>
      <c r="CU8" s="50" t="n"/>
      <c r="CV8" s="50" t="n"/>
      <c r="CW8" s="50" t="n"/>
      <c r="CX8" s="50" t="n"/>
      <c r="CY8" s="50" t="n"/>
      <c r="CZ8" s="50" t="n"/>
      <c r="DA8" s="50" t="n"/>
      <c r="DB8" s="50" t="n"/>
      <c r="DC8" s="50" t="n"/>
      <c r="DD8" s="50" t="n"/>
      <c r="DE8" s="50" t="n"/>
      <c r="DF8" s="50" t="n"/>
      <c r="DG8" s="50" t="n"/>
      <c r="DH8" s="50" t="n"/>
      <c r="DI8" s="50" t="n"/>
      <c r="DJ8" s="50" t="n"/>
      <c r="DK8" s="50" t="n"/>
      <c r="DL8" s="50" t="n"/>
      <c r="DM8" s="50" t="n"/>
      <c r="DN8" s="50" t="n"/>
      <c r="DO8" s="50" t="n"/>
      <c r="DP8" s="50" t="n"/>
      <c r="DQ8" s="50" t="n"/>
      <c r="DR8" s="50" t="n"/>
      <c r="DS8" s="50" t="n"/>
      <c r="DT8" s="50" t="n"/>
      <c r="DU8" s="50" t="n"/>
      <c r="DV8" s="50" t="n"/>
      <c r="DW8" s="50" t="n"/>
      <c r="DX8" s="50" t="n"/>
      <c r="DY8" s="50" t="n"/>
      <c r="DZ8" s="50" t="n"/>
      <c r="EA8" s="50" t="n"/>
      <c r="EB8" s="50" t="n"/>
      <c r="EC8" s="50" t="n"/>
      <c r="ED8" s="50" t="n"/>
      <c r="EE8" s="50" t="n"/>
      <c r="EF8" s="50" t="n"/>
      <c r="EG8" s="50" t="n"/>
      <c r="EH8" s="50" t="n"/>
      <c r="EI8" s="50" t="n"/>
      <c r="EJ8" s="50" t="n"/>
      <c r="EK8" s="50" t="n"/>
      <c r="EL8" s="50" t="n"/>
      <c r="EM8" s="50" t="n"/>
      <c r="EN8" s="50" t="n"/>
      <c r="EO8" s="50" t="n"/>
      <c r="EP8" s="50" t="n"/>
      <c r="EQ8" s="50" t="n"/>
      <c r="ER8" s="50" t="n"/>
      <c r="ES8" s="50" t="n"/>
      <c r="ET8" s="50" t="n"/>
      <c r="EU8" s="50" t="n"/>
      <c r="EV8" s="50" t="n"/>
      <c r="EW8" s="50" t="n"/>
      <c r="EX8" s="50" t="n"/>
      <c r="EY8" s="50" t="n"/>
      <c r="EZ8" s="50" t="n"/>
      <c r="FA8" s="50" t="n"/>
      <c r="FB8" s="50" t="n"/>
      <c r="FC8" s="50" t="n"/>
      <c r="FD8" s="50" t="n"/>
      <c r="FE8" s="50" t="n"/>
      <c r="FF8" s="50" t="n"/>
      <c r="FG8" s="50" t="n"/>
      <c r="FH8" s="50" t="n"/>
      <c r="FI8" s="50" t="n"/>
      <c r="FJ8" s="50" t="n"/>
      <c r="FK8" s="50" t="n"/>
      <c r="FL8" s="50" t="n"/>
      <c r="FM8" s="50" t="n"/>
      <c r="FN8" s="50" t="n"/>
      <c r="FO8" s="50" t="n"/>
      <c r="FP8" s="50" t="n"/>
      <c r="FQ8" s="50" t="n"/>
      <c r="FR8" s="50" t="n"/>
      <c r="FS8" s="50" t="n"/>
      <c r="FT8" s="50" t="n"/>
      <c r="FU8" s="50" t="n"/>
      <c r="FV8" s="50" t="n"/>
      <c r="FW8" s="50" t="n"/>
      <c r="FX8" s="50" t="n"/>
      <c r="FY8" s="50" t="n"/>
      <c r="FZ8" s="50" t="n"/>
      <c r="GA8" s="50" t="n"/>
      <c r="GB8" s="50" t="n"/>
      <c r="GC8" s="50" t="n"/>
      <c r="GD8" s="50" t="n"/>
      <c r="GE8" s="50" t="n"/>
      <c r="GF8" s="50" t="n"/>
      <c r="GG8" s="50" t="n"/>
      <c r="GH8" s="50" t="n"/>
      <c r="GI8" s="50" t="n"/>
      <c r="GJ8" s="50" t="n"/>
      <c r="GK8" s="50" t="n"/>
      <c r="GL8" s="50" t="n"/>
      <c r="GM8" s="50" t="n"/>
      <c r="GN8" s="50" t="n"/>
      <c r="GO8" s="50" t="n"/>
      <c r="GP8" s="50" t="n"/>
      <c r="GQ8" s="50" t="n"/>
      <c r="GR8" s="50" t="n"/>
      <c r="GS8" s="50" t="n"/>
      <c r="GT8" s="50" t="n"/>
      <c r="GU8" s="50" t="n"/>
      <c r="GV8" s="50" t="n"/>
      <c r="GW8" s="50" t="n"/>
      <c r="GX8" s="50" t="n"/>
      <c r="GY8" s="50" t="n"/>
      <c r="GZ8" s="50" t="n"/>
      <c r="HA8" s="50" t="n"/>
      <c r="HB8" s="50" t="n"/>
      <c r="HC8" s="50" t="n"/>
      <c r="HD8" s="50" t="n"/>
      <c r="HE8" s="50" t="n"/>
      <c r="HF8" s="50" t="n"/>
      <c r="HG8" s="50" t="n"/>
      <c r="HH8" s="50" t="n"/>
      <c r="HI8" s="50" t="n"/>
      <c r="HJ8" s="50" t="n"/>
      <c r="HK8" s="50" t="n"/>
      <c r="HL8" s="50" t="n"/>
      <c r="HM8" s="50" t="n"/>
      <c r="HN8" s="50" t="n"/>
      <c r="HO8" s="50" t="n"/>
      <c r="HP8" s="50" t="n"/>
      <c r="HQ8" s="50" t="n"/>
      <c r="HR8" s="50" t="n"/>
      <c r="HS8" s="50" t="n"/>
      <c r="HT8" s="50" t="n"/>
      <c r="HU8" s="50" t="n"/>
      <c r="HV8" s="50" t="n"/>
      <c r="HW8" s="50" t="n"/>
      <c r="HX8" s="50" t="n"/>
      <c r="HY8" s="50" t="n"/>
      <c r="HZ8" s="50" t="n"/>
      <c r="IA8" s="50" t="n"/>
      <c r="IB8" s="50" t="n"/>
      <c r="IC8" s="50" t="n"/>
      <c r="ID8" s="50" t="n"/>
      <c r="IE8" s="50" t="n"/>
      <c r="IF8" s="50" t="n"/>
      <c r="IG8" s="50" t="n"/>
      <c r="IH8" s="50" t="n"/>
      <c r="II8" s="50" t="n"/>
      <c r="IJ8" s="50" t="n"/>
      <c r="IK8" s="50" t="n"/>
      <c r="IL8" s="50" t="n"/>
      <c r="IM8" s="50" t="n"/>
      <c r="IN8" s="50" t="n"/>
      <c r="IO8" s="50" t="n"/>
      <c r="IP8" s="50" t="n"/>
      <c r="IQ8" s="50" t="n"/>
    </row>
    <row r="9" ht="13.5" customHeight="1" s="322">
      <c r="A9" s="145">
        <f>관심종목!D14</f>
        <v/>
      </c>
      <c r="B9" s="488">
        <f>관심종목!H14</f>
        <v/>
      </c>
      <c r="C9" s="148">
        <f>IFERROR(LOOKUP(C1,INDEX(차트데이터!$A:$BZ,0,MATCH("EWJ",차트데이터!$1:$1,0)),INDEX(차트데이터!$A:$BZ,0,MATCH("EWJ",차트데이터!$1:$1,0)+1)),"")</f>
        <v/>
      </c>
      <c r="D9" s="148">
        <f>IFERROR(LOOKUP(D1,INDEX(차트데이터!$A:$BZ,0,MATCH("EWJ",차트데이터!$1:$1,0)),INDEX(차트데이터!$A:$BZ,0,MATCH("EWJ",차트데이터!$1:$1,0)+1)),"")</f>
        <v/>
      </c>
      <c r="E9" s="148">
        <f>IFERROR(LOOKUP(E1,INDEX(차트데이터!$A:$BZ,0,MATCH("EWJ",차트데이터!$1:$1,0)),INDEX(차트데이터!$A:$BZ,0,MATCH("EWJ",차트데이터!$1:$1,0)+1)),"")</f>
        <v/>
      </c>
      <c r="F9" s="148">
        <f>IFERROR(LOOKUP(F1,INDEX(차트데이터!$A:$BZ,0,MATCH("EWJ",차트데이터!$1:$1,0)),INDEX(차트데이터!$A:$BZ,0,MATCH("EWJ",차트데이터!$1:$1,0)+1)),"")</f>
        <v/>
      </c>
      <c r="G9" s="148">
        <f>IFERROR(LOOKUP(G1,INDEX(차트데이터!$A:$BZ,0,MATCH("EWJ",차트데이터!$1:$1,0)),INDEX(차트데이터!$A:$BZ,0,MATCH("EWJ",차트데이터!$1:$1,0)+1)),"")</f>
        <v/>
      </c>
      <c r="H9" s="148">
        <f>IFERROR(LOOKUP(H1,INDEX(차트데이터!$A:$BZ,0,MATCH("EWJ",차트데이터!$1:$1,0)),INDEX(차트데이터!$A:$BZ,0,MATCH("EWJ",차트데이터!$1:$1,0)+1)),"")</f>
        <v/>
      </c>
      <c r="I9" s="148">
        <f>IFERROR(LOOKUP(I1,INDEX(차트데이터!$A:$BZ,0,MATCH("EWJ",차트데이터!$1:$1,0)),INDEX(차트데이터!$A:$BZ,0,MATCH("EWJ",차트데이터!$1:$1,0)+1)),"")</f>
        <v/>
      </c>
      <c r="J9" s="148">
        <f>IFERROR(LOOKUP(J1,INDEX(차트데이터!$A:$BZ,0,MATCH("EWJ",차트데이터!$1:$1,0)),INDEX(차트데이터!$A:$BZ,0,MATCH("EWJ",차트데이터!$1:$1,0)+1)),"")</f>
        <v/>
      </c>
      <c r="K9" s="148">
        <f>IFERROR(LOOKUP(K1,INDEX(차트데이터!$A:$BZ,0,MATCH("EWJ",차트데이터!$1:$1,0)),INDEX(차트데이터!$A:$BZ,0,MATCH("EWJ",차트데이터!$1:$1,0)+1)),"")</f>
        <v/>
      </c>
      <c r="L9" s="148">
        <f>IFERROR(LOOKUP(L1,INDEX(차트데이터!$A:$BZ,0,MATCH("EWJ",차트데이터!$1:$1,0)),INDEX(차트데이터!$A:$BZ,0,MATCH("EWJ",차트데이터!$1:$1,0)+1)),"")</f>
        <v/>
      </c>
      <c r="M9" s="148">
        <f>IFERROR(LOOKUP(M1,INDEX(차트데이터!$A:$BZ,0,MATCH("EWJ",차트데이터!$1:$1,0)),INDEX(차트데이터!$A:$BZ,0,MATCH("EWJ",차트데이터!$1:$1,0)+1)),"")</f>
        <v/>
      </c>
      <c r="N9" s="148">
        <f>IFERROR(LOOKUP(N1,INDEX(차트데이터!$A:$BZ,0,MATCH("EWJ",차트데이터!$1:$1,0)),INDEX(차트데이터!$A:$BZ,0,MATCH("EWJ",차트데이터!$1:$1,0)+1)),"")</f>
        <v/>
      </c>
      <c r="O9" s="148">
        <f>IFERROR(LOOKUP(O1,INDEX(차트데이터!$A:$BZ,0,MATCH("EWJ",차트데이터!$1:$1,0)),INDEX(차트데이터!$A:$BZ,0,MATCH("EWJ",차트데이터!$1:$1,0)+1)),"")</f>
        <v/>
      </c>
      <c r="P9" s="163">
        <f>AVERAGE(D9:O9)</f>
        <v/>
      </c>
      <c r="Q9" s="165">
        <f>B9/P9</f>
        <v/>
      </c>
      <c r="R9" s="168">
        <f>(B9/D9)-1</f>
        <v/>
      </c>
      <c r="S9" s="168">
        <f>(B9/F9)-1</f>
        <v/>
      </c>
      <c r="T9" s="168">
        <f>(B9/I9)-1</f>
        <v/>
      </c>
      <c r="U9" s="168">
        <f>(B9/O9)-1</f>
        <v/>
      </c>
      <c r="V9" s="489">
        <f>R9*12</f>
        <v/>
      </c>
      <c r="W9" s="489">
        <f>S9*4</f>
        <v/>
      </c>
      <c r="X9" s="489">
        <f>T9*2</f>
        <v/>
      </c>
      <c r="Y9" s="489">
        <f>U9*1</f>
        <v/>
      </c>
      <c r="Z9" s="180">
        <f>SUM(V9:Y9)</f>
        <v/>
      </c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  <c r="AN9" s="50" t="n"/>
      <c r="AO9" s="50" t="n"/>
      <c r="AP9" s="50" t="n"/>
      <c r="AQ9" s="50" t="n"/>
      <c r="AR9" s="50" t="n"/>
      <c r="AS9" s="50" t="n"/>
      <c r="AT9" s="50" t="n"/>
      <c r="AU9" s="50" t="n"/>
      <c r="AV9" s="50" t="n"/>
      <c r="AW9" s="50" t="n"/>
      <c r="AX9" s="50" t="n"/>
      <c r="AY9" s="50" t="n"/>
      <c r="AZ9" s="50" t="n"/>
      <c r="BA9" s="50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0" t="n"/>
      <c r="BP9" s="50" t="n"/>
      <c r="BQ9" s="50" t="n"/>
      <c r="BR9" s="50" t="n"/>
      <c r="BS9" s="50" t="n"/>
      <c r="BT9" s="50" t="n"/>
      <c r="BU9" s="50" t="n"/>
      <c r="BV9" s="50" t="n"/>
      <c r="BW9" s="50" t="n"/>
      <c r="BX9" s="50" t="n"/>
      <c r="BY9" s="50" t="n"/>
      <c r="BZ9" s="50" t="n"/>
      <c r="CA9" s="50" t="n"/>
      <c r="CB9" s="50" t="n"/>
      <c r="CC9" s="50" t="n"/>
      <c r="CD9" s="50" t="n"/>
      <c r="CE9" s="50" t="n"/>
      <c r="CF9" s="50" t="n"/>
      <c r="CG9" s="50" t="n"/>
      <c r="CH9" s="50" t="n"/>
      <c r="CI9" s="50" t="n"/>
      <c r="CJ9" s="50" t="n"/>
      <c r="CK9" s="50" t="n"/>
      <c r="CL9" s="50" t="n"/>
      <c r="CM9" s="50" t="n"/>
      <c r="CN9" s="50" t="n"/>
      <c r="CO9" s="50" t="n"/>
      <c r="CP9" s="50" t="n"/>
      <c r="CQ9" s="50" t="n"/>
      <c r="CR9" s="50" t="n"/>
      <c r="CS9" s="50" t="n"/>
      <c r="CT9" s="50" t="n"/>
      <c r="CU9" s="50" t="n"/>
      <c r="CV9" s="50" t="n"/>
      <c r="CW9" s="50" t="n"/>
      <c r="CX9" s="50" t="n"/>
      <c r="CY9" s="50" t="n"/>
      <c r="CZ9" s="50" t="n"/>
      <c r="DA9" s="50" t="n"/>
      <c r="DB9" s="50" t="n"/>
      <c r="DC9" s="50" t="n"/>
      <c r="DD9" s="50" t="n"/>
      <c r="DE9" s="50" t="n"/>
      <c r="DF9" s="50" t="n"/>
      <c r="DG9" s="50" t="n"/>
      <c r="DH9" s="50" t="n"/>
      <c r="DI9" s="50" t="n"/>
      <c r="DJ9" s="50" t="n"/>
      <c r="DK9" s="50" t="n"/>
      <c r="DL9" s="50" t="n"/>
      <c r="DM9" s="50" t="n"/>
      <c r="DN9" s="50" t="n"/>
      <c r="DO9" s="50" t="n"/>
      <c r="DP9" s="50" t="n"/>
      <c r="DQ9" s="50" t="n"/>
      <c r="DR9" s="50" t="n"/>
      <c r="DS9" s="50" t="n"/>
      <c r="DT9" s="50" t="n"/>
      <c r="DU9" s="50" t="n"/>
      <c r="DV9" s="50" t="n"/>
      <c r="DW9" s="50" t="n"/>
      <c r="DX9" s="50" t="n"/>
      <c r="DY9" s="50" t="n"/>
      <c r="DZ9" s="50" t="n"/>
      <c r="EA9" s="50" t="n"/>
      <c r="EB9" s="50" t="n"/>
      <c r="EC9" s="50" t="n"/>
      <c r="ED9" s="50" t="n"/>
      <c r="EE9" s="50" t="n"/>
      <c r="EF9" s="50" t="n"/>
      <c r="EG9" s="50" t="n"/>
      <c r="EH9" s="50" t="n"/>
      <c r="EI9" s="50" t="n"/>
      <c r="EJ9" s="50" t="n"/>
      <c r="EK9" s="50" t="n"/>
      <c r="EL9" s="50" t="n"/>
      <c r="EM9" s="50" t="n"/>
      <c r="EN9" s="50" t="n"/>
      <c r="EO9" s="50" t="n"/>
      <c r="EP9" s="50" t="n"/>
      <c r="EQ9" s="50" t="n"/>
      <c r="ER9" s="50" t="n"/>
      <c r="ES9" s="50" t="n"/>
      <c r="ET9" s="50" t="n"/>
      <c r="EU9" s="50" t="n"/>
      <c r="EV9" s="50" t="n"/>
      <c r="EW9" s="50" t="n"/>
      <c r="EX9" s="50" t="n"/>
      <c r="EY9" s="50" t="n"/>
      <c r="EZ9" s="50" t="n"/>
      <c r="FA9" s="50" t="n"/>
      <c r="FB9" s="50" t="n"/>
      <c r="FC9" s="50" t="n"/>
      <c r="FD9" s="50" t="n"/>
      <c r="FE9" s="50" t="n"/>
      <c r="FF9" s="50" t="n"/>
      <c r="FG9" s="50" t="n"/>
      <c r="FH9" s="50" t="n"/>
      <c r="FI9" s="50" t="n"/>
      <c r="FJ9" s="50" t="n"/>
      <c r="FK9" s="50" t="n"/>
      <c r="FL9" s="50" t="n"/>
      <c r="FM9" s="50" t="n"/>
      <c r="FN9" s="50" t="n"/>
      <c r="FO9" s="50" t="n"/>
      <c r="FP9" s="50" t="n"/>
      <c r="FQ9" s="50" t="n"/>
      <c r="FR9" s="50" t="n"/>
      <c r="FS9" s="50" t="n"/>
      <c r="FT9" s="50" t="n"/>
      <c r="FU9" s="50" t="n"/>
      <c r="FV9" s="50" t="n"/>
      <c r="FW9" s="50" t="n"/>
      <c r="FX9" s="50" t="n"/>
      <c r="FY9" s="50" t="n"/>
      <c r="FZ9" s="50" t="n"/>
      <c r="GA9" s="50" t="n"/>
      <c r="GB9" s="50" t="n"/>
      <c r="GC9" s="50" t="n"/>
      <c r="GD9" s="50" t="n"/>
      <c r="GE9" s="50" t="n"/>
      <c r="GF9" s="50" t="n"/>
      <c r="GG9" s="50" t="n"/>
      <c r="GH9" s="50" t="n"/>
      <c r="GI9" s="50" t="n"/>
      <c r="GJ9" s="50" t="n"/>
      <c r="GK9" s="50" t="n"/>
      <c r="GL9" s="50" t="n"/>
      <c r="GM9" s="50" t="n"/>
      <c r="GN9" s="50" t="n"/>
      <c r="GO9" s="50" t="n"/>
      <c r="GP9" s="50" t="n"/>
      <c r="GQ9" s="50" t="n"/>
      <c r="GR9" s="50" t="n"/>
      <c r="GS9" s="50" t="n"/>
      <c r="GT9" s="50" t="n"/>
      <c r="GU9" s="50" t="n"/>
      <c r="GV9" s="50" t="n"/>
      <c r="GW9" s="50" t="n"/>
      <c r="GX9" s="50" t="n"/>
      <c r="GY9" s="50" t="n"/>
      <c r="GZ9" s="50" t="n"/>
      <c r="HA9" s="50" t="n"/>
      <c r="HB9" s="50" t="n"/>
      <c r="HC9" s="50" t="n"/>
      <c r="HD9" s="50" t="n"/>
      <c r="HE9" s="50" t="n"/>
      <c r="HF9" s="50" t="n"/>
      <c r="HG9" s="50" t="n"/>
      <c r="HH9" s="50" t="n"/>
      <c r="HI9" s="50" t="n"/>
      <c r="HJ9" s="50" t="n"/>
      <c r="HK9" s="50" t="n"/>
      <c r="HL9" s="50" t="n"/>
      <c r="HM9" s="50" t="n"/>
      <c r="HN9" s="50" t="n"/>
      <c r="HO9" s="50" t="n"/>
      <c r="HP9" s="50" t="n"/>
      <c r="HQ9" s="50" t="n"/>
      <c r="HR9" s="50" t="n"/>
      <c r="HS9" s="50" t="n"/>
      <c r="HT9" s="50" t="n"/>
      <c r="HU9" s="50" t="n"/>
      <c r="HV9" s="50" t="n"/>
      <c r="HW9" s="50" t="n"/>
      <c r="HX9" s="50" t="n"/>
      <c r="HY9" s="50" t="n"/>
      <c r="HZ9" s="50" t="n"/>
      <c r="IA9" s="50" t="n"/>
      <c r="IB9" s="50" t="n"/>
      <c r="IC9" s="50" t="n"/>
      <c r="ID9" s="50" t="n"/>
      <c r="IE9" s="50" t="n"/>
      <c r="IF9" s="50" t="n"/>
      <c r="IG9" s="50" t="n"/>
      <c r="IH9" s="50" t="n"/>
      <c r="II9" s="50" t="n"/>
      <c r="IJ9" s="50" t="n"/>
      <c r="IK9" s="50" t="n"/>
      <c r="IL9" s="50" t="n"/>
      <c r="IM9" s="50" t="n"/>
      <c r="IN9" s="50" t="n"/>
      <c r="IO9" s="50" t="n"/>
      <c r="IP9" s="50" t="n"/>
      <c r="IQ9" s="50" t="n"/>
    </row>
    <row r="10" ht="13.5" customHeight="1" s="322">
      <c r="A10" s="145">
        <f>관심종목!D15</f>
        <v/>
      </c>
      <c r="B10" s="488">
        <f>관심종목!H15</f>
        <v/>
      </c>
      <c r="C10" s="148">
        <f>IFERROR(LOOKUP(C1,INDEX(차트데이터!$A:$BZ,0,MATCH("VWO",차트데이터!$1:$1,0)),INDEX(차트데이터!$A:$BZ,0,MATCH("VWO",차트데이터!$1:$1,0)+1)),"")</f>
        <v/>
      </c>
      <c r="D10" s="148">
        <f>IFERROR(LOOKUP(D1,INDEX(차트데이터!$A:$BZ,0,MATCH("VWO",차트데이터!$1:$1,0)),INDEX(차트데이터!$A:$BZ,0,MATCH("VWO",차트데이터!$1:$1,0)+1)),"")</f>
        <v/>
      </c>
      <c r="E10" s="148">
        <f>IFERROR(LOOKUP(E1,INDEX(차트데이터!$A:$BZ,0,MATCH("VWO",차트데이터!$1:$1,0)),INDEX(차트데이터!$A:$BZ,0,MATCH("VWO",차트데이터!$1:$1,0)+1)),"")</f>
        <v/>
      </c>
      <c r="F10" s="148">
        <f>IFERROR(LOOKUP(F1,INDEX(차트데이터!$A:$BZ,0,MATCH("VWO",차트데이터!$1:$1,0)),INDEX(차트데이터!$A:$BZ,0,MATCH("VWO",차트데이터!$1:$1,0)+1)),"")</f>
        <v/>
      </c>
      <c r="G10" s="148">
        <f>IFERROR(LOOKUP(G1,INDEX(차트데이터!$A:$BZ,0,MATCH("VWO",차트데이터!$1:$1,0)),INDEX(차트데이터!$A:$BZ,0,MATCH("VWO",차트데이터!$1:$1,0)+1)),"")</f>
        <v/>
      </c>
      <c r="H10" s="148">
        <f>IFERROR(LOOKUP(H1,INDEX(차트데이터!$A:$BZ,0,MATCH("VWO",차트데이터!$1:$1,0)),INDEX(차트데이터!$A:$BZ,0,MATCH("VWO",차트데이터!$1:$1,0)+1)),"")</f>
        <v/>
      </c>
      <c r="I10" s="148">
        <f>IFERROR(LOOKUP(I1,INDEX(차트데이터!$A:$BZ,0,MATCH("VWO",차트데이터!$1:$1,0)),INDEX(차트데이터!$A:$BZ,0,MATCH("VWO",차트데이터!$1:$1,0)+1)),"")</f>
        <v/>
      </c>
      <c r="J10" s="148">
        <f>IFERROR(LOOKUP(J1,INDEX(차트데이터!$A:$BZ,0,MATCH("VWO",차트데이터!$1:$1,0)),INDEX(차트데이터!$A:$BZ,0,MATCH("VWO",차트데이터!$1:$1,0)+1)),"")</f>
        <v/>
      </c>
      <c r="K10" s="148">
        <f>IFERROR(LOOKUP(K1,INDEX(차트데이터!$A:$BZ,0,MATCH("VWO",차트데이터!$1:$1,0)),INDEX(차트데이터!$A:$BZ,0,MATCH("VWO",차트데이터!$1:$1,0)+1)),"")</f>
        <v/>
      </c>
      <c r="L10" s="148">
        <f>IFERROR(LOOKUP(L1,INDEX(차트데이터!$A:$BZ,0,MATCH("VWO",차트데이터!$1:$1,0)),INDEX(차트데이터!$A:$BZ,0,MATCH("VWO",차트데이터!$1:$1,0)+1)),"")</f>
        <v/>
      </c>
      <c r="M10" s="148">
        <f>IFERROR(LOOKUP(M1,INDEX(차트데이터!$A:$BZ,0,MATCH("VWO",차트데이터!$1:$1,0)),INDEX(차트데이터!$A:$BZ,0,MATCH("VWO",차트데이터!$1:$1,0)+1)),"")</f>
        <v/>
      </c>
      <c r="N10" s="148">
        <f>IFERROR(LOOKUP(N1,INDEX(차트데이터!$A:$BZ,0,MATCH("VWO",차트데이터!$1:$1,0)),INDEX(차트데이터!$A:$BZ,0,MATCH("VWO",차트데이터!$1:$1,0)+1)),"")</f>
        <v/>
      </c>
      <c r="O10" s="148">
        <f>IFERROR(LOOKUP(O1,INDEX(차트데이터!$A:$BZ,0,MATCH("VWO",차트데이터!$1:$1,0)),INDEX(차트데이터!$A:$BZ,0,MATCH("VWO",차트데이터!$1:$1,0)+1)),"")</f>
        <v/>
      </c>
      <c r="P10" s="163">
        <f>AVERAGE(D10:O10)</f>
        <v/>
      </c>
      <c r="Q10" s="165">
        <f>B10/P10</f>
        <v/>
      </c>
      <c r="R10" s="168">
        <f>(B10/D10)-1</f>
        <v/>
      </c>
      <c r="S10" s="168">
        <f>(B10/F10)-1</f>
        <v/>
      </c>
      <c r="T10" s="168">
        <f>(B10/I10)-1</f>
        <v/>
      </c>
      <c r="U10" s="168">
        <f>(B10/O10)-1</f>
        <v/>
      </c>
      <c r="V10" s="489">
        <f>R10*12</f>
        <v/>
      </c>
      <c r="W10" s="489">
        <f>S10*4</f>
        <v/>
      </c>
      <c r="X10" s="489">
        <f>T10*2</f>
        <v/>
      </c>
      <c r="Y10" s="489">
        <f>U10*1</f>
        <v/>
      </c>
      <c r="Z10" s="180">
        <f>SUM(V10:Y10)</f>
        <v/>
      </c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0" t="n"/>
      <c r="AK10" s="50" t="n"/>
      <c r="AL10" s="50" t="n"/>
      <c r="AM10" s="50" t="n"/>
      <c r="AN10" s="50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0" t="n"/>
      <c r="AX10" s="50" t="n"/>
      <c r="AY10" s="50" t="n"/>
      <c r="AZ10" s="50" t="n"/>
      <c r="BA10" s="50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  <c r="BW10" s="50" t="n"/>
      <c r="BX10" s="50" t="n"/>
      <c r="BY10" s="50" t="n"/>
      <c r="BZ10" s="50" t="n"/>
      <c r="CA10" s="50" t="n"/>
      <c r="CB10" s="50" t="n"/>
      <c r="CC10" s="50" t="n"/>
      <c r="CD10" s="50" t="n"/>
      <c r="CE10" s="50" t="n"/>
      <c r="CF10" s="50" t="n"/>
      <c r="CG10" s="50" t="n"/>
      <c r="CH10" s="50" t="n"/>
      <c r="CI10" s="50" t="n"/>
      <c r="CJ10" s="50" t="n"/>
      <c r="CK10" s="50" t="n"/>
      <c r="CL10" s="50" t="n"/>
      <c r="CM10" s="50" t="n"/>
      <c r="CN10" s="50" t="n"/>
      <c r="CO10" s="50" t="n"/>
      <c r="CP10" s="50" t="n"/>
      <c r="CQ10" s="50" t="n"/>
      <c r="CR10" s="50" t="n"/>
      <c r="CS10" s="50" t="n"/>
      <c r="CT10" s="50" t="n"/>
      <c r="CU10" s="50" t="n"/>
      <c r="CV10" s="50" t="n"/>
      <c r="CW10" s="50" t="n"/>
      <c r="CX10" s="50" t="n"/>
      <c r="CY10" s="50" t="n"/>
      <c r="CZ10" s="50" t="n"/>
      <c r="DA10" s="50" t="n"/>
      <c r="DB10" s="50" t="n"/>
      <c r="DC10" s="50" t="n"/>
      <c r="DD10" s="50" t="n"/>
      <c r="DE10" s="50" t="n"/>
      <c r="DF10" s="50" t="n"/>
      <c r="DG10" s="50" t="n"/>
      <c r="DH10" s="50" t="n"/>
      <c r="DI10" s="50" t="n"/>
      <c r="DJ10" s="50" t="n"/>
      <c r="DK10" s="50" t="n"/>
      <c r="DL10" s="50" t="n"/>
      <c r="DM10" s="50" t="n"/>
      <c r="DN10" s="50" t="n"/>
      <c r="DO10" s="50" t="n"/>
      <c r="DP10" s="50" t="n"/>
      <c r="DQ10" s="50" t="n"/>
      <c r="DR10" s="50" t="n"/>
      <c r="DS10" s="50" t="n"/>
      <c r="DT10" s="50" t="n"/>
      <c r="DU10" s="50" t="n"/>
      <c r="DV10" s="50" t="n"/>
      <c r="DW10" s="50" t="n"/>
      <c r="DX10" s="50" t="n"/>
      <c r="DY10" s="50" t="n"/>
      <c r="DZ10" s="50" t="n"/>
      <c r="EA10" s="50" t="n"/>
      <c r="EB10" s="50" t="n"/>
      <c r="EC10" s="50" t="n"/>
      <c r="ED10" s="50" t="n"/>
      <c r="EE10" s="50" t="n"/>
      <c r="EF10" s="50" t="n"/>
      <c r="EG10" s="50" t="n"/>
      <c r="EH10" s="50" t="n"/>
      <c r="EI10" s="50" t="n"/>
      <c r="EJ10" s="50" t="n"/>
      <c r="EK10" s="50" t="n"/>
      <c r="EL10" s="50" t="n"/>
      <c r="EM10" s="50" t="n"/>
      <c r="EN10" s="50" t="n"/>
      <c r="EO10" s="50" t="n"/>
      <c r="EP10" s="50" t="n"/>
      <c r="EQ10" s="50" t="n"/>
      <c r="ER10" s="50" t="n"/>
      <c r="ES10" s="50" t="n"/>
      <c r="ET10" s="50" t="n"/>
      <c r="EU10" s="50" t="n"/>
      <c r="EV10" s="50" t="n"/>
      <c r="EW10" s="50" t="n"/>
      <c r="EX10" s="50" t="n"/>
      <c r="EY10" s="50" t="n"/>
      <c r="EZ10" s="50" t="n"/>
      <c r="FA10" s="50" t="n"/>
      <c r="FB10" s="50" t="n"/>
      <c r="FC10" s="50" t="n"/>
      <c r="FD10" s="50" t="n"/>
      <c r="FE10" s="50" t="n"/>
      <c r="FF10" s="50" t="n"/>
      <c r="FG10" s="50" t="n"/>
      <c r="FH10" s="50" t="n"/>
      <c r="FI10" s="50" t="n"/>
      <c r="FJ10" s="50" t="n"/>
      <c r="FK10" s="50" t="n"/>
      <c r="FL10" s="50" t="n"/>
      <c r="FM10" s="50" t="n"/>
      <c r="FN10" s="50" t="n"/>
      <c r="FO10" s="50" t="n"/>
      <c r="FP10" s="50" t="n"/>
      <c r="FQ10" s="50" t="n"/>
      <c r="FR10" s="50" t="n"/>
      <c r="FS10" s="50" t="n"/>
      <c r="FT10" s="50" t="n"/>
      <c r="FU10" s="50" t="n"/>
      <c r="FV10" s="50" t="n"/>
      <c r="FW10" s="50" t="n"/>
      <c r="FX10" s="50" t="n"/>
      <c r="FY10" s="50" t="n"/>
      <c r="FZ10" s="50" t="n"/>
      <c r="GA10" s="50" t="n"/>
      <c r="GB10" s="50" t="n"/>
      <c r="GC10" s="50" t="n"/>
      <c r="GD10" s="50" t="n"/>
      <c r="GE10" s="50" t="n"/>
      <c r="GF10" s="50" t="n"/>
      <c r="GG10" s="50" t="n"/>
      <c r="GH10" s="50" t="n"/>
      <c r="GI10" s="50" t="n"/>
      <c r="GJ10" s="50" t="n"/>
      <c r="GK10" s="50" t="n"/>
      <c r="GL10" s="50" t="n"/>
      <c r="GM10" s="50" t="n"/>
      <c r="GN10" s="50" t="n"/>
      <c r="GO10" s="50" t="n"/>
      <c r="GP10" s="50" t="n"/>
      <c r="GQ10" s="50" t="n"/>
      <c r="GR10" s="50" t="n"/>
      <c r="GS10" s="50" t="n"/>
      <c r="GT10" s="50" t="n"/>
      <c r="GU10" s="50" t="n"/>
      <c r="GV10" s="50" t="n"/>
      <c r="GW10" s="50" t="n"/>
      <c r="GX10" s="50" t="n"/>
      <c r="GY10" s="50" t="n"/>
      <c r="GZ10" s="50" t="n"/>
      <c r="HA10" s="50" t="n"/>
      <c r="HB10" s="50" t="n"/>
      <c r="HC10" s="50" t="n"/>
      <c r="HD10" s="50" t="n"/>
      <c r="HE10" s="50" t="n"/>
      <c r="HF10" s="50" t="n"/>
      <c r="HG10" s="50" t="n"/>
      <c r="HH10" s="50" t="n"/>
      <c r="HI10" s="50" t="n"/>
      <c r="HJ10" s="50" t="n"/>
      <c r="HK10" s="50" t="n"/>
      <c r="HL10" s="50" t="n"/>
      <c r="HM10" s="50" t="n"/>
      <c r="HN10" s="50" t="n"/>
      <c r="HO10" s="50" t="n"/>
      <c r="HP10" s="50" t="n"/>
      <c r="HQ10" s="50" t="n"/>
      <c r="HR10" s="50" t="n"/>
      <c r="HS10" s="50" t="n"/>
      <c r="HT10" s="50" t="n"/>
      <c r="HU10" s="50" t="n"/>
      <c r="HV10" s="50" t="n"/>
      <c r="HW10" s="50" t="n"/>
      <c r="HX10" s="50" t="n"/>
      <c r="HY10" s="50" t="n"/>
      <c r="HZ10" s="50" t="n"/>
      <c r="IA10" s="50" t="n"/>
      <c r="IB10" s="50" t="n"/>
      <c r="IC10" s="50" t="n"/>
      <c r="ID10" s="50" t="n"/>
      <c r="IE10" s="50" t="n"/>
      <c r="IF10" s="50" t="n"/>
      <c r="IG10" s="50" t="n"/>
      <c r="IH10" s="50" t="n"/>
      <c r="II10" s="50" t="n"/>
      <c r="IJ10" s="50" t="n"/>
      <c r="IK10" s="50" t="n"/>
      <c r="IL10" s="50" t="n"/>
      <c r="IM10" s="50" t="n"/>
      <c r="IN10" s="50" t="n"/>
      <c r="IO10" s="50" t="n"/>
      <c r="IP10" s="50" t="n"/>
      <c r="IQ10" s="50" t="n"/>
    </row>
    <row r="11" ht="13.5" customHeight="1" s="322">
      <c r="A11" s="145">
        <f>관심종목!D16</f>
        <v/>
      </c>
      <c r="B11" s="488">
        <f>관심종목!H16</f>
        <v/>
      </c>
      <c r="C11" s="148">
        <f>IFERROR(LOOKUP(C1,INDEX(차트데이터!$A:$BZ,0,MATCH("VEA",차트데이터!$1:$1,0)),INDEX(차트데이터!$A:$BZ,0,MATCH("VEA",차트데이터!$1:$1,0)+1)),"")</f>
        <v/>
      </c>
      <c r="D11" s="148">
        <f>IFERROR(LOOKUP(D1,INDEX(차트데이터!$A:$BZ,0,MATCH("VEA",차트데이터!$1:$1,0)),INDEX(차트데이터!$A:$BZ,0,MATCH("VEA",차트데이터!$1:$1,0)+1)),"")</f>
        <v/>
      </c>
      <c r="E11" s="148">
        <f>IFERROR(LOOKUP(E1,INDEX(차트데이터!$A:$BZ,0,MATCH("VEA",차트데이터!$1:$1,0)),INDEX(차트데이터!$A:$BZ,0,MATCH("VEA",차트데이터!$1:$1,0)+1)),"")</f>
        <v/>
      </c>
      <c r="F11" s="148">
        <f>IFERROR(LOOKUP(F1,INDEX(차트데이터!$A:$BZ,0,MATCH("VEA",차트데이터!$1:$1,0)),INDEX(차트데이터!$A:$BZ,0,MATCH("VEA",차트데이터!$1:$1,0)+1)),"")</f>
        <v/>
      </c>
      <c r="G11" s="148">
        <f>IFERROR(LOOKUP(G1,INDEX(차트데이터!$A:$BZ,0,MATCH("VEA",차트데이터!$1:$1,0)),INDEX(차트데이터!$A:$BZ,0,MATCH("VEA",차트데이터!$1:$1,0)+1)),"")</f>
        <v/>
      </c>
      <c r="H11" s="148">
        <f>IFERROR(LOOKUP(H1,INDEX(차트데이터!$A:$BZ,0,MATCH("VEA",차트데이터!$1:$1,0)),INDEX(차트데이터!$A:$BZ,0,MATCH("VEA",차트데이터!$1:$1,0)+1)),"")</f>
        <v/>
      </c>
      <c r="I11" s="240">
        <f>IFERROR(LOOKUP(I1,INDEX(차트데이터!$A:$BZ,0,MATCH("VEA",차트데이터!$1:$1,0)),INDEX(차트데이터!$A:$BZ,0,MATCH("VEA",차트데이터!$1:$1,0)+1)),"")</f>
        <v/>
      </c>
      <c r="J11" s="240">
        <f>IFERROR(LOOKUP(J1,INDEX(차트데이터!$A:$BZ,0,MATCH("VEA",차트데이터!$1:$1,0)),INDEX(차트데이터!$A:$BZ,0,MATCH("VEA",차트데이터!$1:$1,0)+1)),"")</f>
        <v/>
      </c>
      <c r="K11" s="240">
        <f>IFERROR(LOOKUP(K1,INDEX(차트데이터!$A:$BZ,0,MATCH("VEA",차트데이터!$1:$1,0)),INDEX(차트데이터!$A:$BZ,0,MATCH("VEA",차트데이터!$1:$1,0)+1)),"")</f>
        <v/>
      </c>
      <c r="L11" s="240">
        <f>IFERROR(LOOKUP(L1,INDEX(차트데이터!$A:$BZ,0,MATCH("VEA",차트데이터!$1:$1,0)),INDEX(차트데이터!$A:$BZ,0,MATCH("VEA",차트데이터!$1:$1,0)+1)),"")</f>
        <v/>
      </c>
      <c r="M11" s="240">
        <f>IFERROR(LOOKUP(M1,INDEX(차트데이터!$A:$BZ,0,MATCH("VEA",차트데이터!$1:$1,0)),INDEX(차트데이터!$A:$BZ,0,MATCH("VEA",차트데이터!$1:$1,0)+1)),"")</f>
        <v/>
      </c>
      <c r="N11" s="240">
        <f>IFERROR(LOOKUP(N1,INDEX(차트데이터!$A:$BZ,0,MATCH("VEA",차트데이터!$1:$1,0)),INDEX(차트데이터!$A:$BZ,0,MATCH("VEA",차트데이터!$1:$1,0)+1)),"")</f>
        <v/>
      </c>
      <c r="O11" s="240">
        <f>IFERROR(LOOKUP(O1,INDEX(차트데이터!$A:$BZ,0,MATCH("VEA",차트데이터!$1:$1,0)),INDEX(차트데이터!$A:$BZ,0,MATCH("VEA",차트데이터!$1:$1,0)+1)),"")</f>
        <v/>
      </c>
      <c r="P11" s="163">
        <f>AVERAGE(D11:O11)</f>
        <v/>
      </c>
      <c r="Q11" s="165">
        <f>B11/P11</f>
        <v/>
      </c>
      <c r="R11" s="168">
        <f>(B11/D11)-1</f>
        <v/>
      </c>
      <c r="S11" s="168">
        <f>(B11/F11)-1</f>
        <v/>
      </c>
      <c r="T11" s="168">
        <f>(B11/I11)-1</f>
        <v/>
      </c>
      <c r="U11" s="168">
        <f>(B11/O11)-1</f>
        <v/>
      </c>
      <c r="V11" s="489">
        <f>R11*12</f>
        <v/>
      </c>
      <c r="W11" s="489">
        <f>S11*4</f>
        <v/>
      </c>
      <c r="X11" s="489">
        <f>T11*2</f>
        <v/>
      </c>
      <c r="Y11" s="489">
        <f>U11*1</f>
        <v/>
      </c>
      <c r="Z11" s="180">
        <f>SUM(V11:Y11)</f>
        <v/>
      </c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0" t="n"/>
      <c r="AL11" s="50" t="n"/>
      <c r="AM11" s="50" t="n"/>
      <c r="AN11" s="50" t="n"/>
      <c r="AO11" s="50" t="n"/>
      <c r="AP11" s="50" t="n"/>
      <c r="AQ11" s="50" t="n"/>
      <c r="AR11" s="50" t="n"/>
      <c r="AS11" s="50" t="n"/>
      <c r="AT11" s="50" t="n"/>
      <c r="AU11" s="50" t="n"/>
      <c r="AV11" s="50" t="n"/>
      <c r="AW11" s="50" t="n"/>
      <c r="AX11" s="50" t="n"/>
      <c r="AY11" s="50" t="n"/>
      <c r="AZ11" s="50" t="n"/>
      <c r="BA11" s="50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0" t="n"/>
      <c r="BP11" s="50" t="n"/>
      <c r="BQ11" s="50" t="n"/>
      <c r="BR11" s="50" t="n"/>
      <c r="BS11" s="50" t="n"/>
      <c r="BT11" s="50" t="n"/>
      <c r="BU11" s="50" t="n"/>
      <c r="BV11" s="50" t="n"/>
      <c r="BW11" s="50" t="n"/>
      <c r="BX11" s="50" t="n"/>
      <c r="BY11" s="50" t="n"/>
      <c r="BZ11" s="50" t="n"/>
      <c r="CA11" s="50" t="n"/>
      <c r="CB11" s="50" t="n"/>
      <c r="CC11" s="50" t="n"/>
      <c r="CD11" s="50" t="n"/>
      <c r="CE11" s="50" t="n"/>
      <c r="CF11" s="50" t="n"/>
      <c r="CG11" s="50" t="n"/>
      <c r="CH11" s="50" t="n"/>
      <c r="CI11" s="50" t="n"/>
      <c r="CJ11" s="50" t="n"/>
      <c r="CK11" s="50" t="n"/>
      <c r="CL11" s="50" t="n"/>
      <c r="CM11" s="50" t="n"/>
      <c r="CN11" s="50" t="n"/>
      <c r="CO11" s="50" t="n"/>
      <c r="CP11" s="50" t="n"/>
      <c r="CQ11" s="50" t="n"/>
      <c r="CR11" s="50" t="n"/>
      <c r="CS11" s="50" t="n"/>
      <c r="CT11" s="50" t="n"/>
      <c r="CU11" s="50" t="n"/>
      <c r="CV11" s="50" t="n"/>
      <c r="CW11" s="50" t="n"/>
      <c r="CX11" s="50" t="n"/>
      <c r="CY11" s="50" t="n"/>
      <c r="CZ11" s="50" t="n"/>
      <c r="DA11" s="50" t="n"/>
      <c r="DB11" s="50" t="n"/>
      <c r="DC11" s="50" t="n"/>
      <c r="DD11" s="50" t="n"/>
      <c r="DE11" s="50" t="n"/>
      <c r="DF11" s="50" t="n"/>
      <c r="DG11" s="50" t="n"/>
      <c r="DH11" s="50" t="n"/>
      <c r="DI11" s="50" t="n"/>
      <c r="DJ11" s="50" t="n"/>
      <c r="DK11" s="50" t="n"/>
      <c r="DL11" s="50" t="n"/>
      <c r="DM11" s="50" t="n"/>
      <c r="DN11" s="50" t="n"/>
      <c r="DO11" s="50" t="n"/>
      <c r="DP11" s="50" t="n"/>
      <c r="DQ11" s="50" t="n"/>
      <c r="DR11" s="50" t="n"/>
      <c r="DS11" s="50" t="n"/>
      <c r="DT11" s="50" t="n"/>
      <c r="DU11" s="50" t="n"/>
      <c r="DV11" s="50" t="n"/>
      <c r="DW11" s="50" t="n"/>
      <c r="DX11" s="50" t="n"/>
      <c r="DY11" s="50" t="n"/>
      <c r="DZ11" s="50" t="n"/>
      <c r="EA11" s="50" t="n"/>
      <c r="EB11" s="50" t="n"/>
      <c r="EC11" s="50" t="n"/>
      <c r="ED11" s="50" t="n"/>
      <c r="EE11" s="50" t="n"/>
      <c r="EF11" s="50" t="n"/>
      <c r="EG11" s="50" t="n"/>
      <c r="EH11" s="50" t="n"/>
      <c r="EI11" s="50" t="n"/>
      <c r="EJ11" s="50" t="n"/>
      <c r="EK11" s="50" t="n"/>
      <c r="EL11" s="50" t="n"/>
      <c r="EM11" s="50" t="n"/>
      <c r="EN11" s="50" t="n"/>
      <c r="EO11" s="50" t="n"/>
      <c r="EP11" s="50" t="n"/>
      <c r="EQ11" s="50" t="n"/>
      <c r="ER11" s="50" t="n"/>
      <c r="ES11" s="50" t="n"/>
      <c r="ET11" s="50" t="n"/>
      <c r="EU11" s="50" t="n"/>
      <c r="EV11" s="50" t="n"/>
      <c r="EW11" s="50" t="n"/>
      <c r="EX11" s="50" t="n"/>
      <c r="EY11" s="50" t="n"/>
      <c r="EZ11" s="50" t="n"/>
      <c r="FA11" s="50" t="n"/>
      <c r="FB11" s="50" t="n"/>
      <c r="FC11" s="50" t="n"/>
      <c r="FD11" s="50" t="n"/>
      <c r="FE11" s="50" t="n"/>
      <c r="FF11" s="50" t="n"/>
      <c r="FG11" s="50" t="n"/>
      <c r="FH11" s="50" t="n"/>
      <c r="FI11" s="50" t="n"/>
      <c r="FJ11" s="50" t="n"/>
      <c r="FK11" s="50" t="n"/>
      <c r="FL11" s="50" t="n"/>
      <c r="FM11" s="50" t="n"/>
      <c r="FN11" s="50" t="n"/>
      <c r="FO11" s="50" t="n"/>
      <c r="FP11" s="50" t="n"/>
      <c r="FQ11" s="50" t="n"/>
      <c r="FR11" s="50" t="n"/>
      <c r="FS11" s="50" t="n"/>
      <c r="FT11" s="50" t="n"/>
      <c r="FU11" s="50" t="n"/>
      <c r="FV11" s="50" t="n"/>
      <c r="FW11" s="50" t="n"/>
      <c r="FX11" s="50" t="n"/>
      <c r="FY11" s="50" t="n"/>
      <c r="FZ11" s="50" t="n"/>
      <c r="GA11" s="50" t="n"/>
      <c r="GB11" s="50" t="n"/>
      <c r="GC11" s="50" t="n"/>
      <c r="GD11" s="50" t="n"/>
      <c r="GE11" s="50" t="n"/>
      <c r="GF11" s="50" t="n"/>
      <c r="GG11" s="50" t="n"/>
      <c r="GH11" s="50" t="n"/>
      <c r="GI11" s="50" t="n"/>
      <c r="GJ11" s="50" t="n"/>
      <c r="GK11" s="50" t="n"/>
      <c r="GL11" s="50" t="n"/>
      <c r="GM11" s="50" t="n"/>
      <c r="GN11" s="50" t="n"/>
      <c r="GO11" s="50" t="n"/>
      <c r="GP11" s="50" t="n"/>
      <c r="GQ11" s="50" t="n"/>
      <c r="GR11" s="50" t="n"/>
      <c r="GS11" s="50" t="n"/>
      <c r="GT11" s="50" t="n"/>
      <c r="GU11" s="50" t="n"/>
      <c r="GV11" s="50" t="n"/>
      <c r="GW11" s="50" t="n"/>
      <c r="GX11" s="50" t="n"/>
      <c r="GY11" s="50" t="n"/>
      <c r="GZ11" s="50" t="n"/>
      <c r="HA11" s="50" t="n"/>
      <c r="HB11" s="50" t="n"/>
      <c r="HC11" s="50" t="n"/>
      <c r="HD11" s="50" t="n"/>
      <c r="HE11" s="50" t="n"/>
      <c r="HF11" s="50" t="n"/>
      <c r="HG11" s="50" t="n"/>
      <c r="HH11" s="50" t="n"/>
      <c r="HI11" s="50" t="n"/>
      <c r="HJ11" s="50" t="n"/>
      <c r="HK11" s="50" t="n"/>
      <c r="HL11" s="50" t="n"/>
      <c r="HM11" s="50" t="n"/>
      <c r="HN11" s="50" t="n"/>
      <c r="HO11" s="50" t="n"/>
      <c r="HP11" s="50" t="n"/>
      <c r="HQ11" s="50" t="n"/>
      <c r="HR11" s="50" t="n"/>
      <c r="HS11" s="50" t="n"/>
      <c r="HT11" s="50" t="n"/>
      <c r="HU11" s="50" t="n"/>
      <c r="HV11" s="50" t="n"/>
      <c r="HW11" s="50" t="n"/>
      <c r="HX11" s="50" t="n"/>
      <c r="HY11" s="50" t="n"/>
      <c r="HZ11" s="50" t="n"/>
      <c r="IA11" s="50" t="n"/>
      <c r="IB11" s="50" t="n"/>
      <c r="IC11" s="50" t="n"/>
      <c r="ID11" s="50" t="n"/>
      <c r="IE11" s="50" t="n"/>
      <c r="IF11" s="50" t="n"/>
      <c r="IG11" s="50" t="n"/>
      <c r="IH11" s="50" t="n"/>
      <c r="II11" s="50" t="n"/>
      <c r="IJ11" s="50" t="n"/>
      <c r="IK11" s="50" t="n"/>
      <c r="IL11" s="50" t="n"/>
      <c r="IM11" s="50" t="n"/>
      <c r="IN11" s="50" t="n"/>
      <c r="IO11" s="50" t="n"/>
      <c r="IP11" s="50" t="n"/>
      <c r="IQ11" s="50" t="n"/>
    </row>
    <row r="12" ht="13.5" customHeight="1" s="322">
      <c r="A12" s="145">
        <f>관심종목!D17</f>
        <v/>
      </c>
      <c r="B12" s="488">
        <f>관심종목!H17</f>
        <v/>
      </c>
      <c r="C12" s="148">
        <f>IFERROR(LOOKUP(C1,INDEX(차트데이터!$A:$BZ,0,MATCH("VNQ",차트데이터!$1:$1,0)),INDEX(차트데이터!$A:$BZ,0,MATCH("VNQ",차트데이터!$1:$1,0)+1)),"")</f>
        <v/>
      </c>
      <c r="D12" s="148">
        <f>IFERROR(LOOKUP(D1,INDEX(차트데이터!$A:$BZ,0,MATCH("VNQ",차트데이터!$1:$1,0)),INDEX(차트데이터!$A:$BZ,0,MATCH("VNQ",차트데이터!$1:$1,0)+1)),"")</f>
        <v/>
      </c>
      <c r="E12" s="148">
        <f>IFERROR(LOOKUP(E1,INDEX(차트데이터!$A:$BZ,0,MATCH("VNQ",차트데이터!$1:$1,0)),INDEX(차트데이터!$A:$BZ,0,MATCH("VNQ",차트데이터!$1:$1,0)+1)),"")</f>
        <v/>
      </c>
      <c r="F12" s="148">
        <f>IFERROR(LOOKUP(F1,INDEX(차트데이터!$A:$BZ,0,MATCH("VNQ",차트데이터!$1:$1,0)),INDEX(차트데이터!$A:$BZ,0,MATCH("VNQ",차트데이터!$1:$1,0)+1)),"")</f>
        <v/>
      </c>
      <c r="G12" s="148">
        <f>IFERROR(LOOKUP(G1,INDEX(차트데이터!$A:$BZ,0,MATCH("VNQ",차트데이터!$1:$1,0)),INDEX(차트데이터!$A:$BZ,0,MATCH("VNQ",차트데이터!$1:$1,0)+1)),"")</f>
        <v/>
      </c>
      <c r="H12" s="148">
        <f>IFERROR(LOOKUP(H1,INDEX(차트데이터!$A:$BZ,0,MATCH("VNQ",차트데이터!$1:$1,0)),INDEX(차트데이터!$A:$BZ,0,MATCH("VNQ",차트데이터!$1:$1,0)+1)),"")</f>
        <v/>
      </c>
      <c r="I12" s="148">
        <f>IFERROR(LOOKUP(I1,INDEX(차트데이터!$A:$BZ,0,MATCH("VNQ",차트데이터!$1:$1,0)),INDEX(차트데이터!$A:$BZ,0,MATCH("VNQ",차트데이터!$1:$1,0)+1)),"")</f>
        <v/>
      </c>
      <c r="J12" s="148">
        <f>IFERROR(LOOKUP(J1,INDEX(차트데이터!$A:$BZ,0,MATCH("VNQ",차트데이터!$1:$1,0)),INDEX(차트데이터!$A:$BZ,0,MATCH("VNQ",차트데이터!$1:$1,0)+1)),"")</f>
        <v/>
      </c>
      <c r="K12" s="148">
        <f>IFERROR(LOOKUP(K1,INDEX(차트데이터!$A:$BZ,0,MATCH("VNQ",차트데이터!$1:$1,0)),INDEX(차트데이터!$A:$BZ,0,MATCH("VNQ",차트데이터!$1:$1,0)+1)),"")</f>
        <v/>
      </c>
      <c r="L12" s="148">
        <f>IFERROR(LOOKUP(L1,INDEX(차트데이터!$A:$BZ,0,MATCH("VNQ",차트데이터!$1:$1,0)),INDEX(차트데이터!$A:$BZ,0,MATCH("VNQ",차트데이터!$1:$1,0)+1)),"")</f>
        <v/>
      </c>
      <c r="M12" s="148">
        <f>IFERROR(LOOKUP(M1,INDEX(차트데이터!$A:$BZ,0,MATCH("VNQ",차트데이터!$1:$1,0)),INDEX(차트데이터!$A:$BZ,0,MATCH("VNQ",차트데이터!$1:$1,0)+1)),"")</f>
        <v/>
      </c>
      <c r="N12" s="148">
        <f>IFERROR(LOOKUP(N1,INDEX(차트데이터!$A:$BZ,0,MATCH("VNQ",차트데이터!$1:$1,0)),INDEX(차트데이터!$A:$BZ,0,MATCH("VNQ",차트데이터!$1:$1,0)+1)),"")</f>
        <v/>
      </c>
      <c r="O12" s="148">
        <f>IFERROR(LOOKUP(O1,INDEX(차트데이터!$A:$BZ,0,MATCH("VNQ",차트데이터!$1:$1,0)),INDEX(차트데이터!$A:$BZ,0,MATCH("VNQ",차트데이터!$1:$1,0)+1)),"")</f>
        <v/>
      </c>
      <c r="P12" s="163">
        <f>AVERAGE(D12:O12)</f>
        <v/>
      </c>
      <c r="Q12" s="165">
        <f>B12/P12</f>
        <v/>
      </c>
      <c r="R12" s="168">
        <f>(B12/D12)-1</f>
        <v/>
      </c>
      <c r="S12" s="168">
        <f>(B12/F12)-1</f>
        <v/>
      </c>
      <c r="T12" s="168">
        <f>(B12/I12)-1</f>
        <v/>
      </c>
      <c r="U12" s="168">
        <f>(B12/O12)-1</f>
        <v/>
      </c>
      <c r="V12" s="489">
        <f>R12*12</f>
        <v/>
      </c>
      <c r="W12" s="489">
        <f>S12*4</f>
        <v/>
      </c>
      <c r="X12" s="489">
        <f>T12*2</f>
        <v/>
      </c>
      <c r="Y12" s="489">
        <f>U12*1</f>
        <v/>
      </c>
      <c r="Z12" s="180">
        <f>SUM(V12:Y12)</f>
        <v/>
      </c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0" t="n"/>
      <c r="AM12" s="50" t="n"/>
      <c r="AN12" s="50" t="n"/>
      <c r="AO12" s="50" t="n"/>
      <c r="AP12" s="50" t="n"/>
      <c r="AQ12" s="50" t="n"/>
      <c r="AR12" s="50" t="n"/>
      <c r="AS12" s="50" t="n"/>
      <c r="AT12" s="50" t="n"/>
      <c r="AU12" s="50" t="n"/>
      <c r="AV12" s="50" t="n"/>
      <c r="AW12" s="50" t="n"/>
      <c r="AX12" s="50" t="n"/>
      <c r="AY12" s="50" t="n"/>
      <c r="AZ12" s="50" t="n"/>
      <c r="BA12" s="50" t="n"/>
      <c r="BB12" s="50" t="n"/>
      <c r="BC12" s="50" t="n"/>
      <c r="BD12" s="50" t="n"/>
      <c r="BE12" s="50" t="n"/>
      <c r="BF12" s="50" t="n"/>
      <c r="BG12" s="50" t="n"/>
      <c r="BH12" s="50" t="n"/>
      <c r="BI12" s="50" t="n"/>
      <c r="BJ12" s="50" t="n"/>
      <c r="BK12" s="50" t="n"/>
      <c r="BL12" s="50" t="n"/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  <c r="BW12" s="50" t="n"/>
      <c r="BX12" s="50" t="n"/>
      <c r="BY12" s="50" t="n"/>
      <c r="BZ12" s="50" t="n"/>
      <c r="CA12" s="50" t="n"/>
      <c r="CB12" s="50" t="n"/>
      <c r="CC12" s="50" t="n"/>
      <c r="CD12" s="50" t="n"/>
      <c r="CE12" s="50" t="n"/>
      <c r="CF12" s="50" t="n"/>
      <c r="CG12" s="50" t="n"/>
      <c r="CH12" s="50" t="n"/>
      <c r="CI12" s="50" t="n"/>
      <c r="CJ12" s="50" t="n"/>
      <c r="CK12" s="50" t="n"/>
      <c r="CL12" s="50" t="n"/>
      <c r="CM12" s="50" t="n"/>
      <c r="CN12" s="50" t="n"/>
      <c r="CO12" s="50" t="n"/>
      <c r="CP12" s="50" t="n"/>
      <c r="CQ12" s="50" t="n"/>
      <c r="CR12" s="50" t="n"/>
      <c r="CS12" s="50" t="n"/>
      <c r="CT12" s="50" t="n"/>
      <c r="CU12" s="50" t="n"/>
      <c r="CV12" s="50" t="n"/>
      <c r="CW12" s="50" t="n"/>
      <c r="CX12" s="50" t="n"/>
      <c r="CY12" s="50" t="n"/>
      <c r="CZ12" s="50" t="n"/>
      <c r="DA12" s="50" t="n"/>
      <c r="DB12" s="50" t="n"/>
      <c r="DC12" s="50" t="n"/>
      <c r="DD12" s="50" t="n"/>
      <c r="DE12" s="50" t="n"/>
      <c r="DF12" s="50" t="n"/>
      <c r="DG12" s="50" t="n"/>
      <c r="DH12" s="50" t="n"/>
      <c r="DI12" s="50" t="n"/>
      <c r="DJ12" s="50" t="n"/>
      <c r="DK12" s="50" t="n"/>
      <c r="DL12" s="50" t="n"/>
      <c r="DM12" s="50" t="n"/>
      <c r="DN12" s="50" t="n"/>
      <c r="DO12" s="50" t="n"/>
      <c r="DP12" s="50" t="n"/>
      <c r="DQ12" s="50" t="n"/>
      <c r="DR12" s="50" t="n"/>
      <c r="DS12" s="50" t="n"/>
      <c r="DT12" s="50" t="n"/>
      <c r="DU12" s="50" t="n"/>
      <c r="DV12" s="50" t="n"/>
      <c r="DW12" s="50" t="n"/>
      <c r="DX12" s="50" t="n"/>
      <c r="DY12" s="50" t="n"/>
      <c r="DZ12" s="50" t="n"/>
      <c r="EA12" s="50" t="n"/>
      <c r="EB12" s="50" t="n"/>
      <c r="EC12" s="50" t="n"/>
      <c r="ED12" s="50" t="n"/>
      <c r="EE12" s="50" t="n"/>
      <c r="EF12" s="50" t="n"/>
      <c r="EG12" s="50" t="n"/>
      <c r="EH12" s="50" t="n"/>
      <c r="EI12" s="50" t="n"/>
      <c r="EJ12" s="50" t="n"/>
      <c r="EK12" s="50" t="n"/>
      <c r="EL12" s="50" t="n"/>
      <c r="EM12" s="50" t="n"/>
      <c r="EN12" s="50" t="n"/>
      <c r="EO12" s="50" t="n"/>
      <c r="EP12" s="50" t="n"/>
      <c r="EQ12" s="50" t="n"/>
      <c r="ER12" s="50" t="n"/>
      <c r="ES12" s="50" t="n"/>
      <c r="ET12" s="50" t="n"/>
      <c r="EU12" s="50" t="n"/>
      <c r="EV12" s="50" t="n"/>
      <c r="EW12" s="50" t="n"/>
      <c r="EX12" s="50" t="n"/>
      <c r="EY12" s="50" t="n"/>
      <c r="EZ12" s="50" t="n"/>
      <c r="FA12" s="50" t="n"/>
      <c r="FB12" s="50" t="n"/>
      <c r="FC12" s="50" t="n"/>
      <c r="FD12" s="50" t="n"/>
      <c r="FE12" s="50" t="n"/>
      <c r="FF12" s="50" t="n"/>
      <c r="FG12" s="50" t="n"/>
      <c r="FH12" s="50" t="n"/>
      <c r="FI12" s="50" t="n"/>
      <c r="FJ12" s="50" t="n"/>
      <c r="FK12" s="50" t="n"/>
      <c r="FL12" s="50" t="n"/>
      <c r="FM12" s="50" t="n"/>
      <c r="FN12" s="50" t="n"/>
      <c r="FO12" s="50" t="n"/>
      <c r="FP12" s="50" t="n"/>
      <c r="FQ12" s="50" t="n"/>
      <c r="FR12" s="50" t="n"/>
      <c r="FS12" s="50" t="n"/>
      <c r="FT12" s="50" t="n"/>
      <c r="FU12" s="50" t="n"/>
      <c r="FV12" s="50" t="n"/>
      <c r="FW12" s="50" t="n"/>
      <c r="FX12" s="50" t="n"/>
      <c r="FY12" s="50" t="n"/>
      <c r="FZ12" s="50" t="n"/>
      <c r="GA12" s="50" t="n"/>
      <c r="GB12" s="50" t="n"/>
      <c r="GC12" s="50" t="n"/>
      <c r="GD12" s="50" t="n"/>
      <c r="GE12" s="50" t="n"/>
      <c r="GF12" s="50" t="n"/>
      <c r="GG12" s="50" t="n"/>
      <c r="GH12" s="50" t="n"/>
      <c r="GI12" s="50" t="n"/>
      <c r="GJ12" s="50" t="n"/>
      <c r="GK12" s="50" t="n"/>
      <c r="GL12" s="50" t="n"/>
      <c r="GM12" s="50" t="n"/>
      <c r="GN12" s="50" t="n"/>
      <c r="GO12" s="50" t="n"/>
      <c r="GP12" s="50" t="n"/>
      <c r="GQ12" s="50" t="n"/>
      <c r="GR12" s="50" t="n"/>
      <c r="GS12" s="50" t="n"/>
      <c r="GT12" s="50" t="n"/>
      <c r="GU12" s="50" t="n"/>
      <c r="GV12" s="50" t="n"/>
      <c r="GW12" s="50" t="n"/>
      <c r="GX12" s="50" t="n"/>
      <c r="GY12" s="50" t="n"/>
      <c r="GZ12" s="50" t="n"/>
      <c r="HA12" s="50" t="n"/>
      <c r="HB12" s="50" t="n"/>
      <c r="HC12" s="50" t="n"/>
      <c r="HD12" s="50" t="n"/>
      <c r="HE12" s="50" t="n"/>
      <c r="HF12" s="50" t="n"/>
      <c r="HG12" s="50" t="n"/>
      <c r="HH12" s="50" t="n"/>
      <c r="HI12" s="50" t="n"/>
      <c r="HJ12" s="50" t="n"/>
      <c r="HK12" s="50" t="n"/>
      <c r="HL12" s="50" t="n"/>
      <c r="HM12" s="50" t="n"/>
      <c r="HN12" s="50" t="n"/>
      <c r="HO12" s="50" t="n"/>
      <c r="HP12" s="50" t="n"/>
      <c r="HQ12" s="50" t="n"/>
      <c r="HR12" s="50" t="n"/>
      <c r="HS12" s="50" t="n"/>
      <c r="HT12" s="50" t="n"/>
      <c r="HU12" s="50" t="n"/>
      <c r="HV12" s="50" t="n"/>
      <c r="HW12" s="50" t="n"/>
      <c r="HX12" s="50" t="n"/>
      <c r="HY12" s="50" t="n"/>
      <c r="HZ12" s="50" t="n"/>
      <c r="IA12" s="50" t="n"/>
      <c r="IB12" s="50" t="n"/>
      <c r="IC12" s="50" t="n"/>
      <c r="ID12" s="50" t="n"/>
      <c r="IE12" s="50" t="n"/>
      <c r="IF12" s="50" t="n"/>
      <c r="IG12" s="50" t="n"/>
      <c r="IH12" s="50" t="n"/>
      <c r="II12" s="50" t="n"/>
      <c r="IJ12" s="50" t="n"/>
      <c r="IK12" s="50" t="n"/>
      <c r="IL12" s="50" t="n"/>
      <c r="IM12" s="50" t="n"/>
      <c r="IN12" s="50" t="n"/>
      <c r="IO12" s="50" t="n"/>
      <c r="IP12" s="50" t="n"/>
      <c r="IQ12" s="50" t="n"/>
    </row>
    <row r="13" ht="13.5" customHeight="1" s="322">
      <c r="A13" s="145">
        <f>관심종목!D18</f>
        <v/>
      </c>
      <c r="B13" s="488">
        <f>관심종목!H18</f>
        <v/>
      </c>
      <c r="C13" s="148">
        <f>IFERROR(LOOKUP(C1,INDEX(차트데이터!$A:$BZ,0,MATCH("DBC",차트데이터!$1:$1,0)),INDEX(차트데이터!$A:$BZ,0,MATCH("DBC",차트데이터!$1:$1,0)+1)),"")</f>
        <v/>
      </c>
      <c r="D13" s="148">
        <f>IFERROR(LOOKUP(D1,INDEX(차트데이터!$A:$BZ,0,MATCH("DBC",차트데이터!$1:$1,0)),INDEX(차트데이터!$A:$BZ,0,MATCH("DBC",차트데이터!$1:$1,0)+1)),"")</f>
        <v/>
      </c>
      <c r="E13" s="148">
        <f>IFERROR(LOOKUP(E1,INDEX(차트데이터!$A:$BZ,0,MATCH("DBC",차트데이터!$1:$1,0)),INDEX(차트데이터!$A:$BZ,0,MATCH("DBC",차트데이터!$1:$1,0)+1)),"")</f>
        <v/>
      </c>
      <c r="F13" s="148">
        <f>IFERROR(LOOKUP(F1,INDEX(차트데이터!$A:$BZ,0,MATCH("DBC",차트데이터!$1:$1,0)),INDEX(차트데이터!$A:$BZ,0,MATCH("DBC",차트데이터!$1:$1,0)+1)),"")</f>
        <v/>
      </c>
      <c r="G13" s="148">
        <f>IFERROR(LOOKUP(G1,INDEX(차트데이터!$A:$BZ,0,MATCH("DBC",차트데이터!$1:$1,0)),INDEX(차트데이터!$A:$BZ,0,MATCH("DBC",차트데이터!$1:$1,0)+1)),"")</f>
        <v/>
      </c>
      <c r="H13" s="148">
        <f>IFERROR(LOOKUP(H1,INDEX(차트데이터!$A:$BZ,0,MATCH("DBC",차트데이터!$1:$1,0)),INDEX(차트데이터!$A:$BZ,0,MATCH("DBC",차트데이터!$1:$1,0)+1)),"")</f>
        <v/>
      </c>
      <c r="I13" s="148">
        <f>IFERROR(LOOKUP(I1,INDEX(차트데이터!$A:$BZ,0,MATCH("DBC",차트데이터!$1:$1,0)),INDEX(차트데이터!$A:$BZ,0,MATCH("DBC",차트데이터!$1:$1,0)+1)),"")</f>
        <v/>
      </c>
      <c r="J13" s="148">
        <f>IFERROR(LOOKUP(J1,INDEX(차트데이터!$A:$BZ,0,MATCH("DBC",차트데이터!$1:$1,0)),INDEX(차트데이터!$A:$BZ,0,MATCH("DBC",차트데이터!$1:$1,0)+1)),"")</f>
        <v/>
      </c>
      <c r="K13" s="148">
        <f>IFERROR(LOOKUP(K1,INDEX(차트데이터!$A:$BZ,0,MATCH("DBC",차트데이터!$1:$1,0)),INDEX(차트데이터!$A:$BZ,0,MATCH("DBC",차트데이터!$1:$1,0)+1)),"")</f>
        <v/>
      </c>
      <c r="L13" s="148">
        <f>IFERROR(LOOKUP(L1,INDEX(차트데이터!$A:$BZ,0,MATCH("DBC",차트데이터!$1:$1,0)),INDEX(차트데이터!$A:$BZ,0,MATCH("DBC",차트데이터!$1:$1,0)+1)),"")</f>
        <v/>
      </c>
      <c r="M13" s="148">
        <f>IFERROR(LOOKUP(M1,INDEX(차트데이터!$A:$BZ,0,MATCH("DBC",차트데이터!$1:$1,0)),INDEX(차트데이터!$A:$BZ,0,MATCH("DBC",차트데이터!$1:$1,0)+1)),"")</f>
        <v/>
      </c>
      <c r="N13" s="148">
        <f>IFERROR(LOOKUP(N1,INDEX(차트데이터!$A:$BZ,0,MATCH("DBC",차트데이터!$1:$1,0)),INDEX(차트데이터!$A:$BZ,0,MATCH("DBC",차트데이터!$1:$1,0)+1)),"")</f>
        <v/>
      </c>
      <c r="O13" s="148">
        <f>IFERROR(LOOKUP(O1,INDEX(차트데이터!$A:$BZ,0,MATCH("DBC",차트데이터!$1:$1,0)),INDEX(차트데이터!$A:$BZ,0,MATCH("DBC",차트데이터!$1:$1,0)+1)),"")</f>
        <v/>
      </c>
      <c r="P13" s="163">
        <f>AVERAGE(D13:O13)</f>
        <v/>
      </c>
      <c r="Q13" s="165">
        <f>B13/P13</f>
        <v/>
      </c>
      <c r="R13" s="168">
        <f>(B13/D13)-1</f>
        <v/>
      </c>
      <c r="S13" s="168">
        <f>(B13/F13)-1</f>
        <v/>
      </c>
      <c r="T13" s="168">
        <f>(B13/I13)-1</f>
        <v/>
      </c>
      <c r="U13" s="168">
        <f>(B13/O13)-1</f>
        <v/>
      </c>
      <c r="V13" s="489">
        <f>R13*12</f>
        <v/>
      </c>
      <c r="W13" s="489">
        <f>S13*4</f>
        <v/>
      </c>
      <c r="X13" s="489">
        <f>T13*2</f>
        <v/>
      </c>
      <c r="Y13" s="489">
        <f>U13*1</f>
        <v/>
      </c>
      <c r="Z13" s="180">
        <f>SUM(V13:Y13)</f>
        <v/>
      </c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50" t="n"/>
      <c r="AV13" s="50" t="n"/>
      <c r="AW13" s="50" t="n"/>
      <c r="AX13" s="50" t="n"/>
      <c r="AY13" s="50" t="n"/>
      <c r="AZ13" s="50" t="n"/>
      <c r="BA13" s="50" t="n"/>
      <c r="BB13" s="50" t="n"/>
      <c r="BC13" s="50" t="n"/>
      <c r="BD13" s="50" t="n"/>
      <c r="BE13" s="50" t="n"/>
      <c r="BF13" s="50" t="n"/>
      <c r="BG13" s="50" t="n"/>
      <c r="BH13" s="50" t="n"/>
      <c r="BI13" s="50" t="n"/>
      <c r="BJ13" s="50" t="n"/>
      <c r="BK13" s="50" t="n"/>
      <c r="BL13" s="50" t="n"/>
      <c r="BM13" s="50" t="n"/>
      <c r="BN13" s="50" t="n"/>
      <c r="BO13" s="50" t="n"/>
      <c r="BP13" s="50" t="n"/>
      <c r="BQ13" s="50" t="n"/>
      <c r="BR13" s="50" t="n"/>
      <c r="BS13" s="50" t="n"/>
      <c r="BT13" s="50" t="n"/>
      <c r="BU13" s="50" t="n"/>
      <c r="BV13" s="50" t="n"/>
      <c r="BW13" s="50" t="n"/>
      <c r="BX13" s="50" t="n"/>
      <c r="BY13" s="50" t="n"/>
      <c r="BZ13" s="50" t="n"/>
      <c r="CA13" s="50" t="n"/>
      <c r="CB13" s="50" t="n"/>
      <c r="CC13" s="50" t="n"/>
      <c r="CD13" s="50" t="n"/>
      <c r="CE13" s="50" t="n"/>
      <c r="CF13" s="50" t="n"/>
      <c r="CG13" s="50" t="n"/>
      <c r="CH13" s="50" t="n"/>
      <c r="CI13" s="50" t="n"/>
      <c r="CJ13" s="50" t="n"/>
      <c r="CK13" s="50" t="n"/>
      <c r="CL13" s="50" t="n"/>
      <c r="CM13" s="50" t="n"/>
      <c r="CN13" s="50" t="n"/>
      <c r="CO13" s="50" t="n"/>
      <c r="CP13" s="50" t="n"/>
      <c r="CQ13" s="50" t="n"/>
      <c r="CR13" s="50" t="n"/>
      <c r="CS13" s="50" t="n"/>
      <c r="CT13" s="50" t="n"/>
      <c r="CU13" s="50" t="n"/>
      <c r="CV13" s="50" t="n"/>
      <c r="CW13" s="50" t="n"/>
      <c r="CX13" s="50" t="n"/>
      <c r="CY13" s="50" t="n"/>
      <c r="CZ13" s="50" t="n"/>
      <c r="DA13" s="50" t="n"/>
      <c r="DB13" s="50" t="n"/>
      <c r="DC13" s="50" t="n"/>
      <c r="DD13" s="50" t="n"/>
      <c r="DE13" s="50" t="n"/>
      <c r="DF13" s="50" t="n"/>
      <c r="DG13" s="50" t="n"/>
      <c r="DH13" s="50" t="n"/>
      <c r="DI13" s="50" t="n"/>
      <c r="DJ13" s="50" t="n"/>
      <c r="DK13" s="50" t="n"/>
      <c r="DL13" s="50" t="n"/>
      <c r="DM13" s="50" t="n"/>
      <c r="DN13" s="50" t="n"/>
      <c r="DO13" s="50" t="n"/>
      <c r="DP13" s="50" t="n"/>
      <c r="DQ13" s="50" t="n"/>
      <c r="DR13" s="50" t="n"/>
      <c r="DS13" s="50" t="n"/>
      <c r="DT13" s="50" t="n"/>
      <c r="DU13" s="50" t="n"/>
      <c r="DV13" s="50" t="n"/>
      <c r="DW13" s="50" t="n"/>
      <c r="DX13" s="50" t="n"/>
      <c r="DY13" s="50" t="n"/>
      <c r="DZ13" s="50" t="n"/>
      <c r="EA13" s="50" t="n"/>
      <c r="EB13" s="50" t="n"/>
      <c r="EC13" s="50" t="n"/>
      <c r="ED13" s="50" t="n"/>
      <c r="EE13" s="50" t="n"/>
      <c r="EF13" s="50" t="n"/>
      <c r="EG13" s="50" t="n"/>
      <c r="EH13" s="50" t="n"/>
      <c r="EI13" s="50" t="n"/>
      <c r="EJ13" s="50" t="n"/>
      <c r="EK13" s="50" t="n"/>
      <c r="EL13" s="50" t="n"/>
      <c r="EM13" s="50" t="n"/>
      <c r="EN13" s="50" t="n"/>
      <c r="EO13" s="50" t="n"/>
      <c r="EP13" s="50" t="n"/>
      <c r="EQ13" s="50" t="n"/>
      <c r="ER13" s="50" t="n"/>
      <c r="ES13" s="50" t="n"/>
      <c r="ET13" s="50" t="n"/>
      <c r="EU13" s="50" t="n"/>
      <c r="EV13" s="50" t="n"/>
      <c r="EW13" s="50" t="n"/>
      <c r="EX13" s="50" t="n"/>
      <c r="EY13" s="50" t="n"/>
      <c r="EZ13" s="50" t="n"/>
      <c r="FA13" s="50" t="n"/>
      <c r="FB13" s="50" t="n"/>
      <c r="FC13" s="50" t="n"/>
      <c r="FD13" s="50" t="n"/>
      <c r="FE13" s="50" t="n"/>
      <c r="FF13" s="50" t="n"/>
      <c r="FG13" s="50" t="n"/>
      <c r="FH13" s="50" t="n"/>
      <c r="FI13" s="50" t="n"/>
      <c r="FJ13" s="50" t="n"/>
      <c r="FK13" s="50" t="n"/>
      <c r="FL13" s="50" t="n"/>
      <c r="FM13" s="50" t="n"/>
      <c r="FN13" s="50" t="n"/>
      <c r="FO13" s="50" t="n"/>
      <c r="FP13" s="50" t="n"/>
      <c r="FQ13" s="50" t="n"/>
      <c r="FR13" s="50" t="n"/>
      <c r="FS13" s="50" t="n"/>
      <c r="FT13" s="50" t="n"/>
      <c r="FU13" s="50" t="n"/>
      <c r="FV13" s="50" t="n"/>
      <c r="FW13" s="50" t="n"/>
      <c r="FX13" s="50" t="n"/>
      <c r="FY13" s="50" t="n"/>
      <c r="FZ13" s="50" t="n"/>
      <c r="GA13" s="50" t="n"/>
      <c r="GB13" s="50" t="n"/>
      <c r="GC13" s="50" t="n"/>
      <c r="GD13" s="50" t="n"/>
      <c r="GE13" s="50" t="n"/>
      <c r="GF13" s="50" t="n"/>
      <c r="GG13" s="50" t="n"/>
      <c r="GH13" s="50" t="n"/>
      <c r="GI13" s="50" t="n"/>
      <c r="GJ13" s="50" t="n"/>
      <c r="GK13" s="50" t="n"/>
      <c r="GL13" s="50" t="n"/>
      <c r="GM13" s="50" t="n"/>
      <c r="GN13" s="50" t="n"/>
      <c r="GO13" s="50" t="n"/>
      <c r="GP13" s="50" t="n"/>
      <c r="GQ13" s="50" t="n"/>
      <c r="GR13" s="50" t="n"/>
      <c r="GS13" s="50" t="n"/>
      <c r="GT13" s="50" t="n"/>
      <c r="GU13" s="50" t="n"/>
      <c r="GV13" s="50" t="n"/>
      <c r="GW13" s="50" t="n"/>
      <c r="GX13" s="50" t="n"/>
      <c r="GY13" s="50" t="n"/>
      <c r="GZ13" s="50" t="n"/>
      <c r="HA13" s="50" t="n"/>
      <c r="HB13" s="50" t="n"/>
      <c r="HC13" s="50" t="n"/>
      <c r="HD13" s="50" t="n"/>
      <c r="HE13" s="50" t="n"/>
      <c r="HF13" s="50" t="n"/>
      <c r="HG13" s="50" t="n"/>
      <c r="HH13" s="50" t="n"/>
      <c r="HI13" s="50" t="n"/>
      <c r="HJ13" s="50" t="n"/>
      <c r="HK13" s="50" t="n"/>
      <c r="HL13" s="50" t="n"/>
      <c r="HM13" s="50" t="n"/>
      <c r="HN13" s="50" t="n"/>
      <c r="HO13" s="50" t="n"/>
      <c r="HP13" s="50" t="n"/>
      <c r="HQ13" s="50" t="n"/>
      <c r="HR13" s="50" t="n"/>
      <c r="HS13" s="50" t="n"/>
      <c r="HT13" s="50" t="n"/>
      <c r="HU13" s="50" t="n"/>
      <c r="HV13" s="50" t="n"/>
      <c r="HW13" s="50" t="n"/>
      <c r="HX13" s="50" t="n"/>
      <c r="HY13" s="50" t="n"/>
      <c r="HZ13" s="50" t="n"/>
      <c r="IA13" s="50" t="n"/>
      <c r="IB13" s="50" t="n"/>
      <c r="IC13" s="50" t="n"/>
      <c r="ID13" s="50" t="n"/>
      <c r="IE13" s="50" t="n"/>
      <c r="IF13" s="50" t="n"/>
      <c r="IG13" s="50" t="n"/>
      <c r="IH13" s="50" t="n"/>
      <c r="II13" s="50" t="n"/>
      <c r="IJ13" s="50" t="n"/>
      <c r="IK13" s="50" t="n"/>
      <c r="IL13" s="50" t="n"/>
      <c r="IM13" s="50" t="n"/>
      <c r="IN13" s="50" t="n"/>
      <c r="IO13" s="50" t="n"/>
      <c r="IP13" s="50" t="n"/>
      <c r="IQ13" s="50" t="n"/>
    </row>
    <row r="14" ht="13.5" customHeight="1" s="322">
      <c r="A14" s="145">
        <f>관심종목!D19</f>
        <v/>
      </c>
      <c r="B14" s="488">
        <f>관심종목!H19</f>
        <v/>
      </c>
      <c r="C14" s="148">
        <f>IFERROR(LOOKUP(C1,INDEX(차트데이터!$A:$BZ,0,MATCH("GLD",차트데이터!$1:$1,0)),INDEX(차트데이터!$A:$BZ,0,MATCH("GLD",차트데이터!$1:$1,0)+1)),"")</f>
        <v/>
      </c>
      <c r="D14" s="148">
        <f>IFERROR(LOOKUP(D1,INDEX(차트데이터!$A:$BZ,0,MATCH("GLD",차트데이터!$1:$1,0)),INDEX(차트데이터!$A:$BZ,0,MATCH("GLD",차트데이터!$1:$1,0)+1)),"")</f>
        <v/>
      </c>
      <c r="E14" s="148">
        <f>IFERROR(LOOKUP(E1,INDEX(차트데이터!$A:$BZ,0,MATCH("GLD",차트데이터!$1:$1,0)),INDEX(차트데이터!$A:$BZ,0,MATCH("GLD",차트데이터!$1:$1,0)+1)),"")</f>
        <v/>
      </c>
      <c r="F14" s="148">
        <f>IFERROR(LOOKUP(F1,INDEX(차트데이터!$A:$BZ,0,MATCH("GLD",차트데이터!$1:$1,0)),INDEX(차트데이터!$A:$BZ,0,MATCH("GLD",차트데이터!$1:$1,0)+1)),"")</f>
        <v/>
      </c>
      <c r="G14" s="148">
        <f>IFERROR(LOOKUP(G1,INDEX(차트데이터!$A:$BZ,0,MATCH("GLD",차트데이터!$1:$1,0)),INDEX(차트데이터!$A:$BZ,0,MATCH("GLD",차트데이터!$1:$1,0)+1)),"")</f>
        <v/>
      </c>
      <c r="H14" s="148">
        <f>IFERROR(LOOKUP(H1,INDEX(차트데이터!$A:$BZ,0,MATCH("GLD",차트데이터!$1:$1,0)),INDEX(차트데이터!$A:$BZ,0,MATCH("GLD",차트데이터!$1:$1,0)+1)),"")</f>
        <v/>
      </c>
      <c r="I14" s="148">
        <f>IFERROR(LOOKUP(I1,INDEX(차트데이터!$A:$BZ,0,MATCH("GLD",차트데이터!$1:$1,0)),INDEX(차트데이터!$A:$BZ,0,MATCH("GLD",차트데이터!$1:$1,0)+1)),"")</f>
        <v/>
      </c>
      <c r="J14" s="148">
        <f>IFERROR(LOOKUP(J1,INDEX(차트데이터!$A:$BZ,0,MATCH("GLD",차트데이터!$1:$1,0)),INDEX(차트데이터!$A:$BZ,0,MATCH("GLD",차트데이터!$1:$1,0)+1)),"")</f>
        <v/>
      </c>
      <c r="K14" s="148">
        <f>IFERROR(LOOKUP(K1,INDEX(차트데이터!$A:$BZ,0,MATCH("GLD",차트데이터!$1:$1,0)),INDEX(차트데이터!$A:$BZ,0,MATCH("GLD",차트데이터!$1:$1,0)+1)),"")</f>
        <v/>
      </c>
      <c r="L14" s="148">
        <f>IFERROR(LOOKUP(L1,INDEX(차트데이터!$A:$BZ,0,MATCH("GLD",차트데이터!$1:$1,0)),INDEX(차트데이터!$A:$BZ,0,MATCH("GLD",차트데이터!$1:$1,0)+1)),"")</f>
        <v/>
      </c>
      <c r="M14" s="148">
        <f>IFERROR(LOOKUP(M1,INDEX(차트데이터!$A:$BZ,0,MATCH("GLD",차트데이터!$1:$1,0)),INDEX(차트데이터!$A:$BZ,0,MATCH("GLD",차트데이터!$1:$1,0)+1)),"")</f>
        <v/>
      </c>
      <c r="N14" s="148">
        <f>IFERROR(LOOKUP(N1,INDEX(차트데이터!$A:$BZ,0,MATCH("GLD",차트데이터!$1:$1,0)),INDEX(차트데이터!$A:$BZ,0,MATCH("GLD",차트데이터!$1:$1,0)+1)),"")</f>
        <v/>
      </c>
      <c r="O14" s="148">
        <f>IFERROR(LOOKUP(O1,INDEX(차트데이터!$A:$BZ,0,MATCH("GLD",차트데이터!$1:$1,0)),INDEX(차트데이터!$A:$BZ,0,MATCH("GLD",차트데이터!$1:$1,0)+1)),"")</f>
        <v/>
      </c>
      <c r="P14" s="163">
        <f>AVERAGE(D14:O14)</f>
        <v/>
      </c>
      <c r="Q14" s="165">
        <f>B14/P14</f>
        <v/>
      </c>
      <c r="R14" s="168">
        <f>(B14/D14)-1</f>
        <v/>
      </c>
      <c r="S14" s="168">
        <f>(B14/F14)-1</f>
        <v/>
      </c>
      <c r="T14" s="168">
        <f>(B14/I14)-1</f>
        <v/>
      </c>
      <c r="U14" s="168">
        <f>(B14/O14)-1</f>
        <v/>
      </c>
      <c r="V14" s="489">
        <f>R14*12</f>
        <v/>
      </c>
      <c r="W14" s="489">
        <f>S14*4</f>
        <v/>
      </c>
      <c r="X14" s="489">
        <f>T14*2</f>
        <v/>
      </c>
      <c r="Y14" s="489">
        <f>U14*1</f>
        <v/>
      </c>
      <c r="Z14" s="180">
        <f>SUM(V14:Y14)</f>
        <v/>
      </c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50" t="n"/>
      <c r="AV14" s="50" t="n"/>
      <c r="AW14" s="50" t="n"/>
      <c r="AX14" s="50" t="n"/>
      <c r="AY14" s="50" t="n"/>
      <c r="AZ14" s="50" t="n"/>
      <c r="BA14" s="50" t="n"/>
      <c r="BB14" s="50" t="n"/>
      <c r="BC14" s="50" t="n"/>
      <c r="BD14" s="50" t="n"/>
      <c r="BE14" s="50" t="n"/>
      <c r="BF14" s="50" t="n"/>
      <c r="BG14" s="50" t="n"/>
      <c r="BH14" s="50" t="n"/>
      <c r="BI14" s="50" t="n"/>
      <c r="BJ14" s="50" t="n"/>
      <c r="BK14" s="50" t="n"/>
      <c r="BL14" s="50" t="n"/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  <c r="BW14" s="50" t="n"/>
      <c r="BX14" s="50" t="n"/>
      <c r="BY14" s="50" t="n"/>
      <c r="BZ14" s="50" t="n"/>
      <c r="CA14" s="50" t="n"/>
      <c r="CB14" s="50" t="n"/>
      <c r="CC14" s="50" t="n"/>
      <c r="CD14" s="50" t="n"/>
      <c r="CE14" s="50" t="n"/>
      <c r="CF14" s="50" t="n"/>
      <c r="CG14" s="50" t="n"/>
      <c r="CH14" s="50" t="n"/>
      <c r="CI14" s="50" t="n"/>
      <c r="CJ14" s="50" t="n"/>
      <c r="CK14" s="50" t="n"/>
      <c r="CL14" s="50" t="n"/>
      <c r="CM14" s="50" t="n"/>
      <c r="CN14" s="50" t="n"/>
      <c r="CO14" s="50" t="n"/>
      <c r="CP14" s="50" t="n"/>
      <c r="CQ14" s="50" t="n"/>
      <c r="CR14" s="50" t="n"/>
      <c r="CS14" s="50" t="n"/>
      <c r="CT14" s="50" t="n"/>
      <c r="CU14" s="50" t="n"/>
      <c r="CV14" s="50" t="n"/>
      <c r="CW14" s="50" t="n"/>
      <c r="CX14" s="50" t="n"/>
      <c r="CY14" s="50" t="n"/>
      <c r="CZ14" s="50" t="n"/>
      <c r="DA14" s="50" t="n"/>
      <c r="DB14" s="50" t="n"/>
      <c r="DC14" s="50" t="n"/>
      <c r="DD14" s="50" t="n"/>
      <c r="DE14" s="50" t="n"/>
      <c r="DF14" s="50" t="n"/>
      <c r="DG14" s="50" t="n"/>
      <c r="DH14" s="50" t="n"/>
      <c r="DI14" s="50" t="n"/>
      <c r="DJ14" s="50" t="n"/>
      <c r="DK14" s="50" t="n"/>
      <c r="DL14" s="50" t="n"/>
      <c r="DM14" s="50" t="n"/>
      <c r="DN14" s="50" t="n"/>
      <c r="DO14" s="50" t="n"/>
      <c r="DP14" s="50" t="n"/>
      <c r="DQ14" s="50" t="n"/>
      <c r="DR14" s="50" t="n"/>
      <c r="DS14" s="50" t="n"/>
      <c r="DT14" s="50" t="n"/>
      <c r="DU14" s="50" t="n"/>
      <c r="DV14" s="50" t="n"/>
      <c r="DW14" s="50" t="n"/>
      <c r="DX14" s="50" t="n"/>
      <c r="DY14" s="50" t="n"/>
      <c r="DZ14" s="50" t="n"/>
      <c r="EA14" s="50" t="n"/>
      <c r="EB14" s="50" t="n"/>
      <c r="EC14" s="50" t="n"/>
      <c r="ED14" s="50" t="n"/>
      <c r="EE14" s="50" t="n"/>
      <c r="EF14" s="50" t="n"/>
      <c r="EG14" s="50" t="n"/>
      <c r="EH14" s="50" t="n"/>
      <c r="EI14" s="50" t="n"/>
      <c r="EJ14" s="50" t="n"/>
      <c r="EK14" s="50" t="n"/>
      <c r="EL14" s="50" t="n"/>
      <c r="EM14" s="50" t="n"/>
      <c r="EN14" s="50" t="n"/>
      <c r="EO14" s="50" t="n"/>
      <c r="EP14" s="50" t="n"/>
      <c r="EQ14" s="50" t="n"/>
      <c r="ER14" s="50" t="n"/>
      <c r="ES14" s="50" t="n"/>
      <c r="ET14" s="50" t="n"/>
      <c r="EU14" s="50" t="n"/>
      <c r="EV14" s="50" t="n"/>
      <c r="EW14" s="50" t="n"/>
      <c r="EX14" s="50" t="n"/>
      <c r="EY14" s="50" t="n"/>
      <c r="EZ14" s="50" t="n"/>
      <c r="FA14" s="50" t="n"/>
      <c r="FB14" s="50" t="n"/>
      <c r="FC14" s="50" t="n"/>
      <c r="FD14" s="50" t="n"/>
      <c r="FE14" s="50" t="n"/>
      <c r="FF14" s="50" t="n"/>
      <c r="FG14" s="50" t="n"/>
      <c r="FH14" s="50" t="n"/>
      <c r="FI14" s="50" t="n"/>
      <c r="FJ14" s="50" t="n"/>
      <c r="FK14" s="50" t="n"/>
      <c r="FL14" s="50" t="n"/>
      <c r="FM14" s="50" t="n"/>
      <c r="FN14" s="50" t="n"/>
      <c r="FO14" s="50" t="n"/>
      <c r="FP14" s="50" t="n"/>
      <c r="FQ14" s="50" t="n"/>
      <c r="FR14" s="50" t="n"/>
      <c r="FS14" s="50" t="n"/>
      <c r="FT14" s="50" t="n"/>
      <c r="FU14" s="50" t="n"/>
      <c r="FV14" s="50" t="n"/>
      <c r="FW14" s="50" t="n"/>
      <c r="FX14" s="50" t="n"/>
      <c r="FY14" s="50" t="n"/>
      <c r="FZ14" s="50" t="n"/>
      <c r="GA14" s="50" t="n"/>
      <c r="GB14" s="50" t="n"/>
      <c r="GC14" s="50" t="n"/>
      <c r="GD14" s="50" t="n"/>
      <c r="GE14" s="50" t="n"/>
      <c r="GF14" s="50" t="n"/>
      <c r="GG14" s="50" t="n"/>
      <c r="GH14" s="50" t="n"/>
      <c r="GI14" s="50" t="n"/>
      <c r="GJ14" s="50" t="n"/>
      <c r="GK14" s="50" t="n"/>
      <c r="GL14" s="50" t="n"/>
      <c r="GM14" s="50" t="n"/>
      <c r="GN14" s="50" t="n"/>
      <c r="GO14" s="50" t="n"/>
      <c r="GP14" s="50" t="n"/>
      <c r="GQ14" s="50" t="n"/>
      <c r="GR14" s="50" t="n"/>
      <c r="GS14" s="50" t="n"/>
      <c r="GT14" s="50" t="n"/>
      <c r="GU14" s="50" t="n"/>
      <c r="GV14" s="50" t="n"/>
      <c r="GW14" s="50" t="n"/>
      <c r="GX14" s="50" t="n"/>
      <c r="GY14" s="50" t="n"/>
      <c r="GZ14" s="50" t="n"/>
      <c r="HA14" s="50" t="n"/>
      <c r="HB14" s="50" t="n"/>
      <c r="HC14" s="50" t="n"/>
      <c r="HD14" s="50" t="n"/>
      <c r="HE14" s="50" t="n"/>
      <c r="HF14" s="50" t="n"/>
      <c r="HG14" s="50" t="n"/>
      <c r="HH14" s="50" t="n"/>
      <c r="HI14" s="50" t="n"/>
      <c r="HJ14" s="50" t="n"/>
      <c r="HK14" s="50" t="n"/>
      <c r="HL14" s="50" t="n"/>
      <c r="HM14" s="50" t="n"/>
      <c r="HN14" s="50" t="n"/>
      <c r="HO14" s="50" t="n"/>
      <c r="HP14" s="50" t="n"/>
      <c r="HQ14" s="50" t="n"/>
      <c r="HR14" s="50" t="n"/>
      <c r="HS14" s="50" t="n"/>
      <c r="HT14" s="50" t="n"/>
      <c r="HU14" s="50" t="n"/>
      <c r="HV14" s="50" t="n"/>
      <c r="HW14" s="50" t="n"/>
      <c r="HX14" s="50" t="n"/>
      <c r="HY14" s="50" t="n"/>
      <c r="HZ14" s="50" t="n"/>
      <c r="IA14" s="50" t="n"/>
      <c r="IB14" s="50" t="n"/>
      <c r="IC14" s="50" t="n"/>
      <c r="ID14" s="50" t="n"/>
      <c r="IE14" s="50" t="n"/>
      <c r="IF14" s="50" t="n"/>
      <c r="IG14" s="50" t="n"/>
      <c r="IH14" s="50" t="n"/>
      <c r="II14" s="50" t="n"/>
      <c r="IJ14" s="50" t="n"/>
      <c r="IK14" s="50" t="n"/>
      <c r="IL14" s="50" t="n"/>
      <c r="IM14" s="50" t="n"/>
      <c r="IN14" s="50" t="n"/>
      <c r="IO14" s="50" t="n"/>
      <c r="IP14" s="50" t="n"/>
      <c r="IQ14" s="50" t="n"/>
    </row>
    <row r="15" ht="13.5" customHeight="1" s="322">
      <c r="A15" s="145">
        <f>관심종목!D20</f>
        <v/>
      </c>
      <c r="B15" s="488">
        <f>관심종목!H20</f>
        <v/>
      </c>
      <c r="C15" s="148">
        <f>IFERROR(LOOKUP(C1,INDEX(차트데이터!$A:$BZ,0,MATCH("LQD",차트데이터!$1:$1,0)),INDEX(차트데이터!$A:$BZ,0,MATCH("LQD",차트데이터!$1:$1,0)+1)),"")</f>
        <v/>
      </c>
      <c r="D15" s="148">
        <f>IFERROR(LOOKUP(D1,INDEX(차트데이터!$A:$BZ,0,MATCH("LQD",차트데이터!$1:$1,0)),INDEX(차트데이터!$A:$BZ,0,MATCH("LQD",차트데이터!$1:$1,0)+1)),"")</f>
        <v/>
      </c>
      <c r="E15" s="148">
        <f>IFERROR(LOOKUP(E1,INDEX(차트데이터!$A:$BZ,0,MATCH("LQD",차트데이터!$1:$1,0)),INDEX(차트데이터!$A:$BZ,0,MATCH("LQD",차트데이터!$1:$1,0)+1)),"")</f>
        <v/>
      </c>
      <c r="F15" s="148">
        <f>IFERROR(LOOKUP(F1,INDEX(차트데이터!$A:$BZ,0,MATCH("LQD",차트데이터!$1:$1,0)),INDEX(차트데이터!$A:$BZ,0,MATCH("LQD",차트데이터!$1:$1,0)+1)),"")</f>
        <v/>
      </c>
      <c r="G15" s="148">
        <f>IFERROR(LOOKUP(G1,INDEX(차트데이터!$A:$BZ,0,MATCH("LQD",차트데이터!$1:$1,0)),INDEX(차트데이터!$A:$BZ,0,MATCH("LQD",차트데이터!$1:$1,0)+1)),"")</f>
        <v/>
      </c>
      <c r="H15" s="148">
        <f>IFERROR(LOOKUP(H1,INDEX(차트데이터!$A:$BZ,0,MATCH("LQD",차트데이터!$1:$1,0)),INDEX(차트데이터!$A:$BZ,0,MATCH("LQD",차트데이터!$1:$1,0)+1)),"")</f>
        <v/>
      </c>
      <c r="I15" s="148">
        <f>IFERROR(LOOKUP(I1,INDEX(차트데이터!$A:$BZ,0,MATCH("LQD",차트데이터!$1:$1,0)),INDEX(차트데이터!$A:$BZ,0,MATCH("LQD",차트데이터!$1:$1,0)+1)),"")</f>
        <v/>
      </c>
      <c r="J15" s="148">
        <f>IFERROR(LOOKUP(J1,INDEX(차트데이터!$A:$BZ,0,MATCH("LQD",차트데이터!$1:$1,0)),INDEX(차트데이터!$A:$BZ,0,MATCH("LQD",차트데이터!$1:$1,0)+1)),"")</f>
        <v/>
      </c>
      <c r="K15" s="148">
        <f>IFERROR(LOOKUP(K1,INDEX(차트데이터!$A:$BZ,0,MATCH("LQD",차트데이터!$1:$1,0)),INDEX(차트데이터!$A:$BZ,0,MATCH("LQD",차트데이터!$1:$1,0)+1)),"")</f>
        <v/>
      </c>
      <c r="L15" s="148">
        <f>IFERROR(LOOKUP(L1,INDEX(차트데이터!$A:$BZ,0,MATCH("LQD",차트데이터!$1:$1,0)),INDEX(차트데이터!$A:$BZ,0,MATCH("LQD",차트데이터!$1:$1,0)+1)),"")</f>
        <v/>
      </c>
      <c r="M15" s="148">
        <f>IFERROR(LOOKUP(M1,INDEX(차트데이터!$A:$BZ,0,MATCH("LQD",차트데이터!$1:$1,0)),INDEX(차트데이터!$A:$BZ,0,MATCH("LQD",차트데이터!$1:$1,0)+1)),"")</f>
        <v/>
      </c>
      <c r="N15" s="148">
        <f>IFERROR(LOOKUP(N1,INDEX(차트데이터!$A:$BZ,0,MATCH("LQD",차트데이터!$1:$1,0)),INDEX(차트데이터!$A:$BZ,0,MATCH("LQD",차트데이터!$1:$1,0)+1)),"")</f>
        <v/>
      </c>
      <c r="O15" s="148">
        <f>IFERROR(LOOKUP(O1,INDEX(차트데이터!$A:$BZ,0,MATCH("LQD",차트데이터!$1:$1,0)),INDEX(차트데이터!$A:$BZ,0,MATCH("LQD",차트데이터!$1:$1,0)+1)),"")</f>
        <v/>
      </c>
      <c r="P15" s="163">
        <f>AVERAGE(D15:O15)</f>
        <v/>
      </c>
      <c r="Q15" s="165">
        <f>B15/P15</f>
        <v/>
      </c>
      <c r="R15" s="168">
        <f>(B15/D15)-1</f>
        <v/>
      </c>
      <c r="S15" s="168">
        <f>(B15/F15)-1</f>
        <v/>
      </c>
      <c r="T15" s="168">
        <f>(B15/I15)-1</f>
        <v/>
      </c>
      <c r="U15" s="168">
        <f>(B15/O15)-1</f>
        <v/>
      </c>
      <c r="V15" s="489">
        <f>R15*12</f>
        <v/>
      </c>
      <c r="W15" s="489">
        <f>S15*4</f>
        <v/>
      </c>
      <c r="X15" s="489">
        <f>T15*2</f>
        <v/>
      </c>
      <c r="Y15" s="489">
        <f>U15*1</f>
        <v/>
      </c>
      <c r="Z15" s="180">
        <f>SUM(V15:Y15)</f>
        <v/>
      </c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  <c r="AT15" s="50" t="n"/>
      <c r="AU15" s="50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50" t="n"/>
      <c r="BE15" s="50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50" t="n"/>
      <c r="BP15" s="50" t="n"/>
      <c r="BQ15" s="50" t="n"/>
      <c r="BR15" s="50" t="n"/>
      <c r="BS15" s="50" t="n"/>
      <c r="BT15" s="50" t="n"/>
      <c r="BU15" s="50" t="n"/>
      <c r="BV15" s="50" t="n"/>
      <c r="BW15" s="50" t="n"/>
      <c r="BX15" s="50" t="n"/>
      <c r="BY15" s="50" t="n"/>
      <c r="BZ15" s="50" t="n"/>
      <c r="CA15" s="50" t="n"/>
      <c r="CB15" s="50" t="n"/>
      <c r="CC15" s="50" t="n"/>
      <c r="CD15" s="50" t="n"/>
      <c r="CE15" s="50" t="n"/>
      <c r="CF15" s="50" t="n"/>
      <c r="CG15" s="50" t="n"/>
      <c r="CH15" s="50" t="n"/>
      <c r="CI15" s="50" t="n"/>
      <c r="CJ15" s="50" t="n"/>
      <c r="CK15" s="50" t="n"/>
      <c r="CL15" s="50" t="n"/>
      <c r="CM15" s="50" t="n"/>
      <c r="CN15" s="50" t="n"/>
      <c r="CO15" s="50" t="n"/>
      <c r="CP15" s="50" t="n"/>
      <c r="CQ15" s="50" t="n"/>
      <c r="CR15" s="50" t="n"/>
      <c r="CS15" s="50" t="n"/>
      <c r="CT15" s="50" t="n"/>
      <c r="CU15" s="50" t="n"/>
      <c r="CV15" s="50" t="n"/>
      <c r="CW15" s="50" t="n"/>
      <c r="CX15" s="50" t="n"/>
      <c r="CY15" s="50" t="n"/>
      <c r="CZ15" s="50" t="n"/>
      <c r="DA15" s="50" t="n"/>
      <c r="DB15" s="50" t="n"/>
      <c r="DC15" s="50" t="n"/>
      <c r="DD15" s="50" t="n"/>
      <c r="DE15" s="50" t="n"/>
      <c r="DF15" s="50" t="n"/>
      <c r="DG15" s="50" t="n"/>
      <c r="DH15" s="50" t="n"/>
      <c r="DI15" s="50" t="n"/>
      <c r="DJ15" s="50" t="n"/>
      <c r="DK15" s="50" t="n"/>
      <c r="DL15" s="50" t="n"/>
      <c r="DM15" s="50" t="n"/>
      <c r="DN15" s="50" t="n"/>
      <c r="DO15" s="50" t="n"/>
      <c r="DP15" s="50" t="n"/>
      <c r="DQ15" s="50" t="n"/>
      <c r="DR15" s="50" t="n"/>
      <c r="DS15" s="50" t="n"/>
      <c r="DT15" s="50" t="n"/>
      <c r="DU15" s="50" t="n"/>
      <c r="DV15" s="50" t="n"/>
      <c r="DW15" s="50" t="n"/>
      <c r="DX15" s="50" t="n"/>
      <c r="DY15" s="50" t="n"/>
      <c r="DZ15" s="50" t="n"/>
      <c r="EA15" s="50" t="n"/>
      <c r="EB15" s="50" t="n"/>
      <c r="EC15" s="50" t="n"/>
      <c r="ED15" s="50" t="n"/>
      <c r="EE15" s="50" t="n"/>
      <c r="EF15" s="50" t="n"/>
      <c r="EG15" s="50" t="n"/>
      <c r="EH15" s="50" t="n"/>
      <c r="EI15" s="50" t="n"/>
      <c r="EJ15" s="50" t="n"/>
      <c r="EK15" s="50" t="n"/>
      <c r="EL15" s="50" t="n"/>
      <c r="EM15" s="50" t="n"/>
      <c r="EN15" s="50" t="n"/>
      <c r="EO15" s="50" t="n"/>
      <c r="EP15" s="50" t="n"/>
      <c r="EQ15" s="50" t="n"/>
      <c r="ER15" s="50" t="n"/>
      <c r="ES15" s="50" t="n"/>
      <c r="ET15" s="50" t="n"/>
      <c r="EU15" s="50" t="n"/>
      <c r="EV15" s="50" t="n"/>
      <c r="EW15" s="50" t="n"/>
      <c r="EX15" s="50" t="n"/>
      <c r="EY15" s="50" t="n"/>
      <c r="EZ15" s="50" t="n"/>
      <c r="FA15" s="50" t="n"/>
      <c r="FB15" s="50" t="n"/>
      <c r="FC15" s="50" t="n"/>
      <c r="FD15" s="50" t="n"/>
      <c r="FE15" s="50" t="n"/>
      <c r="FF15" s="50" t="n"/>
      <c r="FG15" s="50" t="n"/>
      <c r="FH15" s="50" t="n"/>
      <c r="FI15" s="50" t="n"/>
      <c r="FJ15" s="50" t="n"/>
      <c r="FK15" s="50" t="n"/>
      <c r="FL15" s="50" t="n"/>
      <c r="FM15" s="50" t="n"/>
      <c r="FN15" s="50" t="n"/>
      <c r="FO15" s="50" t="n"/>
      <c r="FP15" s="50" t="n"/>
      <c r="FQ15" s="50" t="n"/>
      <c r="FR15" s="50" t="n"/>
      <c r="FS15" s="50" t="n"/>
      <c r="FT15" s="50" t="n"/>
      <c r="FU15" s="50" t="n"/>
      <c r="FV15" s="50" t="n"/>
      <c r="FW15" s="50" t="n"/>
      <c r="FX15" s="50" t="n"/>
      <c r="FY15" s="50" t="n"/>
      <c r="FZ15" s="50" t="n"/>
      <c r="GA15" s="50" t="n"/>
      <c r="GB15" s="50" t="n"/>
      <c r="GC15" s="50" t="n"/>
      <c r="GD15" s="50" t="n"/>
      <c r="GE15" s="50" t="n"/>
      <c r="GF15" s="50" t="n"/>
      <c r="GG15" s="50" t="n"/>
      <c r="GH15" s="50" t="n"/>
      <c r="GI15" s="50" t="n"/>
      <c r="GJ15" s="50" t="n"/>
      <c r="GK15" s="50" t="n"/>
      <c r="GL15" s="50" t="n"/>
      <c r="GM15" s="50" t="n"/>
      <c r="GN15" s="50" t="n"/>
      <c r="GO15" s="50" t="n"/>
      <c r="GP15" s="50" t="n"/>
      <c r="GQ15" s="50" t="n"/>
      <c r="GR15" s="50" t="n"/>
      <c r="GS15" s="50" t="n"/>
      <c r="GT15" s="50" t="n"/>
      <c r="GU15" s="50" t="n"/>
      <c r="GV15" s="50" t="n"/>
      <c r="GW15" s="50" t="n"/>
      <c r="GX15" s="50" t="n"/>
      <c r="GY15" s="50" t="n"/>
      <c r="GZ15" s="50" t="n"/>
      <c r="HA15" s="50" t="n"/>
      <c r="HB15" s="50" t="n"/>
      <c r="HC15" s="50" t="n"/>
      <c r="HD15" s="50" t="n"/>
      <c r="HE15" s="50" t="n"/>
      <c r="HF15" s="50" t="n"/>
      <c r="HG15" s="50" t="n"/>
      <c r="HH15" s="50" t="n"/>
      <c r="HI15" s="50" t="n"/>
      <c r="HJ15" s="50" t="n"/>
      <c r="HK15" s="50" t="n"/>
      <c r="HL15" s="50" t="n"/>
      <c r="HM15" s="50" t="n"/>
      <c r="HN15" s="50" t="n"/>
      <c r="HO15" s="50" t="n"/>
      <c r="HP15" s="50" t="n"/>
      <c r="HQ15" s="50" t="n"/>
      <c r="HR15" s="50" t="n"/>
      <c r="HS15" s="50" t="n"/>
      <c r="HT15" s="50" t="n"/>
      <c r="HU15" s="50" t="n"/>
      <c r="HV15" s="50" t="n"/>
      <c r="HW15" s="50" t="n"/>
      <c r="HX15" s="50" t="n"/>
      <c r="HY15" s="50" t="n"/>
      <c r="HZ15" s="50" t="n"/>
      <c r="IA15" s="50" t="n"/>
      <c r="IB15" s="50" t="n"/>
      <c r="IC15" s="50" t="n"/>
      <c r="ID15" s="50" t="n"/>
      <c r="IE15" s="50" t="n"/>
      <c r="IF15" s="50" t="n"/>
      <c r="IG15" s="50" t="n"/>
      <c r="IH15" s="50" t="n"/>
      <c r="II15" s="50" t="n"/>
      <c r="IJ15" s="50" t="n"/>
      <c r="IK15" s="50" t="n"/>
      <c r="IL15" s="50" t="n"/>
      <c r="IM15" s="50" t="n"/>
      <c r="IN15" s="50" t="n"/>
      <c r="IO15" s="50" t="n"/>
      <c r="IP15" s="50" t="n"/>
      <c r="IQ15" s="50" t="n"/>
    </row>
    <row r="16" ht="13.5" customHeight="1" s="322">
      <c r="A16" s="241">
        <f>관심종목!D21</f>
        <v/>
      </c>
      <c r="B16" s="490">
        <f>관심종목!H21</f>
        <v/>
      </c>
      <c r="C16" s="243">
        <f>IFERROR(LOOKUP(C1,INDEX(차트데이터!$A:$BZ,0,MATCH("HYG",차트데이터!$1:$1,0)),INDEX(차트데이터!$A:$BZ,0,MATCH("HYG",차트데이터!$1:$1,0)+1)),"")</f>
        <v/>
      </c>
      <c r="D16" s="243">
        <f>IFERROR(LOOKUP(D1,INDEX(차트데이터!$A:$BZ,0,MATCH("HYG",차트데이터!$1:$1,0)),INDEX(차트데이터!$A:$BZ,0,MATCH("HYG",차트데이터!$1:$1,0)+1)),"")</f>
        <v/>
      </c>
      <c r="E16" s="243">
        <f>IFERROR(LOOKUP(E1,INDEX(차트데이터!$A:$BZ,0,MATCH("HYG",차트데이터!$1:$1,0)),INDEX(차트데이터!$A:$BZ,0,MATCH("HYG",차트데이터!$1:$1,0)+1)),"")</f>
        <v/>
      </c>
      <c r="F16" s="243">
        <f>IFERROR(LOOKUP(F1,INDEX(차트데이터!$A:$BZ,0,MATCH("HYG",차트데이터!$1:$1,0)),INDEX(차트데이터!$A:$BZ,0,MATCH("HYG",차트데이터!$1:$1,0)+1)),"")</f>
        <v/>
      </c>
      <c r="G16" s="243">
        <f>IFERROR(LOOKUP(G1,INDEX(차트데이터!$A:$BZ,0,MATCH("HYG",차트데이터!$1:$1,0)),INDEX(차트데이터!$A:$BZ,0,MATCH("HYG",차트데이터!$1:$1,0)+1)),"")</f>
        <v/>
      </c>
      <c r="H16" s="243">
        <f>IFERROR(LOOKUP(H1,INDEX(차트데이터!$A:$BZ,0,MATCH("HYG",차트데이터!$1:$1,0)),INDEX(차트데이터!$A:$BZ,0,MATCH("HYG",차트데이터!$1:$1,0)+1)),"")</f>
        <v/>
      </c>
      <c r="I16" s="243">
        <f>IFERROR(LOOKUP(I1,INDEX(차트데이터!$A:$BZ,0,MATCH("HYG",차트데이터!$1:$1,0)),INDEX(차트데이터!$A:$BZ,0,MATCH("HYG",차트데이터!$1:$1,0)+1)),"")</f>
        <v/>
      </c>
      <c r="J16" s="243">
        <f>IFERROR(LOOKUP(J1,INDEX(차트데이터!$A:$BZ,0,MATCH("HYG",차트데이터!$1:$1,0)),INDEX(차트데이터!$A:$BZ,0,MATCH("HYG",차트데이터!$1:$1,0)+1)),"")</f>
        <v/>
      </c>
      <c r="K16" s="243">
        <f>IFERROR(LOOKUP(K1,INDEX(차트데이터!$A:$BZ,0,MATCH("HYG",차트데이터!$1:$1,0)),INDEX(차트데이터!$A:$BZ,0,MATCH("HYG",차트데이터!$1:$1,0)+1)),"")</f>
        <v/>
      </c>
      <c r="L16" s="243">
        <f>IFERROR(LOOKUP(L1,INDEX(차트데이터!$A:$BZ,0,MATCH("HYG",차트데이터!$1:$1,0)),INDEX(차트데이터!$A:$BZ,0,MATCH("HYG",차트데이터!$1:$1,0)+1)),"")</f>
        <v/>
      </c>
      <c r="M16" s="243">
        <f>IFERROR(LOOKUP(M1,INDEX(차트데이터!$A:$BZ,0,MATCH("HYG",차트데이터!$1:$1,0)),INDEX(차트데이터!$A:$BZ,0,MATCH("HYG",차트데이터!$1:$1,0)+1)),"")</f>
        <v/>
      </c>
      <c r="N16" s="243">
        <f>IFERROR(LOOKUP(N1,INDEX(차트데이터!$A:$BZ,0,MATCH("HYG",차트데이터!$1:$1,0)),INDEX(차트데이터!$A:$BZ,0,MATCH("HYG",차트데이터!$1:$1,0)+1)),"")</f>
        <v/>
      </c>
      <c r="O16" s="243">
        <f>IFERROR(LOOKUP(O1,INDEX(차트데이터!$A:$BZ,0,MATCH("HYG",차트데이터!$1:$1,0)),INDEX(차트데이터!$A:$BZ,0,MATCH("HYG",차트데이터!$1:$1,0)+1)),"")</f>
        <v/>
      </c>
      <c r="P16" s="244">
        <f>AVERAGE(D16:O16)</f>
        <v/>
      </c>
      <c r="Q16" s="245">
        <f>B16/P16</f>
        <v/>
      </c>
      <c r="R16" s="246">
        <f>(B16/D16)-1</f>
        <v/>
      </c>
      <c r="S16" s="246">
        <f>(B16/F16)-1</f>
        <v/>
      </c>
      <c r="T16" s="246">
        <f>(B16/I16)-1</f>
        <v/>
      </c>
      <c r="U16" s="246">
        <f>(B16/O16)-1</f>
        <v/>
      </c>
      <c r="V16" s="491">
        <f>R16*12</f>
        <v/>
      </c>
      <c r="W16" s="491">
        <f>S16*4</f>
        <v/>
      </c>
      <c r="X16" s="491">
        <f>T16*2</f>
        <v/>
      </c>
      <c r="Y16" s="491">
        <f>U16*1</f>
        <v/>
      </c>
      <c r="Z16" s="248">
        <f>SUM(V16:Y16)</f>
        <v/>
      </c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0" t="n"/>
      <c r="BK16" s="50" t="n"/>
      <c r="BL16" s="50" t="n"/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  <c r="BW16" s="50" t="n"/>
      <c r="BX16" s="50" t="n"/>
      <c r="BY16" s="50" t="n"/>
      <c r="BZ16" s="50" t="n"/>
      <c r="CA16" s="50" t="n"/>
      <c r="CB16" s="50" t="n"/>
      <c r="CC16" s="50" t="n"/>
      <c r="CD16" s="50" t="n"/>
      <c r="CE16" s="50" t="n"/>
      <c r="CF16" s="50" t="n"/>
      <c r="CG16" s="50" t="n"/>
      <c r="CH16" s="50" t="n"/>
      <c r="CI16" s="50" t="n"/>
      <c r="CJ16" s="50" t="n"/>
      <c r="CK16" s="50" t="n"/>
      <c r="CL16" s="50" t="n"/>
      <c r="CM16" s="50" t="n"/>
      <c r="CN16" s="50" t="n"/>
      <c r="CO16" s="50" t="n"/>
      <c r="CP16" s="50" t="n"/>
      <c r="CQ16" s="50" t="n"/>
      <c r="CR16" s="50" t="n"/>
      <c r="CS16" s="50" t="n"/>
      <c r="CT16" s="50" t="n"/>
      <c r="CU16" s="50" t="n"/>
      <c r="CV16" s="50" t="n"/>
      <c r="CW16" s="50" t="n"/>
      <c r="CX16" s="50" t="n"/>
      <c r="CY16" s="50" t="n"/>
      <c r="CZ16" s="50" t="n"/>
      <c r="DA16" s="50" t="n"/>
      <c r="DB16" s="50" t="n"/>
      <c r="DC16" s="50" t="n"/>
      <c r="DD16" s="50" t="n"/>
      <c r="DE16" s="50" t="n"/>
      <c r="DF16" s="50" t="n"/>
      <c r="DG16" s="50" t="n"/>
      <c r="DH16" s="50" t="n"/>
      <c r="DI16" s="50" t="n"/>
      <c r="DJ16" s="50" t="n"/>
      <c r="DK16" s="50" t="n"/>
      <c r="DL16" s="50" t="n"/>
      <c r="DM16" s="50" t="n"/>
      <c r="DN16" s="50" t="n"/>
      <c r="DO16" s="50" t="n"/>
      <c r="DP16" s="50" t="n"/>
      <c r="DQ16" s="50" t="n"/>
      <c r="DR16" s="50" t="n"/>
      <c r="DS16" s="50" t="n"/>
      <c r="DT16" s="50" t="n"/>
      <c r="DU16" s="50" t="n"/>
      <c r="DV16" s="50" t="n"/>
      <c r="DW16" s="50" t="n"/>
      <c r="DX16" s="50" t="n"/>
      <c r="DY16" s="50" t="n"/>
      <c r="DZ16" s="50" t="n"/>
      <c r="EA16" s="50" t="n"/>
      <c r="EB16" s="50" t="n"/>
      <c r="EC16" s="50" t="n"/>
      <c r="ED16" s="50" t="n"/>
      <c r="EE16" s="50" t="n"/>
      <c r="EF16" s="50" t="n"/>
      <c r="EG16" s="50" t="n"/>
      <c r="EH16" s="50" t="n"/>
      <c r="EI16" s="50" t="n"/>
      <c r="EJ16" s="50" t="n"/>
      <c r="EK16" s="50" t="n"/>
      <c r="EL16" s="50" t="n"/>
      <c r="EM16" s="50" t="n"/>
      <c r="EN16" s="50" t="n"/>
      <c r="EO16" s="50" t="n"/>
      <c r="EP16" s="50" t="n"/>
      <c r="EQ16" s="50" t="n"/>
      <c r="ER16" s="50" t="n"/>
      <c r="ES16" s="50" t="n"/>
      <c r="ET16" s="50" t="n"/>
      <c r="EU16" s="50" t="n"/>
      <c r="EV16" s="50" t="n"/>
      <c r="EW16" s="50" t="n"/>
      <c r="EX16" s="50" t="n"/>
      <c r="EY16" s="50" t="n"/>
      <c r="EZ16" s="50" t="n"/>
      <c r="FA16" s="50" t="n"/>
      <c r="FB16" s="50" t="n"/>
      <c r="FC16" s="50" t="n"/>
      <c r="FD16" s="50" t="n"/>
      <c r="FE16" s="50" t="n"/>
      <c r="FF16" s="50" t="n"/>
      <c r="FG16" s="50" t="n"/>
      <c r="FH16" s="50" t="n"/>
      <c r="FI16" s="50" t="n"/>
      <c r="FJ16" s="50" t="n"/>
      <c r="FK16" s="50" t="n"/>
      <c r="FL16" s="50" t="n"/>
      <c r="FM16" s="50" t="n"/>
      <c r="FN16" s="50" t="n"/>
      <c r="FO16" s="50" t="n"/>
      <c r="FP16" s="50" t="n"/>
      <c r="FQ16" s="50" t="n"/>
      <c r="FR16" s="50" t="n"/>
      <c r="FS16" s="50" t="n"/>
      <c r="FT16" s="50" t="n"/>
      <c r="FU16" s="50" t="n"/>
      <c r="FV16" s="50" t="n"/>
      <c r="FW16" s="50" t="n"/>
      <c r="FX16" s="50" t="n"/>
      <c r="FY16" s="50" t="n"/>
      <c r="FZ16" s="50" t="n"/>
      <c r="GA16" s="50" t="n"/>
      <c r="GB16" s="50" t="n"/>
      <c r="GC16" s="50" t="n"/>
      <c r="GD16" s="50" t="n"/>
      <c r="GE16" s="50" t="n"/>
      <c r="GF16" s="50" t="n"/>
      <c r="GG16" s="50" t="n"/>
      <c r="GH16" s="50" t="n"/>
      <c r="GI16" s="50" t="n"/>
      <c r="GJ16" s="50" t="n"/>
      <c r="GK16" s="50" t="n"/>
      <c r="GL16" s="50" t="n"/>
      <c r="GM16" s="50" t="n"/>
      <c r="GN16" s="50" t="n"/>
      <c r="GO16" s="50" t="n"/>
      <c r="GP16" s="50" t="n"/>
      <c r="GQ16" s="50" t="n"/>
      <c r="GR16" s="50" t="n"/>
      <c r="GS16" s="50" t="n"/>
      <c r="GT16" s="50" t="n"/>
      <c r="GU16" s="50" t="n"/>
      <c r="GV16" s="50" t="n"/>
      <c r="GW16" s="50" t="n"/>
      <c r="GX16" s="50" t="n"/>
      <c r="GY16" s="50" t="n"/>
      <c r="GZ16" s="50" t="n"/>
      <c r="HA16" s="50" t="n"/>
      <c r="HB16" s="50" t="n"/>
      <c r="HC16" s="50" t="n"/>
      <c r="HD16" s="50" t="n"/>
      <c r="HE16" s="50" t="n"/>
      <c r="HF16" s="50" t="n"/>
      <c r="HG16" s="50" t="n"/>
      <c r="HH16" s="50" t="n"/>
      <c r="HI16" s="50" t="n"/>
      <c r="HJ16" s="50" t="n"/>
      <c r="HK16" s="50" t="n"/>
      <c r="HL16" s="50" t="n"/>
      <c r="HM16" s="50" t="n"/>
      <c r="HN16" s="50" t="n"/>
      <c r="HO16" s="50" t="n"/>
      <c r="HP16" s="50" t="n"/>
      <c r="HQ16" s="50" t="n"/>
      <c r="HR16" s="50" t="n"/>
      <c r="HS16" s="50" t="n"/>
      <c r="HT16" s="50" t="n"/>
      <c r="HU16" s="50" t="n"/>
      <c r="HV16" s="50" t="n"/>
      <c r="HW16" s="50" t="n"/>
      <c r="HX16" s="50" t="n"/>
      <c r="HY16" s="50" t="n"/>
      <c r="HZ16" s="50" t="n"/>
      <c r="IA16" s="50" t="n"/>
      <c r="IB16" s="50" t="n"/>
      <c r="IC16" s="50" t="n"/>
      <c r="ID16" s="50" t="n"/>
      <c r="IE16" s="50" t="n"/>
      <c r="IF16" s="50" t="n"/>
      <c r="IG16" s="50" t="n"/>
      <c r="IH16" s="50" t="n"/>
      <c r="II16" s="50" t="n"/>
      <c r="IJ16" s="50" t="n"/>
      <c r="IK16" s="50" t="n"/>
      <c r="IL16" s="50" t="n"/>
      <c r="IM16" s="50" t="n"/>
      <c r="IN16" s="50" t="n"/>
      <c r="IO16" s="50" t="n"/>
      <c r="IP16" s="50" t="n"/>
      <c r="IQ16" s="50" t="n"/>
    </row>
    <row r="17" ht="27" customHeight="1" s="322">
      <c r="A17" s="78" t="inlineStr">
        <is>
          <t>ㅣBAA중도형_안전자산</t>
        </is>
      </c>
      <c r="B17" s="252" t="n"/>
      <c r="C17" s="252" t="n"/>
      <c r="D17" s="252" t="n"/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0" t="n"/>
      <c r="S17" s="250" t="n"/>
      <c r="T17" s="250" t="n"/>
      <c r="U17" s="250" t="n"/>
      <c r="V17" s="492" t="n"/>
      <c r="W17" s="492" t="n"/>
      <c r="X17" s="492" t="n"/>
      <c r="Y17" s="492" t="n"/>
      <c r="Z17" s="180" t="n"/>
      <c r="AA17" s="252" t="n"/>
      <c r="AB17" s="252" t="n"/>
      <c r="AC17" s="252" t="n"/>
      <c r="AD17" s="252" t="n"/>
      <c r="AE17" s="252" t="n"/>
      <c r="AF17" s="252" t="n"/>
      <c r="AG17" s="252" t="n"/>
      <c r="AH17" s="252" t="n"/>
      <c r="AI17" s="252" t="n"/>
      <c r="AJ17" s="252" t="n"/>
      <c r="AK17" s="252" t="n"/>
      <c r="AL17" s="252" t="n"/>
      <c r="AM17" s="252" t="n"/>
      <c r="AN17" s="252" t="n"/>
      <c r="AO17" s="252" t="n"/>
      <c r="AP17" s="252" t="n"/>
      <c r="AQ17" s="252" t="n"/>
      <c r="AR17" s="252" t="n"/>
      <c r="AS17" s="252" t="n"/>
      <c r="AT17" s="252" t="n"/>
      <c r="AU17" s="252" t="n"/>
      <c r="AV17" s="252" t="n"/>
      <c r="AW17" s="252" t="n"/>
      <c r="AX17" s="252" t="n"/>
      <c r="AY17" s="252" t="n"/>
      <c r="AZ17" s="252" t="n"/>
      <c r="BA17" s="252" t="n"/>
      <c r="BB17" s="252" t="n"/>
      <c r="BC17" s="252" t="n"/>
      <c r="BD17" s="252" t="n"/>
      <c r="BE17" s="252" t="n"/>
      <c r="BF17" s="252" t="n"/>
      <c r="BG17" s="252" t="n"/>
      <c r="BH17" s="252" t="n"/>
      <c r="BI17" s="252" t="n"/>
      <c r="BJ17" s="252" t="n"/>
      <c r="BK17" s="252" t="n"/>
      <c r="BL17" s="252" t="n"/>
      <c r="BM17" s="252" t="n"/>
      <c r="BN17" s="252" t="n"/>
      <c r="BO17" s="252" t="n"/>
      <c r="BP17" s="252" t="n"/>
      <c r="BQ17" s="252" t="n"/>
      <c r="BR17" s="252" t="n"/>
      <c r="BS17" s="252" t="n"/>
      <c r="BT17" s="252" t="n"/>
      <c r="BU17" s="252" t="n"/>
      <c r="BV17" s="252" t="n"/>
      <c r="BW17" s="252" t="n"/>
      <c r="BX17" s="252" t="n"/>
      <c r="BY17" s="252" t="n"/>
      <c r="BZ17" s="252" t="n"/>
      <c r="CA17" s="252" t="n"/>
      <c r="CB17" s="252" t="n"/>
      <c r="CC17" s="252" t="n"/>
      <c r="CD17" s="252" t="n"/>
      <c r="CE17" s="252" t="n"/>
      <c r="CF17" s="252" t="n"/>
      <c r="CG17" s="252" t="n"/>
      <c r="CH17" s="252" t="n"/>
      <c r="CI17" s="252" t="n"/>
      <c r="CJ17" s="252" t="n"/>
      <c r="CK17" s="252" t="n"/>
      <c r="CL17" s="252" t="n"/>
      <c r="CM17" s="252" t="n"/>
      <c r="CN17" s="252" t="n"/>
      <c r="CO17" s="252" t="n"/>
      <c r="CP17" s="252" t="n"/>
      <c r="CQ17" s="252" t="n"/>
      <c r="CR17" s="252" t="n"/>
      <c r="CS17" s="252" t="n"/>
      <c r="CT17" s="252" t="n"/>
      <c r="CU17" s="252" t="n"/>
      <c r="CV17" s="252" t="n"/>
      <c r="CW17" s="252" t="n"/>
      <c r="CX17" s="252" t="n"/>
      <c r="CY17" s="252" t="n"/>
      <c r="CZ17" s="252" t="n"/>
      <c r="DA17" s="252" t="n"/>
      <c r="DB17" s="252" t="n"/>
      <c r="DC17" s="252" t="n"/>
      <c r="DD17" s="252" t="n"/>
      <c r="DE17" s="252" t="n"/>
      <c r="DF17" s="252" t="n"/>
      <c r="DG17" s="252" t="n"/>
      <c r="DH17" s="252" t="n"/>
      <c r="DI17" s="252" t="n"/>
      <c r="DJ17" s="252" t="n"/>
      <c r="DK17" s="252" t="n"/>
      <c r="DL17" s="252" t="n"/>
      <c r="DM17" s="252" t="n"/>
      <c r="DN17" s="252" t="n"/>
      <c r="DO17" s="252" t="n"/>
      <c r="DP17" s="252" t="n"/>
      <c r="DQ17" s="252" t="n"/>
      <c r="DR17" s="252" t="n"/>
      <c r="DS17" s="252" t="n"/>
      <c r="DT17" s="252" t="n"/>
      <c r="DU17" s="252" t="n"/>
      <c r="DV17" s="252" t="n"/>
      <c r="DW17" s="252" t="n"/>
      <c r="DX17" s="252" t="n"/>
      <c r="DY17" s="252" t="n"/>
      <c r="DZ17" s="252" t="n"/>
      <c r="EA17" s="252" t="n"/>
      <c r="EB17" s="252" t="n"/>
      <c r="EC17" s="252" t="n"/>
      <c r="ED17" s="252" t="n"/>
      <c r="EE17" s="252" t="n"/>
      <c r="EF17" s="252" t="n"/>
      <c r="EG17" s="252" t="n"/>
      <c r="EH17" s="252" t="n"/>
      <c r="EI17" s="252" t="n"/>
      <c r="EJ17" s="252" t="n"/>
      <c r="EK17" s="252" t="n"/>
      <c r="EL17" s="252" t="n"/>
      <c r="EM17" s="252" t="n"/>
      <c r="EN17" s="252" t="n"/>
      <c r="EO17" s="252" t="n"/>
      <c r="EP17" s="252" t="n"/>
      <c r="EQ17" s="252" t="n"/>
      <c r="ER17" s="252" t="n"/>
      <c r="ES17" s="252" t="n"/>
      <c r="ET17" s="252" t="n"/>
      <c r="EU17" s="252" t="n"/>
      <c r="EV17" s="252" t="n"/>
      <c r="EW17" s="252" t="n"/>
      <c r="EX17" s="252" t="n"/>
      <c r="EY17" s="252" t="n"/>
      <c r="EZ17" s="252" t="n"/>
      <c r="FA17" s="252" t="n"/>
      <c r="FB17" s="252" t="n"/>
      <c r="FC17" s="252" t="n"/>
      <c r="FD17" s="252" t="n"/>
      <c r="FE17" s="252" t="n"/>
      <c r="FF17" s="252" t="n"/>
      <c r="FG17" s="252" t="n"/>
      <c r="FH17" s="252" t="n"/>
      <c r="FI17" s="252" t="n"/>
      <c r="FJ17" s="252" t="n"/>
      <c r="FK17" s="252" t="n"/>
      <c r="FL17" s="252" t="n"/>
      <c r="FM17" s="252" t="n"/>
      <c r="FN17" s="252" t="n"/>
      <c r="FO17" s="252" t="n"/>
      <c r="FP17" s="252" t="n"/>
      <c r="FQ17" s="252" t="n"/>
      <c r="FR17" s="252" t="n"/>
      <c r="FS17" s="252" t="n"/>
      <c r="FT17" s="252" t="n"/>
      <c r="FU17" s="252" t="n"/>
      <c r="FV17" s="252" t="n"/>
      <c r="FW17" s="252" t="n"/>
      <c r="FX17" s="252" t="n"/>
      <c r="FY17" s="252" t="n"/>
      <c r="FZ17" s="252" t="n"/>
      <c r="GA17" s="252" t="n"/>
      <c r="GB17" s="252" t="n"/>
      <c r="GC17" s="252" t="n"/>
      <c r="GD17" s="252" t="n"/>
      <c r="GE17" s="252" t="n"/>
      <c r="GF17" s="252" t="n"/>
      <c r="GG17" s="252" t="n"/>
      <c r="GH17" s="252" t="n"/>
      <c r="GI17" s="252" t="n"/>
      <c r="GJ17" s="252" t="n"/>
      <c r="GK17" s="252" t="n"/>
      <c r="GL17" s="252" t="n"/>
      <c r="GM17" s="252" t="n"/>
      <c r="GN17" s="252" t="n"/>
      <c r="GO17" s="252" t="n"/>
      <c r="GP17" s="252" t="n"/>
      <c r="GQ17" s="252" t="n"/>
      <c r="GR17" s="252" t="n"/>
      <c r="GS17" s="252" t="n"/>
      <c r="GT17" s="252" t="n"/>
      <c r="GU17" s="252" t="n"/>
      <c r="GV17" s="252" t="n"/>
      <c r="GW17" s="252" t="n"/>
      <c r="GX17" s="252" t="n"/>
      <c r="GY17" s="252" t="n"/>
      <c r="GZ17" s="252" t="n"/>
      <c r="HA17" s="252" t="n"/>
      <c r="HB17" s="252" t="n"/>
      <c r="HC17" s="252" t="n"/>
      <c r="HD17" s="252" t="n"/>
      <c r="HE17" s="252" t="n"/>
      <c r="HF17" s="252" t="n"/>
      <c r="HG17" s="252" t="n"/>
      <c r="HH17" s="252" t="n"/>
      <c r="HI17" s="252" t="n"/>
      <c r="HJ17" s="252" t="n"/>
      <c r="HK17" s="252" t="n"/>
      <c r="HL17" s="252" t="n"/>
      <c r="HM17" s="252" t="n"/>
      <c r="HN17" s="252" t="n"/>
      <c r="HO17" s="252" t="n"/>
      <c r="HP17" s="252" t="n"/>
      <c r="HQ17" s="252" t="n"/>
      <c r="HR17" s="252" t="n"/>
      <c r="HS17" s="252" t="n"/>
      <c r="HT17" s="252" t="n"/>
      <c r="HU17" s="252" t="n"/>
      <c r="HV17" s="252" t="n"/>
      <c r="HW17" s="252" t="n"/>
      <c r="HX17" s="252" t="n"/>
      <c r="HY17" s="252" t="n"/>
      <c r="HZ17" s="252" t="n"/>
      <c r="IA17" s="252" t="n"/>
      <c r="IB17" s="252" t="n"/>
      <c r="IC17" s="252" t="n"/>
      <c r="ID17" s="252" t="n"/>
      <c r="IE17" s="252" t="n"/>
      <c r="IF17" s="252" t="n"/>
      <c r="IG17" s="252" t="n"/>
      <c r="IH17" s="252" t="n"/>
      <c r="II17" s="252" t="n"/>
      <c r="IJ17" s="252" t="n"/>
      <c r="IK17" s="252" t="n"/>
      <c r="IL17" s="252" t="n"/>
      <c r="IM17" s="252" t="n"/>
      <c r="IN17" s="252" t="n"/>
      <c r="IO17" s="252" t="n"/>
      <c r="IP17" s="252" t="n"/>
      <c r="IQ17" s="252" t="n"/>
    </row>
    <row r="18" ht="27" customHeight="1" s="322">
      <c r="A18" s="253" t="inlineStr">
        <is>
          <t>구간</t>
        </is>
      </c>
      <c r="B18" s="121" t="inlineStr">
        <is>
          <t>현재</t>
        </is>
      </c>
      <c r="C18" s="121" t="inlineStr">
        <is>
          <t>전 날</t>
        </is>
      </c>
      <c r="D18" s="121" t="inlineStr">
        <is>
          <t>1개월 전</t>
        </is>
      </c>
      <c r="E18" s="121" t="inlineStr">
        <is>
          <t>2개월 전</t>
        </is>
      </c>
      <c r="F18" s="121" t="inlineStr">
        <is>
          <t>3개월 전</t>
        </is>
      </c>
      <c r="G18" s="121" t="inlineStr">
        <is>
          <t>4개월 전</t>
        </is>
      </c>
      <c r="H18" s="121" t="inlineStr">
        <is>
          <t>5개월 전</t>
        </is>
      </c>
      <c r="I18" s="121" t="inlineStr">
        <is>
          <t>6개월 전</t>
        </is>
      </c>
      <c r="J18" s="121" t="inlineStr">
        <is>
          <t>7개월 전</t>
        </is>
      </c>
      <c r="K18" s="121" t="inlineStr">
        <is>
          <t>8개월 전</t>
        </is>
      </c>
      <c r="L18" s="121" t="inlineStr">
        <is>
          <t>9개월 전</t>
        </is>
      </c>
      <c r="M18" s="121" t="inlineStr">
        <is>
          <t>10개월 전</t>
        </is>
      </c>
      <c r="N18" s="121" t="inlineStr">
        <is>
          <t>11개월 전</t>
        </is>
      </c>
      <c r="O18" s="121" t="inlineStr">
        <is>
          <t>12개월 전</t>
        </is>
      </c>
      <c r="P18" s="254" t="inlineStr">
        <is>
          <t>12개월 이동평균</t>
        </is>
      </c>
      <c r="Q18" s="255" t="inlineStr">
        <is>
          <t>현재가격/12개월 이동평균</t>
        </is>
      </c>
      <c r="R18" s="269" t="inlineStr">
        <is>
          <t>1개월 수익률</t>
        </is>
      </c>
      <c r="S18" s="269" t="inlineStr">
        <is>
          <t>3개월 수익률</t>
        </is>
      </c>
      <c r="T18" s="269" t="inlineStr">
        <is>
          <t>6개월 수익률</t>
        </is>
      </c>
      <c r="U18" s="269" t="inlineStr">
        <is>
          <t>최근 1년 수익률</t>
        </is>
      </c>
      <c r="V18" s="121" t="inlineStr">
        <is>
          <t>1개월 수익률*12</t>
        </is>
      </c>
      <c r="W18" s="121" t="inlineStr">
        <is>
          <t>3개월 수익률*4</t>
        </is>
      </c>
      <c r="X18" s="121" t="inlineStr">
        <is>
          <t>6개월 수익률*2</t>
        </is>
      </c>
      <c r="Y18" s="121" t="inlineStr">
        <is>
          <t>12개월 수익률*1</t>
        </is>
      </c>
      <c r="Z18" s="124" t="inlineStr">
        <is>
          <t>모멘텀 스코어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I18" s="256" t="n"/>
      <c r="AJ18" s="256" t="n"/>
      <c r="AK18" s="256" t="n"/>
      <c r="AL18" s="256" t="n"/>
      <c r="AM18" s="256" t="n"/>
      <c r="AN18" s="256" t="n"/>
      <c r="AO18" s="256" t="n"/>
      <c r="AP18" s="256" t="n"/>
      <c r="AQ18" s="256" t="n"/>
      <c r="AR18" s="256" t="n"/>
      <c r="AS18" s="256" t="n"/>
      <c r="AT18" s="256" t="n"/>
      <c r="AU18" s="256" t="n"/>
      <c r="AV18" s="256" t="n"/>
      <c r="AW18" s="256" t="n"/>
      <c r="AX18" s="256" t="n"/>
      <c r="AY18" s="256" t="n"/>
      <c r="AZ18" s="256" t="n"/>
      <c r="BA18" s="256" t="n"/>
      <c r="BB18" s="256" t="n"/>
      <c r="BC18" s="256" t="n"/>
      <c r="BD18" s="256" t="n"/>
      <c r="BE18" s="256" t="n"/>
      <c r="BF18" s="256" t="n"/>
      <c r="BG18" s="256" t="n"/>
      <c r="BH18" s="256" t="n"/>
      <c r="BI18" s="256" t="n"/>
      <c r="BJ18" s="256" t="n"/>
      <c r="BK18" s="256" t="n"/>
      <c r="BL18" s="256" t="n"/>
      <c r="BM18" s="256" t="n"/>
      <c r="BN18" s="256" t="n"/>
      <c r="BO18" s="256" t="n"/>
      <c r="BP18" s="256" t="n"/>
      <c r="BQ18" s="256" t="n"/>
      <c r="BR18" s="256" t="n"/>
      <c r="BS18" s="256" t="n"/>
      <c r="BT18" s="256" t="n"/>
      <c r="BU18" s="256" t="n"/>
      <c r="BV18" s="256" t="n"/>
      <c r="BW18" s="256" t="n"/>
      <c r="BX18" s="256" t="n"/>
      <c r="BY18" s="256" t="n"/>
      <c r="BZ18" s="256" t="n"/>
      <c r="CA18" s="256" t="n"/>
      <c r="CB18" s="256" t="n"/>
      <c r="CC18" s="256" t="n"/>
      <c r="CD18" s="256" t="n"/>
      <c r="CE18" s="256" t="n"/>
      <c r="CF18" s="256" t="n"/>
      <c r="CG18" s="256" t="n"/>
      <c r="CH18" s="256" t="n"/>
      <c r="CI18" s="256" t="n"/>
      <c r="CJ18" s="256" t="n"/>
      <c r="CK18" s="256" t="n"/>
      <c r="CL18" s="256" t="n"/>
      <c r="CM18" s="256" t="n"/>
      <c r="CN18" s="256" t="n"/>
      <c r="CO18" s="256" t="n"/>
      <c r="CP18" s="256" t="n"/>
      <c r="CQ18" s="256" t="n"/>
      <c r="CR18" s="256" t="n"/>
      <c r="CS18" s="256" t="n"/>
      <c r="CT18" s="256" t="n"/>
      <c r="CU18" s="256" t="n"/>
      <c r="CV18" s="256" t="n"/>
      <c r="CW18" s="256" t="n"/>
      <c r="CX18" s="256" t="n"/>
      <c r="CY18" s="256" t="n"/>
      <c r="CZ18" s="256" t="n"/>
      <c r="DA18" s="256" t="n"/>
      <c r="DB18" s="256" t="n"/>
      <c r="DC18" s="256" t="n"/>
      <c r="DD18" s="256" t="n"/>
      <c r="DE18" s="256" t="n"/>
      <c r="DF18" s="256" t="n"/>
      <c r="DG18" s="256" t="n"/>
      <c r="DH18" s="256" t="n"/>
      <c r="DI18" s="256" t="n"/>
      <c r="DJ18" s="256" t="n"/>
      <c r="DK18" s="256" t="n"/>
      <c r="DL18" s="256" t="n"/>
      <c r="DM18" s="256" t="n"/>
      <c r="DN18" s="256" t="n"/>
      <c r="DO18" s="256" t="n"/>
      <c r="DP18" s="256" t="n"/>
      <c r="DQ18" s="256" t="n"/>
      <c r="DR18" s="256" t="n"/>
      <c r="DS18" s="256" t="n"/>
      <c r="DT18" s="256" t="n"/>
      <c r="DU18" s="256" t="n"/>
      <c r="DV18" s="256" t="n"/>
      <c r="DW18" s="256" t="n"/>
      <c r="DX18" s="256" t="n"/>
      <c r="DY18" s="256" t="n"/>
      <c r="DZ18" s="256" t="n"/>
      <c r="EA18" s="256" t="n"/>
      <c r="EB18" s="256" t="n"/>
      <c r="EC18" s="256" t="n"/>
      <c r="ED18" s="256" t="n"/>
      <c r="EE18" s="256" t="n"/>
      <c r="EF18" s="256" t="n"/>
      <c r="EG18" s="256" t="n"/>
      <c r="EH18" s="256" t="n"/>
      <c r="EI18" s="256" t="n"/>
      <c r="EJ18" s="256" t="n"/>
      <c r="EK18" s="256" t="n"/>
      <c r="EL18" s="256" t="n"/>
      <c r="EM18" s="256" t="n"/>
      <c r="EN18" s="256" t="n"/>
      <c r="EO18" s="256" t="n"/>
      <c r="EP18" s="256" t="n"/>
      <c r="EQ18" s="256" t="n"/>
      <c r="ER18" s="256" t="n"/>
      <c r="ES18" s="256" t="n"/>
      <c r="ET18" s="256" t="n"/>
      <c r="EU18" s="256" t="n"/>
      <c r="EV18" s="256" t="n"/>
      <c r="EW18" s="256" t="n"/>
      <c r="EX18" s="256" t="n"/>
      <c r="EY18" s="256" t="n"/>
      <c r="EZ18" s="256" t="n"/>
      <c r="FA18" s="256" t="n"/>
      <c r="FB18" s="256" t="n"/>
      <c r="FC18" s="256" t="n"/>
      <c r="FD18" s="256" t="n"/>
      <c r="FE18" s="256" t="n"/>
      <c r="FF18" s="256" t="n"/>
      <c r="FG18" s="256" t="n"/>
      <c r="FH18" s="256" t="n"/>
      <c r="FI18" s="256" t="n"/>
      <c r="FJ18" s="256" t="n"/>
      <c r="FK18" s="256" t="n"/>
      <c r="FL18" s="256" t="n"/>
      <c r="FM18" s="256" t="n"/>
      <c r="FN18" s="256" t="n"/>
      <c r="FO18" s="256" t="n"/>
      <c r="FP18" s="256" t="n"/>
      <c r="FQ18" s="256" t="n"/>
      <c r="FR18" s="256" t="n"/>
      <c r="FS18" s="256" t="n"/>
      <c r="FT18" s="256" t="n"/>
      <c r="FU18" s="256" t="n"/>
      <c r="FV18" s="256" t="n"/>
      <c r="FW18" s="256" t="n"/>
      <c r="FX18" s="256" t="n"/>
      <c r="FY18" s="256" t="n"/>
      <c r="FZ18" s="256" t="n"/>
      <c r="GA18" s="256" t="n"/>
      <c r="GB18" s="256" t="n"/>
      <c r="GC18" s="256" t="n"/>
      <c r="GD18" s="256" t="n"/>
      <c r="GE18" s="256" t="n"/>
      <c r="GF18" s="256" t="n"/>
      <c r="GG18" s="256" t="n"/>
      <c r="GH18" s="256" t="n"/>
      <c r="GI18" s="256" t="n"/>
      <c r="GJ18" s="256" t="n"/>
      <c r="GK18" s="256" t="n"/>
      <c r="GL18" s="256" t="n"/>
      <c r="GM18" s="256" t="n"/>
      <c r="GN18" s="256" t="n"/>
      <c r="GO18" s="256" t="n"/>
      <c r="GP18" s="256" t="n"/>
      <c r="GQ18" s="256" t="n"/>
      <c r="GR18" s="256" t="n"/>
      <c r="GS18" s="256" t="n"/>
      <c r="GT18" s="256" t="n"/>
      <c r="GU18" s="256" t="n"/>
      <c r="GV18" s="256" t="n"/>
      <c r="GW18" s="256" t="n"/>
      <c r="GX18" s="256" t="n"/>
      <c r="GY18" s="256" t="n"/>
      <c r="GZ18" s="256" t="n"/>
      <c r="HA18" s="256" t="n"/>
      <c r="HB18" s="256" t="n"/>
      <c r="HC18" s="256" t="n"/>
      <c r="HD18" s="256" t="n"/>
      <c r="HE18" s="256" t="n"/>
      <c r="HF18" s="256" t="n"/>
      <c r="HG18" s="256" t="n"/>
      <c r="HH18" s="256" t="n"/>
      <c r="HI18" s="256" t="n"/>
      <c r="HJ18" s="256" t="n"/>
      <c r="HK18" s="256" t="n"/>
      <c r="HL18" s="256" t="n"/>
      <c r="HM18" s="256" t="n"/>
      <c r="HN18" s="256" t="n"/>
      <c r="HO18" s="256" t="n"/>
      <c r="HP18" s="256" t="n"/>
      <c r="HQ18" s="256" t="n"/>
      <c r="HR18" s="256" t="n"/>
      <c r="HS18" s="256" t="n"/>
      <c r="HT18" s="256" t="n"/>
      <c r="HU18" s="256" t="n"/>
      <c r="HV18" s="256" t="n"/>
      <c r="HW18" s="256" t="n"/>
      <c r="HX18" s="256" t="n"/>
      <c r="HY18" s="256" t="n"/>
      <c r="HZ18" s="256" t="n"/>
      <c r="IA18" s="256" t="n"/>
      <c r="IB18" s="256" t="n"/>
      <c r="IC18" s="256" t="n"/>
      <c r="ID18" s="256" t="n"/>
      <c r="IE18" s="256" t="n"/>
      <c r="IF18" s="256" t="n"/>
      <c r="IG18" s="256" t="n"/>
      <c r="IH18" s="256" t="n"/>
      <c r="II18" s="256" t="n"/>
      <c r="IJ18" s="256" t="n"/>
      <c r="IK18" s="256" t="n"/>
      <c r="IL18" s="256" t="n"/>
      <c r="IM18" s="256" t="n"/>
      <c r="IN18" s="256" t="n"/>
      <c r="IO18" s="256" t="n"/>
      <c r="IP18" s="256" t="n"/>
      <c r="IQ18" s="256" t="n"/>
    </row>
    <row r="19" ht="13.5" customHeight="1" s="322">
      <c r="A19" s="257">
        <f>관심종목!D27</f>
        <v/>
      </c>
      <c r="B19" s="493">
        <f>관심종목!H27</f>
        <v/>
      </c>
      <c r="C19" s="259">
        <f>IFERROR(LOOKUP(C1,INDEX(차트데이터!$A:$BZ,0,MATCH("LQD",차트데이터!$1:$1,0)),INDEX(차트데이터!$A:$BZ,0,MATCH("LQD",차트데이터!$1:$1,0)+1)),"")</f>
        <v/>
      </c>
      <c r="D19" s="259">
        <f>IFERROR(LOOKUP($D$1,INDEX(차트데이터!$A:$BZ,0,MATCH("LQD",차트데이터!$1:$1,0)),INDEX(차트데이터!$A:$BZ,0,MATCH("LQD",차트데이터!$1:$1,0)+1)),"")</f>
        <v/>
      </c>
      <c r="E19" s="259">
        <f>IFERROR(LOOKUP(E1,INDEX(차트데이터!$A:$BZ,0,MATCH("LQD",차트데이터!$1:$1,0)),INDEX(차트데이터!$A:$BZ,0,MATCH("LQD",차트데이터!$1:$1,0)+1)),"")</f>
        <v/>
      </c>
      <c r="F19" s="259">
        <f>IFERROR(LOOKUP(F1,INDEX(차트데이터!$A:$BZ,0,MATCH("LQD",차트데이터!$1:$1,0)),INDEX(차트데이터!$A:$BZ,0,MATCH("LQD",차트데이터!$1:$1,0)+1)),"")</f>
        <v/>
      </c>
      <c r="G19" s="259">
        <f>IFERROR(LOOKUP(G1,INDEX(차트데이터!$A:$BZ,0,MATCH("LQD",차트데이터!$1:$1,0)),INDEX(차트데이터!$A:$BZ,0,MATCH("LQD",차트데이터!$1:$1,0)+1)),"")</f>
        <v/>
      </c>
      <c r="H19" s="259">
        <f>IFERROR(LOOKUP(H1,INDEX(차트데이터!$A:$BZ,0,MATCH("LQD",차트데이터!$1:$1,0)),INDEX(차트데이터!$A:$BZ,0,MATCH("LQD",차트데이터!$1:$1,0)+1)),"")</f>
        <v/>
      </c>
      <c r="I19" s="259">
        <f>IFERROR(LOOKUP(I1,INDEX(차트데이터!$A:$BZ,0,MATCH("LQD",차트데이터!$1:$1,0)),INDEX(차트데이터!$A:$BZ,0,MATCH("LQD",차트데이터!$1:$1,0)+1)),"")</f>
        <v/>
      </c>
      <c r="J19" s="259">
        <f>IFERROR(LOOKUP(J1,INDEX(차트데이터!$A:$BZ,0,MATCH("LQD",차트데이터!$1:$1,0)),INDEX(차트데이터!$A:$BZ,0,MATCH("LQD",차트데이터!$1:$1,0)+1)),"")</f>
        <v/>
      </c>
      <c r="K19" s="259">
        <f>IFERROR(LOOKUP(K1,INDEX(차트데이터!$A:$BZ,0,MATCH("LQD",차트데이터!$1:$1,0)),INDEX(차트데이터!$A:$BZ,0,MATCH("LQD",차트데이터!$1:$1,0)+1)),"")</f>
        <v/>
      </c>
      <c r="L19" s="259">
        <f>IFERROR(LOOKUP(L1,INDEX(차트데이터!$A:$BZ,0,MATCH("LQD",차트데이터!$1:$1,0)),INDEX(차트데이터!$A:$BZ,0,MATCH("LQD",차트데이터!$1:$1,0)+1)),"")</f>
        <v/>
      </c>
      <c r="M19" s="259">
        <f>IFERROR(LOOKUP(M1,INDEX(차트데이터!$A:$BZ,0,MATCH("LQD",차트데이터!$1:$1,0)),INDEX(차트데이터!$A:$BZ,0,MATCH("LQD",차트데이터!$1:$1,0)+1)),"")</f>
        <v/>
      </c>
      <c r="N19" s="259">
        <f>IFERROR(LOOKUP(N1,INDEX(차트데이터!$A:$BZ,0,MATCH("LQD",차트데이터!$1:$1,0)),INDEX(차트데이터!$A:$BZ,0,MATCH("LQD",차트데이터!$1:$1,0)+1)),"")</f>
        <v/>
      </c>
      <c r="O19" s="259">
        <f>IFERROR(LOOKUP(O1,INDEX(차트데이터!$A:$BZ,0,MATCH("LQD",차트데이터!$1:$1,0)),INDEX(차트데이터!$A:$BZ,0,MATCH("LQD",차트데이터!$1:$1,0)+1)),"")</f>
        <v/>
      </c>
      <c r="P19" s="260">
        <f>AVERAGE(D19:O19)</f>
        <v/>
      </c>
      <c r="Q19" s="261">
        <f>B19/P19</f>
        <v/>
      </c>
      <c r="R19" s="168">
        <f>(B19/D19)-1</f>
        <v/>
      </c>
      <c r="S19" s="168">
        <f>(B19/F19)-1</f>
        <v/>
      </c>
      <c r="T19" s="168">
        <f>(B19/I19)-1</f>
        <v/>
      </c>
      <c r="U19" s="168">
        <f>(B19/O19)-1</f>
        <v/>
      </c>
      <c r="V19" s="489">
        <f>R19*12</f>
        <v/>
      </c>
      <c r="W19" s="489">
        <f>S19*12</f>
        <v/>
      </c>
      <c r="X19" s="489">
        <f>T19*2</f>
        <v/>
      </c>
      <c r="Y19" s="489">
        <f>U19*1</f>
        <v/>
      </c>
      <c r="Z19" s="180">
        <f>SUM(V19:Y19)</f>
        <v/>
      </c>
    </row>
    <row r="20" ht="13.5" customHeight="1" s="322">
      <c r="A20" s="257">
        <f>관심종목!D28</f>
        <v/>
      </c>
      <c r="B20" s="493">
        <f>관심종목!H28</f>
        <v/>
      </c>
      <c r="C20" s="259">
        <f>IFERROR(LOOKUP(C1,INDEX(차트데이터!$A:$BZ,0,MATCH("IEF",차트데이터!$1:$1,0)),INDEX(차트데이터!$A:$BZ,0,MATCH("IEF",차트데이터!$1:$1,0)+1)),"")</f>
        <v/>
      </c>
      <c r="D20" s="259">
        <f>IFERROR(LOOKUP(D1,INDEX(차트데이터!$A:$BZ,0,MATCH("IEF",차트데이터!$1:$1,0)),INDEX(차트데이터!$A:$BZ,0,MATCH("IEF",차트데이터!$1:$1,0)+1)),"")</f>
        <v/>
      </c>
      <c r="E20" s="259">
        <f>IFERROR(LOOKUP(E1,INDEX(차트데이터!$A:$BZ,0,MATCH("IEF",차트데이터!$1:$1,0)),INDEX(차트데이터!$A:$BZ,0,MATCH("IEF",차트데이터!$1:$1,0)+1)),"")</f>
        <v/>
      </c>
      <c r="F20" s="259">
        <f>IFERROR(LOOKUP(F1,INDEX(차트데이터!$A:$BZ,0,MATCH("IEF",차트데이터!$1:$1,0)),INDEX(차트데이터!$A:$BZ,0,MATCH("IEF",차트데이터!$1:$1,0)+1)),"")</f>
        <v/>
      </c>
      <c r="G20" s="259">
        <f>IFERROR(LOOKUP(G1,INDEX(차트데이터!$A:$BZ,0,MATCH("IEF",차트데이터!$1:$1,0)),INDEX(차트데이터!$A:$BZ,0,MATCH("IEF",차트데이터!$1:$1,0)+1)),"")</f>
        <v/>
      </c>
      <c r="H20" s="259">
        <f>IFERROR(LOOKUP(H1,INDEX(차트데이터!$A:$BZ,0,MATCH("IEF",차트데이터!$1:$1,0)),INDEX(차트데이터!$A:$BZ,0,MATCH("IEF",차트데이터!$1:$1,0)+1)),"")</f>
        <v/>
      </c>
      <c r="I20" s="259">
        <f>IFERROR(LOOKUP(I1,INDEX(차트데이터!$A:$BZ,0,MATCH("IEF",차트데이터!$1:$1,0)),INDEX(차트데이터!$A:$BZ,0,MATCH("IEF",차트데이터!$1:$1,0)+1)),"")</f>
        <v/>
      </c>
      <c r="J20" s="259">
        <f>IFERROR(LOOKUP(J1,INDEX(차트데이터!$A:$BZ,0,MATCH("IEF",차트데이터!$1:$1,0)),INDEX(차트데이터!$A:$BZ,0,MATCH("IEF",차트데이터!$1:$1,0)+1)),"")</f>
        <v/>
      </c>
      <c r="K20" s="259">
        <f>IFERROR(LOOKUP(K1,INDEX(차트데이터!$A:$BZ,0,MATCH("IEF",차트데이터!$1:$1,0)),INDEX(차트데이터!$A:$BZ,0,MATCH("IEF",차트데이터!$1:$1,0)+1)),"")</f>
        <v/>
      </c>
      <c r="L20" s="259">
        <f>IFERROR(LOOKUP(L1,INDEX(차트데이터!$A:$BZ,0,MATCH("IEF",차트데이터!$1:$1,0)),INDEX(차트데이터!$A:$BZ,0,MATCH("IEF",차트데이터!$1:$1,0)+1)),"")</f>
        <v/>
      </c>
      <c r="M20" s="259">
        <f>IFERROR(LOOKUP(M1,INDEX(차트데이터!$A:$BZ,0,MATCH("IEF",차트데이터!$1:$1,0)),INDEX(차트데이터!$A:$BZ,0,MATCH("IEF",차트데이터!$1:$1,0)+1)),"")</f>
        <v/>
      </c>
      <c r="N20" s="259">
        <f>IFERROR(LOOKUP(N1,INDEX(차트데이터!$A:$BZ,0,MATCH("IEF",차트데이터!$1:$1,0)),INDEX(차트데이터!$A:$BZ,0,MATCH("IEF",차트데이터!$1:$1,0)+1)),"")</f>
        <v/>
      </c>
      <c r="O20" s="259">
        <f>IFERROR(LOOKUP(O1,INDEX(차트데이터!$A:$BZ,0,MATCH("IEF",차트데이터!$1:$1,0)),INDEX(차트데이터!$A:$BZ,0,MATCH("IEF",차트데이터!$1:$1,0)+1)),"")</f>
        <v/>
      </c>
      <c r="P20" s="260">
        <f>AVERAGE(A20:N20)</f>
        <v/>
      </c>
      <c r="Q20" s="261">
        <f>B20/P20</f>
        <v/>
      </c>
      <c r="R20" s="168">
        <f>(B20/D20)-1</f>
        <v/>
      </c>
      <c r="S20" s="168">
        <f>(B20/F20)-1</f>
        <v/>
      </c>
      <c r="T20" s="168">
        <f>(B20/I20)-1</f>
        <v/>
      </c>
      <c r="U20" s="168">
        <f>(B20/O20)-1</f>
        <v/>
      </c>
      <c r="V20" s="489">
        <f>R20*12</f>
        <v/>
      </c>
      <c r="W20" s="489">
        <f>S20*4</f>
        <v/>
      </c>
      <c r="X20" s="489">
        <f>T20*2</f>
        <v/>
      </c>
      <c r="Y20" s="489">
        <f>U20*1</f>
        <v/>
      </c>
      <c r="Z20" s="180">
        <f>SUM(V20:Y20)</f>
        <v/>
      </c>
    </row>
    <row r="21" ht="13.5" customHeight="1" s="322">
      <c r="A21" s="257">
        <f>관심종목!D29</f>
        <v/>
      </c>
      <c r="B21" s="493">
        <f>관심종목!H29</f>
        <v/>
      </c>
      <c r="C21" s="259">
        <f>IFERROR(LOOKUP(C1,INDEX(차트데이터!$A:$BZ,0,MATCH("BIL",차트데이터!$1:$1,0)),INDEX(차트데이터!$A:$BZ,0,MATCH("BIL",차트데이터!$1:$1,0)+1)),"")</f>
        <v/>
      </c>
      <c r="D21" s="259">
        <f>IFERROR(LOOKUP(D1,INDEX(차트데이터!$A:$BZ,0,MATCH("BIL",차트데이터!$1:$1,0)),INDEX(차트데이터!$A:$BZ,0,MATCH("BIL",차트데이터!$1:$1,0)+1)),"")</f>
        <v/>
      </c>
      <c r="E21" s="259">
        <f>IFERROR(LOOKUP(E1,INDEX(차트데이터!$A:$BZ,0,MATCH("BIL",차트데이터!$1:$1,0)),INDEX(차트데이터!$A:$BZ,0,MATCH("BIL",차트데이터!$1:$1,0)+1)),"")</f>
        <v/>
      </c>
      <c r="F21" s="259">
        <f>IFERROR(LOOKUP(F1,INDEX(차트데이터!$A:$BZ,0,MATCH("BIL",차트데이터!$1:$1,0)),INDEX(차트데이터!$A:$BZ,0,MATCH("BIL",차트데이터!$1:$1,0)+1)),"")</f>
        <v/>
      </c>
      <c r="G21" s="259">
        <f>IFERROR(LOOKUP(G1,INDEX(차트데이터!$A:$BZ,0,MATCH("BIL",차트데이터!$1:$1,0)),INDEX(차트데이터!$A:$BZ,0,MATCH("BIL",차트데이터!$1:$1,0)+1)),"")</f>
        <v/>
      </c>
      <c r="H21" s="259">
        <f>IFERROR(LOOKUP(H1,INDEX(차트데이터!$A:$BZ,0,MATCH("BIL",차트데이터!$1:$1,0)),INDEX(차트데이터!$A:$BZ,0,MATCH("BIL",차트데이터!$1:$1,0)+1)),"")</f>
        <v/>
      </c>
      <c r="I21" s="259">
        <f>IFERROR(LOOKUP(I1,INDEX(차트데이터!$A:$BZ,0,MATCH("BIL",차트데이터!$1:$1,0)),INDEX(차트데이터!$A:$BZ,0,MATCH("BIL",차트데이터!$1:$1,0)+1)),"")</f>
        <v/>
      </c>
      <c r="J21" s="259">
        <f>IFERROR(LOOKUP(J1,INDEX(차트데이터!$A:$BZ,0,MATCH("BIL",차트데이터!$1:$1,0)),INDEX(차트데이터!$A:$BZ,0,MATCH("BIL",차트데이터!$1:$1,0)+1)),"")</f>
        <v/>
      </c>
      <c r="K21" s="259">
        <f>IFERROR(LOOKUP(K1,INDEX(차트데이터!$A:$BZ,0,MATCH("BIL",차트데이터!$1:$1,0)),INDEX(차트데이터!$A:$BZ,0,MATCH("BIL",차트데이터!$1:$1,0)+1)),"")</f>
        <v/>
      </c>
      <c r="L21" s="259">
        <f>IFERROR(LOOKUP(L1,INDEX(차트데이터!$A:$BZ,0,MATCH("BIL",차트데이터!$1:$1,0)),INDEX(차트데이터!$A:$BZ,0,MATCH("BIL",차트데이터!$1:$1,0)+1)),"")</f>
        <v/>
      </c>
      <c r="M21" s="259">
        <f>IFERROR(LOOKUP(M1,INDEX(차트데이터!$A:$BZ,0,MATCH("BIL",차트데이터!$1:$1,0)),INDEX(차트데이터!$A:$BZ,0,MATCH("BIL",차트데이터!$1:$1,0)+1)),"")</f>
        <v/>
      </c>
      <c r="N21" s="259">
        <f>IFERROR(LOOKUP(N1,INDEX(차트데이터!$A:$BZ,0,MATCH("BIL",차트데이터!$1:$1,0)),INDEX(차트데이터!$A:$BZ,0,MATCH("BIL",차트데이터!$1:$1,0)+1)),"")</f>
        <v/>
      </c>
      <c r="O21" s="259">
        <f>IFERROR(LOOKUP(O1,INDEX(차트데이터!$A:$BZ,0,MATCH("BIL",차트데이터!$1:$1,0)),INDEX(차트데이터!$A:$BZ,0,MATCH("BIL",차트데이터!$1:$1,0)+1)),"")</f>
        <v/>
      </c>
      <c r="P21" s="260">
        <f>AVERAGE(A21:N21)</f>
        <v/>
      </c>
      <c r="Q21" s="261">
        <f>B21/P21</f>
        <v/>
      </c>
      <c r="R21" s="168">
        <f>(B21/D21)-1</f>
        <v/>
      </c>
      <c r="S21" s="168">
        <f>(B21/F21)-1</f>
        <v/>
      </c>
      <c r="T21" s="168">
        <f>(B21/I21)-1</f>
        <v/>
      </c>
      <c r="U21" s="168">
        <f>(B21/O21)-1</f>
        <v/>
      </c>
      <c r="V21" s="489">
        <f>R21*12</f>
        <v/>
      </c>
      <c r="W21" s="489">
        <f>S21*4</f>
        <v/>
      </c>
      <c r="X21" s="489">
        <f>T21*2</f>
        <v/>
      </c>
      <c r="Y21" s="489">
        <f>U21*1</f>
        <v/>
      </c>
      <c r="Z21" s="180">
        <f>SUM(V21:Y21)</f>
        <v/>
      </c>
    </row>
    <row r="22" ht="13.5" customHeight="1" s="322">
      <c r="A22" s="257">
        <f>관심종목!D30</f>
        <v/>
      </c>
      <c r="B22" s="493">
        <f>관심종목!H30</f>
        <v/>
      </c>
      <c r="C22" s="259">
        <f>IFERROR(LOOKUP(C1,INDEX(차트데이터!$A:$BZ,0,MATCH("TLT",차트데이터!$1:$1,0)),INDEX(차트데이터!$A:$BZ,0,MATCH("TLT",차트데이터!$1:$1,0)+1)),"")</f>
        <v/>
      </c>
      <c r="D22" s="259">
        <f>IFERROR(LOOKUP(D1,INDEX(차트데이터!$A:$BZ,0,MATCH("TLT",차트데이터!$1:$1,0)),INDEX(차트데이터!$A:$BZ,0,MATCH("TLT",차트데이터!$1:$1,0)+1)),"")</f>
        <v/>
      </c>
      <c r="E22" s="259">
        <f>IFERROR(LOOKUP(E1,INDEX(차트데이터!$A:$BZ,0,MATCH("TLT",차트데이터!$1:$1,0)),INDEX(차트데이터!$A:$BZ,0,MATCH("TLT",차트데이터!$1:$1,0)+1)),"")</f>
        <v/>
      </c>
      <c r="F22" s="259">
        <f>IFERROR(LOOKUP(F1,INDEX(차트데이터!$A:$BZ,0,MATCH("TLT",차트데이터!$1:$1,0)),INDEX(차트데이터!$A:$BZ,0,MATCH("TLT",차트데이터!$1:$1,0)+1)),"")</f>
        <v/>
      </c>
      <c r="G22" s="259">
        <f>IFERROR(LOOKUP(G1,INDEX(차트데이터!$A:$BZ,0,MATCH("TLT",차트데이터!$1:$1,0)),INDEX(차트데이터!$A:$BZ,0,MATCH("TLT",차트데이터!$1:$1,0)+1)),"")</f>
        <v/>
      </c>
      <c r="H22" s="259">
        <f>IFERROR(LOOKUP(H1,INDEX(차트데이터!$A:$BZ,0,MATCH("TLT",차트데이터!$1:$1,0)),INDEX(차트데이터!$A:$BZ,0,MATCH("TLT",차트데이터!$1:$1,0)+1)),"")</f>
        <v/>
      </c>
      <c r="I22" s="259">
        <f>IFERROR(LOOKUP(I1,INDEX(차트데이터!$A:$BZ,0,MATCH("TLT",차트데이터!$1:$1,0)),INDEX(차트데이터!$A:$BZ,0,MATCH("TLT",차트데이터!$1:$1,0)+1)),"")</f>
        <v/>
      </c>
      <c r="J22" s="259">
        <f>IFERROR(LOOKUP(J1,INDEX(차트데이터!$A:$BZ,0,MATCH("TLT",차트데이터!$1:$1,0)),INDEX(차트데이터!$A:$BZ,0,MATCH("TLT",차트데이터!$1:$1,0)+1)),"")</f>
        <v/>
      </c>
      <c r="K22" s="259">
        <f>IFERROR(LOOKUP(K1,INDEX(차트데이터!$A:$BZ,0,MATCH("TLT",차트데이터!$1:$1,0)),INDEX(차트데이터!$A:$BZ,0,MATCH("TLT",차트데이터!$1:$1,0)+1)),"")</f>
        <v/>
      </c>
      <c r="L22" s="259">
        <f>IFERROR(LOOKUP(L1,INDEX(차트데이터!$A:$BZ,0,MATCH("TLT",차트데이터!$1:$1,0)),INDEX(차트데이터!$A:$BZ,0,MATCH("TLT",차트데이터!$1:$1,0)+1)),"")</f>
        <v/>
      </c>
      <c r="M22" s="259">
        <f>IFERROR(LOOKUP(M1,INDEX(차트데이터!$A:$BZ,0,MATCH("TLT",차트데이터!$1:$1,0)),INDEX(차트데이터!$A:$BZ,0,MATCH("TLT",차트데이터!$1:$1,0)+1)),"")</f>
        <v/>
      </c>
      <c r="N22" s="259">
        <f>IFERROR(LOOKUP(N1,INDEX(차트데이터!$A:$BZ,0,MATCH("TLT",차트데이터!$1:$1,0)),INDEX(차트데이터!$A:$BZ,0,MATCH("TLT",차트데이터!$1:$1,0)+1)),"")</f>
        <v/>
      </c>
      <c r="O22" s="259">
        <f>IFERROR(LOOKUP(O1,INDEX(차트데이터!$A:$BZ,0,MATCH("TLT",차트데이터!$1:$1,0)),INDEX(차트데이터!$A:$BZ,0,MATCH("TLT",차트데이터!$1:$1,0)+1)),"")</f>
        <v/>
      </c>
      <c r="P22" s="260">
        <f>AVERAGE(A22:N22)</f>
        <v/>
      </c>
      <c r="Q22" s="261">
        <f>B22/P22</f>
        <v/>
      </c>
      <c r="R22" s="168">
        <f>(B22/D22)-1</f>
        <v/>
      </c>
      <c r="S22" s="168">
        <f>(B22/F22)-1</f>
        <v/>
      </c>
      <c r="T22" s="168">
        <f>(B22/I22)-1</f>
        <v/>
      </c>
      <c r="U22" s="168">
        <f>(B22/O22)-1</f>
        <v/>
      </c>
      <c r="V22" s="489">
        <f>R22*12</f>
        <v/>
      </c>
      <c r="W22" s="489">
        <f>S22*4</f>
        <v/>
      </c>
      <c r="X22" s="489">
        <f>T22*2</f>
        <v/>
      </c>
      <c r="Y22" s="489">
        <f>U22*1</f>
        <v/>
      </c>
      <c r="Z22" s="180">
        <f>SUM(V22:Y22)</f>
        <v/>
      </c>
    </row>
    <row r="23" ht="13.5" customHeight="1" s="322">
      <c r="A23" s="257">
        <f>관심종목!D31</f>
        <v/>
      </c>
      <c r="B23" s="493">
        <f>관심종목!H31</f>
        <v/>
      </c>
      <c r="C23" s="259">
        <f>IFERROR(LOOKUP(C1,INDEX(차트데이터!$A:$BZ,0,MATCH("TIP",차트데이터!$1:$1,0)),INDEX(차트데이터!$A:$BZ,0,MATCH("TIP",차트데이터!$1:$1,0)+1)),"")</f>
        <v/>
      </c>
      <c r="D23" s="259">
        <f>IFERROR(LOOKUP(D1,INDEX(차트데이터!$A:$BZ,0,MATCH("TIP",차트데이터!$1:$1,0)),INDEX(차트데이터!$A:$BZ,0,MATCH("TIP",차트데이터!$1:$1,0)+1)),"")</f>
        <v/>
      </c>
      <c r="E23" s="259">
        <f>IFERROR(LOOKUP(E1,INDEX(차트데이터!$A:$BZ,0,MATCH("TIP",차트데이터!$1:$1,0)),INDEX(차트데이터!$A:$BZ,0,MATCH("TIP",차트데이터!$1:$1,0)+1)),"")</f>
        <v/>
      </c>
      <c r="F23" s="259">
        <f>IFERROR(LOOKUP(F1,INDEX(차트데이터!$A:$BZ,0,MATCH("TIP",차트데이터!$1:$1,0)),INDEX(차트데이터!$A:$BZ,0,MATCH("TIP",차트데이터!$1:$1,0)+1)),"")</f>
        <v/>
      </c>
      <c r="G23" s="259">
        <f>IFERROR(LOOKUP(G1,INDEX(차트데이터!$A:$BZ,0,MATCH("TIP",차트데이터!$1:$1,0)),INDEX(차트데이터!$A:$BZ,0,MATCH("TIP",차트데이터!$1:$1,0)+1)),"")</f>
        <v/>
      </c>
      <c r="H23" s="259">
        <f>IFERROR(LOOKUP(H1,INDEX(차트데이터!$A:$BZ,0,MATCH("TIP",차트데이터!$1:$1,0)),INDEX(차트데이터!$A:$BZ,0,MATCH("TIP",차트데이터!$1:$1,0)+1)),"")</f>
        <v/>
      </c>
      <c r="I23" s="259">
        <f>IFERROR(LOOKUP(I1,INDEX(차트데이터!$A:$BZ,0,MATCH("TIP",차트데이터!$1:$1,0)),INDEX(차트데이터!$A:$BZ,0,MATCH("TIP",차트데이터!$1:$1,0)+1)),"")</f>
        <v/>
      </c>
      <c r="J23" s="259">
        <f>IFERROR(LOOKUP(J1,INDEX(차트데이터!$A:$BZ,0,MATCH("TIP",차트데이터!$1:$1,0)),INDEX(차트데이터!$A:$BZ,0,MATCH("TIP",차트데이터!$1:$1,0)+1)),"")</f>
        <v/>
      </c>
      <c r="K23" s="259">
        <f>IFERROR(LOOKUP(K1,INDEX(차트데이터!$A:$BZ,0,MATCH("TIP",차트데이터!$1:$1,0)),INDEX(차트데이터!$A:$BZ,0,MATCH("TIP",차트데이터!$1:$1,0)+1)),"")</f>
        <v/>
      </c>
      <c r="L23" s="259">
        <f>IFERROR(LOOKUP(L1,INDEX(차트데이터!$A:$BZ,0,MATCH("TIP",차트데이터!$1:$1,0)),INDEX(차트데이터!$A:$BZ,0,MATCH("TIP",차트데이터!$1:$1,0)+1)),"")</f>
        <v/>
      </c>
      <c r="M23" s="259">
        <f>IFERROR(LOOKUP(M1,INDEX(차트데이터!$A:$BZ,0,MATCH("TIP",차트데이터!$1:$1,0)),INDEX(차트데이터!$A:$BZ,0,MATCH("TIP",차트데이터!$1:$1,0)+1)),"")</f>
        <v/>
      </c>
      <c r="N23" s="259">
        <f>IFERROR(LOOKUP(N1,INDEX(차트데이터!$A:$BZ,0,MATCH("TIP",차트데이터!$1:$1,0)),INDEX(차트데이터!$A:$BZ,0,MATCH("TIP",차트데이터!$1:$1,0)+1)),"")</f>
        <v/>
      </c>
      <c r="O23" s="259">
        <f>IFERROR(LOOKUP(O1,INDEX(차트데이터!$A:$BZ,0,MATCH("TIP",차트데이터!$1:$1,0)),INDEX(차트데이터!$A:$BZ,0,MATCH("TIP",차트데이터!$1:$1,0)+1)),"")</f>
        <v/>
      </c>
      <c r="P23" s="260">
        <f>AVERAGE(A23:N23)</f>
        <v/>
      </c>
      <c r="Q23" s="261">
        <f>B23/P23</f>
        <v/>
      </c>
      <c r="R23" s="168">
        <f>(B23/D23)-1</f>
        <v/>
      </c>
      <c r="S23" s="168">
        <f>(B23/F23)-1</f>
        <v/>
      </c>
      <c r="T23" s="168">
        <f>(B23/I23)-1</f>
        <v/>
      </c>
      <c r="U23" s="168">
        <f>(B23/O23)-1</f>
        <v/>
      </c>
      <c r="V23" s="489">
        <f>R23*12</f>
        <v/>
      </c>
      <c r="W23" s="489">
        <f>S23*4</f>
        <v/>
      </c>
      <c r="X23" s="489">
        <f>T23*2</f>
        <v/>
      </c>
      <c r="Y23" s="489">
        <f>U23*1</f>
        <v/>
      </c>
      <c r="Z23" s="180">
        <f>SUM(V23:Y23)</f>
        <v/>
      </c>
    </row>
    <row r="24" ht="13.5" customHeight="1" s="322">
      <c r="A24" s="257">
        <f>관심종목!D32</f>
        <v/>
      </c>
      <c r="B24" s="493">
        <f>관심종목!H32</f>
        <v/>
      </c>
      <c r="C24" s="259">
        <f>IFERROR(LOOKUP(C1,INDEX(차트데이터!$A:$BZ,0,MATCH("BND",차트데이터!$1:$1,0)),INDEX(차트데이터!$A:$BZ,0,MATCH("BND",차트데이터!$1:$1,0)+1)),"")</f>
        <v/>
      </c>
      <c r="D24" s="259">
        <f>IFERROR(LOOKUP(D1,INDEX(차트데이터!$A:$BZ,0,MATCH("BND",차트데이터!$1:$1,0)),INDEX(차트데이터!$A:$BZ,0,MATCH("BND",차트데이터!$1:$1,0)+1)),"")</f>
        <v/>
      </c>
      <c r="E24" s="259">
        <f>IFERROR(LOOKUP(E1,INDEX(차트데이터!$A:$BZ,0,MATCH("BND",차트데이터!$1:$1,0)),INDEX(차트데이터!$A:$BZ,0,MATCH("BND",차트데이터!$1:$1,0)+1)),"")</f>
        <v/>
      </c>
      <c r="F24" s="259">
        <f>IFERROR(LOOKUP(F1,INDEX(차트데이터!$A:$BZ,0,MATCH("BND",차트데이터!$1:$1,0)),INDEX(차트데이터!$A:$BZ,0,MATCH("BND",차트데이터!$1:$1,0)+1)),"")</f>
        <v/>
      </c>
      <c r="G24" s="259">
        <f>IFERROR(LOOKUP(G1,INDEX(차트데이터!$A:$BZ,0,MATCH("BND",차트데이터!$1:$1,0)),INDEX(차트데이터!$A:$BZ,0,MATCH("BND",차트데이터!$1:$1,0)+1)),"")</f>
        <v/>
      </c>
      <c r="H24" s="259">
        <f>IFERROR(LOOKUP(H1,INDEX(차트데이터!$A:$BZ,0,MATCH("BND",차트데이터!$1:$1,0)),INDEX(차트데이터!$A:$BZ,0,MATCH("BND",차트데이터!$1:$1,0)+1)),"")</f>
        <v/>
      </c>
      <c r="I24" s="259">
        <f>IFERROR(LOOKUP(I1,INDEX(차트데이터!$A:$BZ,0,MATCH("BND",차트데이터!$1:$1,0)),INDEX(차트데이터!$A:$BZ,0,MATCH("BND",차트데이터!$1:$1,0)+1)),"")</f>
        <v/>
      </c>
      <c r="J24" s="259">
        <f>IFERROR(LOOKUP(J1,INDEX(차트데이터!$A:$BZ,0,MATCH("BND",차트데이터!$1:$1,0)),INDEX(차트데이터!$A:$BZ,0,MATCH("BND",차트데이터!$1:$1,0)+1)),"")</f>
        <v/>
      </c>
      <c r="K24" s="259">
        <f>IFERROR(LOOKUP(K1,INDEX(차트데이터!$A:$BZ,0,MATCH("BND",차트데이터!$1:$1,0)),INDEX(차트데이터!$A:$BZ,0,MATCH("BND",차트데이터!$1:$1,0)+1)),"")</f>
        <v/>
      </c>
      <c r="L24" s="259">
        <f>IFERROR(LOOKUP(L1,INDEX(차트데이터!$A:$BZ,0,MATCH("BND",차트데이터!$1:$1,0)),INDEX(차트데이터!$A:$BZ,0,MATCH("BND",차트데이터!$1:$1,0)+1)),"")</f>
        <v/>
      </c>
      <c r="M24" s="259">
        <f>IFERROR(LOOKUP(M1,INDEX(차트데이터!$A:$BZ,0,MATCH("BND",차트데이터!$1:$1,0)),INDEX(차트데이터!$A:$BZ,0,MATCH("BND",차트데이터!$1:$1,0)+1)),"")</f>
        <v/>
      </c>
      <c r="N24" s="259">
        <f>IFERROR(LOOKUP(N1,INDEX(차트데이터!$A:$BZ,0,MATCH("BND",차트데이터!$1:$1,0)),INDEX(차트데이터!$A:$BZ,0,MATCH("BND",차트데이터!$1:$1,0)+1)),"")</f>
        <v/>
      </c>
      <c r="O24" s="259">
        <f>IFERROR(LOOKUP(O1,INDEX(차트데이터!$A:$BZ,0,MATCH("BND",차트데이터!$1:$1,0)),INDEX(차트데이터!$A:$BZ,0,MATCH("BND",차트데이터!$1:$1,0)+1)),"")</f>
        <v/>
      </c>
      <c r="P24" s="260">
        <f>AVERAGE(A24:N24)</f>
        <v/>
      </c>
      <c r="Q24" s="261">
        <f>B24/P24</f>
        <v/>
      </c>
      <c r="R24" s="168">
        <f>(B24/D24)-1</f>
        <v/>
      </c>
      <c r="S24" s="168">
        <f>(B24/F24)-1</f>
        <v/>
      </c>
      <c r="T24" s="168">
        <f>(B24/I24)-1</f>
        <v/>
      </c>
      <c r="U24" s="168">
        <f>(B24/O24)-1</f>
        <v/>
      </c>
      <c r="V24" s="489">
        <f>R24*12</f>
        <v/>
      </c>
      <c r="W24" s="489">
        <f>S24*4</f>
        <v/>
      </c>
      <c r="X24" s="489">
        <f>T24*2</f>
        <v/>
      </c>
      <c r="Y24" s="489">
        <f>U24*1</f>
        <v/>
      </c>
      <c r="Z24" s="180">
        <f>SUM(V24:Y24)</f>
        <v/>
      </c>
    </row>
    <row r="25" ht="13.5" customHeight="1" s="322">
      <c r="A25" s="262">
        <f>관심종목!D33</f>
        <v/>
      </c>
      <c r="B25" s="494">
        <f>관심종목!H33</f>
        <v/>
      </c>
      <c r="C25" s="264">
        <f>IFERROR(LOOKUP(C1,INDEX(차트데이터!$A:$BZ,0,MATCH("DBC",차트데이터!$1:$1,0)),INDEX(차트데이터!$A:$BZ,0,MATCH("DBC",차트데이터!$1:$1,0)+1)),"")</f>
        <v/>
      </c>
      <c r="D25" s="264">
        <f>IFERROR(LOOKUP(D1,INDEX(차트데이터!$A:$BZ,0,MATCH("DBC",차트데이터!$1:$1,0)),INDEX(차트데이터!$A:$BZ,0,MATCH("DBC",차트데이터!$1:$1,0)+1)),"")</f>
        <v/>
      </c>
      <c r="E25" s="264">
        <f>IFERROR(LOOKUP(E1,INDEX(차트데이터!$A:$BZ,0,MATCH("DBC",차트데이터!$1:$1,0)),INDEX(차트데이터!$A:$BZ,0,MATCH("DBC",차트데이터!$1:$1,0)+1)),"")</f>
        <v/>
      </c>
      <c r="F25" s="264">
        <f>IFERROR(LOOKUP(F1,INDEX(차트데이터!$A:$BZ,0,MATCH("DBC",차트데이터!$1:$1,0)),INDEX(차트데이터!$A:$BZ,0,MATCH("DBC",차트데이터!$1:$1,0)+1)),"")</f>
        <v/>
      </c>
      <c r="G25" s="264">
        <f>IFERROR(LOOKUP(G1,INDEX(차트데이터!$A:$BZ,0,MATCH("DBC",차트데이터!$1:$1,0)),INDEX(차트데이터!$A:$BZ,0,MATCH("DBC",차트데이터!$1:$1,0)+1)),"")</f>
        <v/>
      </c>
      <c r="H25" s="264">
        <f>IFERROR(LOOKUP(H1,INDEX(차트데이터!$A:$BZ,0,MATCH("DBC",차트데이터!$1:$1,0)),INDEX(차트데이터!$A:$BZ,0,MATCH("DBC",차트데이터!$1:$1,0)+1)),"")</f>
        <v/>
      </c>
      <c r="I25" s="264">
        <f>IFERROR(LOOKUP(I1,INDEX(차트데이터!$A:$BZ,0,MATCH("DBC",차트데이터!$1:$1,0)),INDEX(차트데이터!$A:$BZ,0,MATCH("DBC",차트데이터!$1:$1,0)+1)),"")</f>
        <v/>
      </c>
      <c r="J25" s="264">
        <f>IFERROR(LOOKUP(J1,INDEX(차트데이터!$A:$BZ,0,MATCH("DBC",차트데이터!$1:$1,0)),INDEX(차트데이터!$A:$BZ,0,MATCH("DBC",차트데이터!$1:$1,0)+1)),"")</f>
        <v/>
      </c>
      <c r="K25" s="264">
        <f>IFERROR(LOOKUP(K1,INDEX(차트데이터!$A:$BZ,0,MATCH("DBC",차트데이터!$1:$1,0)),INDEX(차트데이터!$A:$BZ,0,MATCH("DBC",차트데이터!$1:$1,0)+1)),"")</f>
        <v/>
      </c>
      <c r="L25" s="264">
        <f>IFERROR(LOOKUP(L1,INDEX(차트데이터!$A:$BZ,0,MATCH("DBC",차트데이터!$1:$1,0)),INDEX(차트데이터!$A:$BZ,0,MATCH("DBC",차트데이터!$1:$1,0)+1)),"")</f>
        <v/>
      </c>
      <c r="M25" s="264">
        <f>IFERROR(LOOKUP(M1,INDEX(차트데이터!$A:$BZ,0,MATCH("DBC",차트데이터!$1:$1,0)),INDEX(차트데이터!$A:$BZ,0,MATCH("DBC",차트데이터!$1:$1,0)+1)),"")</f>
        <v/>
      </c>
      <c r="N25" s="264">
        <f>IFERROR(LOOKUP(N1,INDEX(차트데이터!$A:$BZ,0,MATCH("DBC",차트데이터!$1:$1,0)),INDEX(차트데이터!$A:$BZ,0,MATCH("DBC",차트데이터!$1:$1,0)+1)),"")</f>
        <v/>
      </c>
      <c r="O25" s="264">
        <f>IFERROR(LOOKUP(O1,INDEX(차트데이터!$A:$BZ,0,MATCH("DBC",차트데이터!$1:$1,0)),INDEX(차트데이터!$A:$BZ,0,MATCH("DBC",차트데이터!$1:$1,0)+1)),"")</f>
        <v/>
      </c>
      <c r="P25" s="265">
        <f>AVERAGE(A25:N25)</f>
        <v/>
      </c>
      <c r="Q25" s="266">
        <f>B25/P25</f>
        <v/>
      </c>
      <c r="R25" s="246">
        <f>(B25/D25)-1</f>
        <v/>
      </c>
      <c r="S25" s="246">
        <f>(B25/F25)-1</f>
        <v/>
      </c>
      <c r="T25" s="246">
        <f>(B25/I25)-1</f>
        <v/>
      </c>
      <c r="U25" s="246">
        <f>(B25/O25)-1</f>
        <v/>
      </c>
      <c r="V25" s="491">
        <f>R25*12</f>
        <v/>
      </c>
      <c r="W25" s="491">
        <f>S25*4</f>
        <v/>
      </c>
      <c r="X25" s="491">
        <f>T25*2</f>
        <v/>
      </c>
      <c r="Y25" s="491">
        <f>U25*1</f>
        <v/>
      </c>
      <c r="Z25" s="248">
        <f>SUM(V25:Y25)</f>
        <v/>
      </c>
    </row>
    <row r="26" ht="18.75" customHeight="1" s="322">
      <c r="A26" s="267" t="n"/>
    </row>
    <row r="27" ht="15" customHeight="1" s="322">
      <c r="A27" s="78" t="inlineStr">
        <is>
          <t>ㅣ카나리아 자산군</t>
        </is>
      </c>
      <c r="P27" s="268" t="n"/>
      <c r="Q27" s="268" t="n"/>
      <c r="R27" s="268" t="n"/>
      <c r="S27" s="268" t="n"/>
    </row>
    <row r="28" ht="24.75" customHeight="1" s="322">
      <c r="A28" s="269" t="n"/>
      <c r="B28" s="270" t="inlineStr">
        <is>
          <t>현재</t>
        </is>
      </c>
      <c r="C28" s="121" t="inlineStr">
        <is>
          <t>전 날</t>
        </is>
      </c>
      <c r="D28" s="121" t="inlineStr">
        <is>
          <t>1개월 전</t>
        </is>
      </c>
      <c r="E28" s="121" t="inlineStr">
        <is>
          <t>2개월 전</t>
        </is>
      </c>
      <c r="F28" s="121" t="inlineStr">
        <is>
          <t>3개월 전</t>
        </is>
      </c>
      <c r="G28" s="121" t="inlineStr">
        <is>
          <t>4개월 전</t>
        </is>
      </c>
      <c r="H28" s="121" t="inlineStr">
        <is>
          <t>5개월 전</t>
        </is>
      </c>
      <c r="I28" s="121" t="inlineStr">
        <is>
          <t>6개월 전</t>
        </is>
      </c>
      <c r="J28" s="121" t="inlineStr">
        <is>
          <t>7개월 전</t>
        </is>
      </c>
      <c r="K28" s="121" t="inlineStr">
        <is>
          <t>8개월 전</t>
        </is>
      </c>
      <c r="L28" s="121" t="inlineStr">
        <is>
          <t>9개월 전</t>
        </is>
      </c>
      <c r="M28" s="121" t="inlineStr">
        <is>
          <t>10개월 전</t>
        </is>
      </c>
      <c r="N28" s="121" t="inlineStr">
        <is>
          <t>11개월 전</t>
        </is>
      </c>
      <c r="O28" s="121" t="inlineStr">
        <is>
          <t>12개월 전</t>
        </is>
      </c>
      <c r="P28" s="254" t="inlineStr">
        <is>
          <t>12개월 이동평균</t>
        </is>
      </c>
      <c r="Q28" s="254" t="inlineStr">
        <is>
          <t>현재가격/12개월 이동평균</t>
        </is>
      </c>
      <c r="R28" s="269" t="inlineStr">
        <is>
          <t>1개월 수익률</t>
        </is>
      </c>
      <c r="S28" s="269" t="inlineStr">
        <is>
          <t>3개월 수익률</t>
        </is>
      </c>
      <c r="T28" s="269" t="inlineStr">
        <is>
          <t>6개월 수익률</t>
        </is>
      </c>
      <c r="U28" s="269" t="inlineStr">
        <is>
          <t>최근 1년 수익률</t>
        </is>
      </c>
      <c r="V28" s="121" t="inlineStr">
        <is>
          <t>1개월 수익률*12</t>
        </is>
      </c>
      <c r="W28" s="121" t="inlineStr">
        <is>
          <t>3개월 수익률*4</t>
        </is>
      </c>
      <c r="X28" s="121" t="inlineStr">
        <is>
          <t>6개월 수익률*2</t>
        </is>
      </c>
      <c r="Y28" s="121" t="inlineStr">
        <is>
          <t>12개월 수익률*1</t>
        </is>
      </c>
      <c r="Z28" s="124" t="inlineStr">
        <is>
          <t>모멘텀 스코어</t>
        </is>
      </c>
      <c r="AA28" s="271" t="n"/>
      <c r="AB28" s="271" t="n"/>
      <c r="AC28" s="271" t="n"/>
      <c r="AD28" s="271" t="n"/>
      <c r="AE28" s="271" t="n"/>
      <c r="AF28" s="271" t="n"/>
      <c r="AG28" s="271" t="n"/>
      <c r="AH28" s="271" t="n"/>
      <c r="AI28" s="271" t="n"/>
      <c r="AJ28" s="271" t="n"/>
      <c r="AK28" s="271" t="n"/>
      <c r="AL28" s="271" t="n"/>
      <c r="AM28" s="271" t="n"/>
      <c r="AN28" s="271" t="n"/>
      <c r="AO28" s="271" t="n"/>
      <c r="AP28" s="271" t="n"/>
      <c r="AQ28" s="271" t="n"/>
      <c r="AR28" s="271" t="n"/>
      <c r="AS28" s="271" t="n"/>
      <c r="AT28" s="271" t="n"/>
      <c r="AU28" s="271" t="n"/>
      <c r="AV28" s="271" t="n"/>
      <c r="AW28" s="271" t="n"/>
      <c r="AX28" s="271" t="n"/>
      <c r="AY28" s="271" t="n"/>
      <c r="AZ28" s="271" t="n"/>
      <c r="BA28" s="271" t="n"/>
      <c r="BB28" s="271" t="n"/>
      <c r="BC28" s="271" t="n"/>
      <c r="BD28" s="271" t="n"/>
      <c r="BE28" s="271" t="n"/>
      <c r="BF28" s="271" t="n"/>
      <c r="BG28" s="271" t="n"/>
      <c r="BH28" s="271" t="n"/>
      <c r="BI28" s="271" t="n"/>
      <c r="BJ28" s="271" t="n"/>
      <c r="BK28" s="271" t="n"/>
      <c r="BL28" s="271" t="n"/>
      <c r="BM28" s="271" t="n"/>
      <c r="BN28" s="271" t="n"/>
      <c r="BO28" s="271" t="n"/>
      <c r="BP28" s="271" t="n"/>
      <c r="BQ28" s="271" t="n"/>
      <c r="BR28" s="271" t="n"/>
      <c r="BS28" s="271" t="n"/>
      <c r="BT28" s="271" t="n"/>
      <c r="BU28" s="271" t="n"/>
      <c r="BV28" s="271" t="n"/>
      <c r="BW28" s="271" t="n"/>
      <c r="BX28" s="271" t="n"/>
      <c r="BY28" s="271" t="n"/>
      <c r="BZ28" s="271" t="n"/>
      <c r="CA28" s="271" t="n"/>
      <c r="CB28" s="271" t="n"/>
      <c r="CC28" s="271" t="n"/>
      <c r="CD28" s="271" t="n"/>
      <c r="CE28" s="271" t="n"/>
      <c r="CF28" s="271" t="n"/>
      <c r="CG28" s="271" t="n"/>
      <c r="CH28" s="271" t="n"/>
      <c r="CI28" s="271" t="n"/>
      <c r="CJ28" s="271" t="n"/>
      <c r="CK28" s="271" t="n"/>
      <c r="CL28" s="271" t="n"/>
      <c r="CM28" s="271" t="n"/>
      <c r="CN28" s="271" t="n"/>
      <c r="CO28" s="271" t="n"/>
      <c r="CP28" s="271" t="n"/>
      <c r="CQ28" s="271" t="n"/>
      <c r="CR28" s="271" t="n"/>
      <c r="CS28" s="271" t="n"/>
      <c r="CT28" s="271" t="n"/>
      <c r="CU28" s="271" t="n"/>
      <c r="CV28" s="271" t="n"/>
      <c r="CW28" s="271" t="n"/>
      <c r="CX28" s="271" t="n"/>
      <c r="CY28" s="271" t="n"/>
      <c r="CZ28" s="271" t="n"/>
      <c r="DA28" s="271" t="n"/>
      <c r="DB28" s="271" t="n"/>
      <c r="DC28" s="271" t="n"/>
      <c r="DD28" s="271" t="n"/>
      <c r="DE28" s="271" t="n"/>
      <c r="DF28" s="271" t="n"/>
      <c r="DG28" s="271" t="n"/>
      <c r="DH28" s="271" t="n"/>
      <c r="DI28" s="271" t="n"/>
      <c r="DJ28" s="271" t="n"/>
      <c r="DK28" s="271" t="n"/>
      <c r="DL28" s="271" t="n"/>
      <c r="DM28" s="271" t="n"/>
      <c r="DN28" s="271" t="n"/>
      <c r="DO28" s="271" t="n"/>
      <c r="DP28" s="271" t="n"/>
      <c r="DQ28" s="271" t="n"/>
      <c r="DR28" s="271" t="n"/>
      <c r="DS28" s="271" t="n"/>
      <c r="DT28" s="271" t="n"/>
      <c r="DU28" s="271" t="n"/>
      <c r="DV28" s="271" t="n"/>
      <c r="DW28" s="271" t="n"/>
      <c r="DX28" s="271" t="n"/>
      <c r="DY28" s="271" t="n"/>
      <c r="DZ28" s="271" t="n"/>
      <c r="EA28" s="271" t="n"/>
      <c r="EB28" s="271" t="n"/>
      <c r="EC28" s="271" t="n"/>
      <c r="ED28" s="271" t="n"/>
      <c r="EE28" s="271" t="n"/>
      <c r="EF28" s="271" t="n"/>
      <c r="EG28" s="271" t="n"/>
      <c r="EH28" s="271" t="n"/>
      <c r="EI28" s="271" t="n"/>
      <c r="EJ28" s="271" t="n"/>
      <c r="EK28" s="271" t="n"/>
      <c r="EL28" s="271" t="n"/>
      <c r="EM28" s="271" t="n"/>
      <c r="EN28" s="271" t="n"/>
      <c r="EO28" s="271" t="n"/>
      <c r="EP28" s="271" t="n"/>
      <c r="EQ28" s="271" t="n"/>
      <c r="ER28" s="271" t="n"/>
      <c r="ES28" s="271" t="n"/>
      <c r="ET28" s="271" t="n"/>
      <c r="EU28" s="271" t="n"/>
      <c r="EV28" s="271" t="n"/>
      <c r="EW28" s="271" t="n"/>
      <c r="EX28" s="271" t="n"/>
      <c r="EY28" s="271" t="n"/>
      <c r="EZ28" s="271" t="n"/>
      <c r="FA28" s="271" t="n"/>
      <c r="FB28" s="271" t="n"/>
      <c r="FC28" s="271" t="n"/>
      <c r="FD28" s="271" t="n"/>
      <c r="FE28" s="271" t="n"/>
      <c r="FF28" s="271" t="n"/>
      <c r="FG28" s="271" t="n"/>
      <c r="FH28" s="271" t="n"/>
      <c r="FI28" s="271" t="n"/>
      <c r="FJ28" s="271" t="n"/>
      <c r="FK28" s="271" t="n"/>
      <c r="FL28" s="271" t="n"/>
      <c r="FM28" s="271" t="n"/>
      <c r="FN28" s="271" t="n"/>
      <c r="FO28" s="271" t="n"/>
      <c r="FP28" s="271" t="n"/>
      <c r="FQ28" s="271" t="n"/>
      <c r="FR28" s="271" t="n"/>
      <c r="FS28" s="271" t="n"/>
      <c r="FT28" s="271" t="n"/>
      <c r="FU28" s="271" t="n"/>
      <c r="FV28" s="271" t="n"/>
      <c r="FW28" s="271" t="n"/>
      <c r="FX28" s="271" t="n"/>
      <c r="FY28" s="271" t="n"/>
      <c r="FZ28" s="271" t="n"/>
      <c r="GA28" s="271" t="n"/>
      <c r="GB28" s="271" t="n"/>
      <c r="GC28" s="271" t="n"/>
      <c r="GD28" s="271" t="n"/>
      <c r="GE28" s="271" t="n"/>
      <c r="GF28" s="271" t="n"/>
      <c r="GG28" s="271" t="n"/>
      <c r="GH28" s="271" t="n"/>
      <c r="GI28" s="271" t="n"/>
      <c r="GJ28" s="271" t="n"/>
      <c r="GK28" s="271" t="n"/>
      <c r="GL28" s="271" t="n"/>
      <c r="GM28" s="271" t="n"/>
      <c r="GN28" s="271" t="n"/>
      <c r="GO28" s="271" t="n"/>
      <c r="GP28" s="271" t="n"/>
      <c r="GQ28" s="271" t="n"/>
      <c r="GR28" s="271" t="n"/>
      <c r="GS28" s="271" t="n"/>
      <c r="GT28" s="271" t="n"/>
      <c r="GU28" s="271" t="n"/>
      <c r="GV28" s="271" t="n"/>
      <c r="GW28" s="271" t="n"/>
      <c r="GX28" s="271" t="n"/>
      <c r="GY28" s="271" t="n"/>
      <c r="GZ28" s="271" t="n"/>
      <c r="HA28" s="271" t="n"/>
      <c r="HB28" s="271" t="n"/>
      <c r="HC28" s="271" t="n"/>
      <c r="HD28" s="271" t="n"/>
      <c r="HE28" s="271" t="n"/>
      <c r="HF28" s="271" t="n"/>
      <c r="HG28" s="271" t="n"/>
      <c r="HH28" s="271" t="n"/>
      <c r="HI28" s="271" t="n"/>
      <c r="HJ28" s="271" t="n"/>
      <c r="HK28" s="271" t="n"/>
      <c r="HL28" s="271" t="n"/>
      <c r="HM28" s="271" t="n"/>
      <c r="HN28" s="271" t="n"/>
      <c r="HO28" s="271" t="n"/>
      <c r="HP28" s="271" t="n"/>
      <c r="HQ28" s="271" t="n"/>
      <c r="HR28" s="271" t="n"/>
      <c r="HS28" s="271" t="n"/>
      <c r="HT28" s="271" t="n"/>
      <c r="HU28" s="271" t="n"/>
      <c r="HV28" s="271" t="n"/>
      <c r="HW28" s="271" t="n"/>
      <c r="HX28" s="271" t="n"/>
      <c r="HY28" s="271" t="n"/>
      <c r="HZ28" s="271" t="n"/>
      <c r="IA28" s="271" t="n"/>
      <c r="IB28" s="271" t="n"/>
      <c r="IC28" s="271" t="n"/>
      <c r="ID28" s="271" t="n"/>
      <c r="IE28" s="271" t="n"/>
      <c r="IF28" s="271" t="n"/>
      <c r="IG28" s="271" t="n"/>
      <c r="IH28" s="271" t="n"/>
      <c r="II28" s="271" t="n"/>
      <c r="IJ28" s="271" t="n"/>
      <c r="IK28" s="271" t="n"/>
      <c r="IL28" s="271" t="n"/>
      <c r="IM28" s="271" t="n"/>
      <c r="IN28" s="271" t="n"/>
      <c r="IO28" s="271" t="n"/>
      <c r="IP28" s="271" t="n"/>
      <c r="IQ28" s="271" t="n"/>
    </row>
    <row r="29" ht="14.25" customHeight="1" s="322">
      <c r="A29" s="272" t="inlineStr">
        <is>
          <t>SPY</t>
        </is>
      </c>
      <c r="B29" s="495">
        <f>관심종목!H22</f>
        <v/>
      </c>
      <c r="C29" s="274">
        <f>IFERROR(LOOKUP(C1,INDEX(차트데이터!$A:$BZ,0,MATCH("SPY",차트데이터!$1:$1,0)),INDEX(차트데이터!$A:$BZ,0,MATCH("SPY",차트데이터!$1:$1,0)+1)),"")</f>
        <v/>
      </c>
      <c r="D29" s="274">
        <f>IFERROR(LOOKUP(D1,INDEX(차트데이터!$A:$BZ,0,MATCH("SPY",차트데이터!$1:$1,0)),INDEX(차트데이터!$A:$BZ,0,MATCH("SPY",차트데이터!$1:$1,0)+1)),"")</f>
        <v/>
      </c>
      <c r="E29" s="274">
        <f>IFERROR(LOOKUP(E1,INDEX(차트데이터!$A:$BZ,0,MATCH("SPY",차트데이터!$1:$1,0)),INDEX(차트데이터!$A:$BZ,0,MATCH("SPY",차트데이터!$1:$1,0)+1)),"")</f>
        <v/>
      </c>
      <c r="F29" s="274">
        <f>IFERROR(LOOKUP(F1,INDEX(차트데이터!$A:$BZ,0,MATCH("SPY",차트데이터!$1:$1,0)),INDEX(차트데이터!$A:$BZ,0,MATCH("SPY",차트데이터!$1:$1,0)+1)),"")</f>
        <v/>
      </c>
      <c r="G29" s="274">
        <f>IFERROR(LOOKUP(G1,INDEX(차트데이터!$A:$BZ,0,MATCH("SPY",차트데이터!$1:$1,0)),INDEX(차트데이터!$A:$BZ,0,MATCH("SPY",차트데이터!$1:$1,0)+1)),"")</f>
        <v/>
      </c>
      <c r="H29" s="274">
        <f>IFERROR(LOOKUP(H1,INDEX(차트데이터!$A:$BZ,0,MATCH("SPY",차트데이터!$1:$1,0)),INDEX(차트데이터!$A:$BZ,0,MATCH("SPY",차트데이터!$1:$1,0)+1)),"")</f>
        <v/>
      </c>
      <c r="I29" s="274">
        <f>IFERROR(LOOKUP(I1,INDEX(차트데이터!$A:$BZ,0,MATCH("SPY",차트데이터!$1:$1,0)),INDEX(차트데이터!$A:$BZ,0,MATCH("SPY",차트데이터!$1:$1,0)+1)),"")</f>
        <v/>
      </c>
      <c r="J29" s="274">
        <f>IFERROR(LOOKUP(J1,INDEX(차트데이터!$A:$BZ,0,MATCH("SPY",차트데이터!$1:$1,0)),INDEX(차트데이터!$A:$BZ,0,MATCH("SPY",차트데이터!$1:$1,0)+1)),"")</f>
        <v/>
      </c>
      <c r="K29" s="274">
        <f>IFERROR(LOOKUP(K1,INDEX(차트데이터!$A:$BZ,0,MATCH("SPY",차트데이터!$1:$1,0)),INDEX(차트데이터!$A:$BZ,0,MATCH("SPY",차트데이터!$1:$1,0)+1)),"")</f>
        <v/>
      </c>
      <c r="L29" s="274">
        <f>IFERROR(LOOKUP(L1,INDEX(차트데이터!$A:$BZ,0,MATCH("SPY",차트데이터!$1:$1,0)),INDEX(차트데이터!$A:$BZ,0,MATCH("SPY",차트데이터!$1:$1,0)+1)),"")</f>
        <v/>
      </c>
      <c r="M29" s="274">
        <f>IFERROR(LOOKUP(M1,INDEX(차트데이터!$A:$BZ,0,MATCH("SPY",차트데이터!$1:$1,0)),INDEX(차트데이터!$A:$BZ,0,MATCH("SPY",차트데이터!$1:$1,0)+1)),"")</f>
        <v/>
      </c>
      <c r="N29" s="274">
        <f>IFERROR(LOOKUP(N1,INDEX(차트데이터!$A:$BZ,0,MATCH("SPY",차트데이터!$1:$1,0)),INDEX(차트데이터!$A:$BZ,0,MATCH("SPY",차트데이터!$1:$1,0)+1)),"")</f>
        <v/>
      </c>
      <c r="O29" s="274">
        <f>IFERROR(LOOKUP(O1,INDEX(차트데이터!$A:$BZ,0,MATCH("SPY",차트데이터!$1:$1,0)),INDEX(차트데이터!$A:$BZ,0,MATCH("SPY",차트데이터!$1:$1,0)+1)),"")</f>
        <v/>
      </c>
      <c r="P29" s="260">
        <f>AVERAGE(D29:O29)</f>
        <v/>
      </c>
      <c r="Q29" s="260">
        <f>B29/P29</f>
        <v/>
      </c>
      <c r="R29" s="275">
        <f>(B29/D29)-1</f>
        <v/>
      </c>
      <c r="S29" s="275">
        <f>(B29/F29)-1</f>
        <v/>
      </c>
      <c r="T29" s="275">
        <f>(B29/I29)-1</f>
        <v/>
      </c>
      <c r="U29" s="275">
        <f>(B29/O29)-1</f>
        <v/>
      </c>
      <c r="V29" s="496">
        <f>R29*12</f>
        <v/>
      </c>
      <c r="W29" s="496">
        <f>S29*12</f>
        <v/>
      </c>
      <c r="X29" s="496">
        <f>T29*2</f>
        <v/>
      </c>
      <c r="Y29" s="496">
        <f>U29*1</f>
        <v/>
      </c>
      <c r="Z29" s="277">
        <f>SUM(V29:Y29)</f>
        <v/>
      </c>
    </row>
    <row r="30" ht="14.25" customHeight="1" s="322">
      <c r="A30" s="272" t="inlineStr">
        <is>
          <t>EFA</t>
        </is>
      </c>
      <c r="B30" s="495">
        <f>관심종목!H23</f>
        <v/>
      </c>
      <c r="C30" s="274">
        <f>IFERROR(LOOKUP(C1,INDEX(차트데이터!$A:$BZ,0,MATCH("EFA",차트데이터!$1:$1,0)),INDEX(차트데이터!$A:$BZ,0,MATCH("EFA",차트데이터!$1:$1,0)+1)),"")</f>
        <v/>
      </c>
      <c r="D30" s="274">
        <f>IFERROR(LOOKUP(D1,INDEX(차트데이터!$A:$BZ,0,MATCH("EFA",차트데이터!$1:$1,0)),INDEX(차트데이터!$A:$BZ,0,MATCH("EFA",차트데이터!$1:$1,0)+1)),"")</f>
        <v/>
      </c>
      <c r="E30" s="274">
        <f>IFERROR(LOOKUP(E1,INDEX(차트데이터!$A:$BZ,0,MATCH("EFA",차트데이터!$1:$1,0)),INDEX(차트데이터!$A:$BZ,0,MATCH("EFA",차트데이터!$1:$1,0)+1)),"")</f>
        <v/>
      </c>
      <c r="F30" s="274">
        <f>IFERROR(LOOKUP(F1,INDEX(차트데이터!$A:$BZ,0,MATCH("EFA",차트데이터!$1:$1,0)),INDEX(차트데이터!$A:$BZ,0,MATCH("EFA",차트데이터!$1:$1,0)+1)),"")</f>
        <v/>
      </c>
      <c r="G30" s="274">
        <f>IFERROR(LOOKUP(G1,INDEX(차트데이터!$A:$BZ,0,MATCH("EFA",차트데이터!$1:$1,0)),INDEX(차트데이터!$A:$BZ,0,MATCH("EFA",차트데이터!$1:$1,0)+1)),"")</f>
        <v/>
      </c>
      <c r="H30" s="274">
        <f>IFERROR(LOOKUP(H1,INDEX(차트데이터!$A:$BZ,0,MATCH("EFA",차트데이터!$1:$1,0)),INDEX(차트데이터!$A:$BZ,0,MATCH("EFA",차트데이터!$1:$1,0)+1)),"")</f>
        <v/>
      </c>
      <c r="I30" s="274">
        <f>IFERROR(LOOKUP(I1,INDEX(차트데이터!$A:$BZ,0,MATCH("EFA",차트데이터!$1:$1,0)),INDEX(차트데이터!$A:$BZ,0,MATCH("EFA",차트데이터!$1:$1,0)+1)),"")</f>
        <v/>
      </c>
      <c r="J30" s="274">
        <f>IFERROR(LOOKUP(J1,INDEX(차트데이터!$A:$BZ,0,MATCH("EFA",차트데이터!$1:$1,0)),INDEX(차트데이터!$A:$BZ,0,MATCH("EFA",차트데이터!$1:$1,0)+1)),"")</f>
        <v/>
      </c>
      <c r="K30" s="274">
        <f>IFERROR(LOOKUP(K1,INDEX(차트데이터!$A:$BZ,0,MATCH("EFA",차트데이터!$1:$1,0)),INDEX(차트데이터!$A:$BZ,0,MATCH("EFA",차트데이터!$1:$1,0)+1)),"")</f>
        <v/>
      </c>
      <c r="L30" s="274">
        <f>IFERROR(LOOKUP(L1,INDEX(차트데이터!$A:$BZ,0,MATCH("EFA",차트데이터!$1:$1,0)),INDEX(차트데이터!$A:$BZ,0,MATCH("EFA",차트데이터!$1:$1,0)+1)),"")</f>
        <v/>
      </c>
      <c r="M30" s="274">
        <f>IFERROR(LOOKUP(M1,INDEX(차트데이터!$A:$BZ,0,MATCH("EFA",차트데이터!$1:$1,0)),INDEX(차트데이터!$A:$BZ,0,MATCH("EFA",차트데이터!$1:$1,0)+1)),"")</f>
        <v/>
      </c>
      <c r="N30" s="274">
        <f>IFERROR(LOOKUP(N1,INDEX(차트데이터!$A:$BZ,0,MATCH("EFA",차트데이터!$1:$1,0)),INDEX(차트데이터!$A:$BZ,0,MATCH("EFA",차트데이터!$1:$1,0)+1)),"")</f>
        <v/>
      </c>
      <c r="O30" s="274">
        <f>IFERROR(LOOKUP(O1,INDEX(차트데이터!$A:$BZ,0,MATCH("EFA",차트데이터!$1:$1,0)),INDEX(차트데이터!$A:$BZ,0,MATCH("EFA",차트데이터!$1:$1,0)+1)),"")</f>
        <v/>
      </c>
      <c r="P30" s="260">
        <f>AVERAGE(D30:O30)</f>
        <v/>
      </c>
      <c r="Q30" s="260">
        <f>B30/P30</f>
        <v/>
      </c>
      <c r="R30" s="275">
        <f>(B30/D30)-1</f>
        <v/>
      </c>
      <c r="S30" s="275">
        <f>(B30/F30)-1</f>
        <v/>
      </c>
      <c r="T30" s="275">
        <f>(B30/I30)-1</f>
        <v/>
      </c>
      <c r="U30" s="275">
        <f>(B30/O30)-1</f>
        <v/>
      </c>
      <c r="V30" s="496">
        <f>R30*12</f>
        <v/>
      </c>
      <c r="W30" s="496">
        <f>S30*12</f>
        <v/>
      </c>
      <c r="X30" s="496">
        <f>T30*2</f>
        <v/>
      </c>
      <c r="Y30" s="496">
        <f>U30*1</f>
        <v/>
      </c>
      <c r="Z30" s="277">
        <f>SUM(V30:Y30)</f>
        <v/>
      </c>
    </row>
    <row r="31" ht="14.25" customHeight="1" s="322">
      <c r="A31" s="272" t="inlineStr">
        <is>
          <t>EEM</t>
        </is>
      </c>
      <c r="B31" s="495">
        <f>관심종목!H24</f>
        <v/>
      </c>
      <c r="C31" s="274">
        <f>IFERROR(LOOKUP(C1,INDEX(차트데이터!$A:$BZ,0,MATCH("EEM",차트데이터!$1:$1,0)),INDEX(차트데이터!$A:$BZ,0,MATCH("EEM",차트데이터!$1:$1,0)+1)),"")</f>
        <v/>
      </c>
      <c r="D31" s="274">
        <f>IFERROR(LOOKUP(D1,INDEX(차트데이터!$A:$BZ,0,MATCH("EEM",차트데이터!$1:$1,0)),INDEX(차트데이터!$A:$BZ,0,MATCH("EEM",차트데이터!$1:$1,0)+1)),"")</f>
        <v/>
      </c>
      <c r="E31" s="274">
        <f>IFERROR(LOOKUP(E1,INDEX(차트데이터!$A:$BZ,0,MATCH("EEM",차트데이터!$1:$1,0)),INDEX(차트데이터!$A:$BZ,0,MATCH("EEM",차트데이터!$1:$1,0)+1)),"")</f>
        <v/>
      </c>
      <c r="F31" s="274">
        <f>IFERROR(LOOKUP(F1,INDEX(차트데이터!$A:$BZ,0,MATCH("EEM",차트데이터!$1:$1,0)),INDEX(차트데이터!$A:$BZ,0,MATCH("EEM",차트데이터!$1:$1,0)+1)),"")</f>
        <v/>
      </c>
      <c r="G31" s="274">
        <f>IFERROR(LOOKUP(G1,INDEX(차트데이터!$A:$BZ,0,MATCH("EEM",차트데이터!$1:$1,0)),INDEX(차트데이터!$A:$BZ,0,MATCH("EEM",차트데이터!$1:$1,0)+1)),"")</f>
        <v/>
      </c>
      <c r="H31" s="274">
        <f>IFERROR(LOOKUP(H1,INDEX(차트데이터!$A:$BZ,0,MATCH("EEM",차트데이터!$1:$1,0)),INDEX(차트데이터!$A:$BZ,0,MATCH("EEM",차트데이터!$1:$1,0)+1)),"")</f>
        <v/>
      </c>
      <c r="I31" s="274">
        <f>IFERROR(LOOKUP(I1,INDEX(차트데이터!$A:$BZ,0,MATCH("EEM",차트데이터!$1:$1,0)),INDEX(차트데이터!$A:$BZ,0,MATCH("EEM",차트데이터!$1:$1,0)+1)),"")</f>
        <v/>
      </c>
      <c r="J31" s="274">
        <f>IFERROR(LOOKUP(J1,INDEX(차트데이터!$A:$BZ,0,MATCH("EEM",차트데이터!$1:$1,0)),INDEX(차트데이터!$A:$BZ,0,MATCH("EEM",차트데이터!$1:$1,0)+1)),"")</f>
        <v/>
      </c>
      <c r="K31" s="274">
        <f>IFERROR(LOOKUP(K1,INDEX(차트데이터!$A:$BZ,0,MATCH("EEM",차트데이터!$1:$1,0)),INDEX(차트데이터!$A:$BZ,0,MATCH("EEM",차트데이터!$1:$1,0)+1)),"")</f>
        <v/>
      </c>
      <c r="L31" s="274">
        <f>IFERROR(LOOKUP(L1,INDEX(차트데이터!$A:$BZ,0,MATCH("EEM",차트데이터!$1:$1,0)),INDEX(차트데이터!$A:$BZ,0,MATCH("EEM",차트데이터!$1:$1,0)+1)),"")</f>
        <v/>
      </c>
      <c r="M31" s="274">
        <f>IFERROR(LOOKUP(M1,INDEX(차트데이터!$A:$BZ,0,MATCH("EEM",차트데이터!$1:$1,0)),INDEX(차트데이터!$A:$BZ,0,MATCH("EEM",차트데이터!$1:$1,0)+1)),"")</f>
        <v/>
      </c>
      <c r="N31" s="274">
        <f>IFERROR(LOOKUP(N1,INDEX(차트데이터!$A:$BZ,0,MATCH("EEM",차트데이터!$1:$1,0)),INDEX(차트데이터!$A:$BZ,0,MATCH("EEM",차트데이터!$1:$1,0)+1)),"")</f>
        <v/>
      </c>
      <c r="O31" s="274">
        <f>IFERROR(LOOKUP(O1,INDEX(차트데이터!$A:$BZ,0,MATCH("EEM",차트데이터!$1:$1,0)),INDEX(차트데이터!$A:$BZ,0,MATCH("EEM",차트데이터!$1:$1,0)+1)),"")</f>
        <v/>
      </c>
      <c r="P31" s="260">
        <f>AVERAGE(D31:O31)</f>
        <v/>
      </c>
      <c r="Q31" s="260">
        <f>B31/P31</f>
        <v/>
      </c>
      <c r="R31" s="275">
        <f>(B31/D31)-1</f>
        <v/>
      </c>
      <c r="S31" s="275">
        <f>(B31/F31)-1</f>
        <v/>
      </c>
      <c r="T31" s="275">
        <f>(B31/I31)-1</f>
        <v/>
      </c>
      <c r="U31" s="275">
        <f>(B31/O31)-1</f>
        <v/>
      </c>
      <c r="V31" s="496">
        <f>R31*12</f>
        <v/>
      </c>
      <c r="W31" s="496">
        <f>S31*12</f>
        <v/>
      </c>
      <c r="X31" s="496">
        <f>T31*2</f>
        <v/>
      </c>
      <c r="Y31" s="496">
        <f>U31*1</f>
        <v/>
      </c>
      <c r="Z31" s="277">
        <f>SUM(V31:Y31)</f>
        <v/>
      </c>
    </row>
    <row r="32" ht="14.25" customHeight="1" s="322">
      <c r="A32" s="272" t="inlineStr">
        <is>
          <t>AGG</t>
        </is>
      </c>
      <c r="B32" s="495">
        <f>관심종목!H25</f>
        <v/>
      </c>
      <c r="C32" s="274">
        <f>IFERROR(LOOKUP(C1,INDEX(차트데이터!$A:$BZ,0,MATCH("AGG",차트데이터!$1:$1,0)),INDEX(차트데이터!$A:$BZ,0,MATCH("AGG",차트데이터!$1:$1,0)+1)),"")</f>
        <v/>
      </c>
      <c r="D32" s="274">
        <f>IFERROR(LOOKUP(D1,INDEX(차트데이터!$A:$BZ,0,MATCH("AGG",차트데이터!$1:$1,0)),INDEX(차트데이터!$A:$BZ,0,MATCH("AGG",차트데이터!$1:$1,0)+1)),"")</f>
        <v/>
      </c>
      <c r="E32" s="274">
        <f>IFERROR(LOOKUP(E1,INDEX(차트데이터!$A:$BZ,0,MATCH("AGG",차트데이터!$1:$1,0)),INDEX(차트데이터!$A:$BZ,0,MATCH("AGG",차트데이터!$1:$1,0)+1)),"")</f>
        <v/>
      </c>
      <c r="F32" s="274">
        <f>IFERROR(LOOKUP(F1,INDEX(차트데이터!$A:$BZ,0,MATCH("AGG",차트데이터!$1:$1,0)),INDEX(차트데이터!$A:$BZ,0,MATCH("AGG",차트데이터!$1:$1,0)+1)),"")</f>
        <v/>
      </c>
      <c r="G32" s="274">
        <f>IFERROR(LOOKUP(G1,INDEX(차트데이터!$A:$BZ,0,MATCH("AGG",차트데이터!$1:$1,0)),INDEX(차트데이터!$A:$BZ,0,MATCH("AGG",차트데이터!$1:$1,0)+1)),"")</f>
        <v/>
      </c>
      <c r="H32" s="274">
        <f>IFERROR(LOOKUP(H1,INDEX(차트데이터!$A:$BZ,0,MATCH("AGG",차트데이터!$1:$1,0)),INDEX(차트데이터!$A:$BZ,0,MATCH("AGG",차트데이터!$1:$1,0)+1)),"")</f>
        <v/>
      </c>
      <c r="I32" s="274">
        <f>IFERROR(LOOKUP(I1,INDEX(차트데이터!$A:$BZ,0,MATCH("AGG",차트데이터!$1:$1,0)),INDEX(차트데이터!$A:$BZ,0,MATCH("AGG",차트데이터!$1:$1,0)+1)),"")</f>
        <v/>
      </c>
      <c r="J32" s="274">
        <f>IFERROR(LOOKUP(J1,INDEX(차트데이터!$A:$BZ,0,MATCH("AGG",차트데이터!$1:$1,0)),INDEX(차트데이터!$A:$BZ,0,MATCH("AGG",차트데이터!$1:$1,0)+1)),"")</f>
        <v/>
      </c>
      <c r="K32" s="274">
        <f>IFERROR(LOOKUP(K1,INDEX(차트데이터!$A:$BZ,0,MATCH("AGG",차트데이터!$1:$1,0)),INDEX(차트데이터!$A:$BZ,0,MATCH("AGG",차트데이터!$1:$1,0)+1)),"")</f>
        <v/>
      </c>
      <c r="L32" s="274">
        <f>IFERROR(LOOKUP(L1,INDEX(차트데이터!$A:$BZ,0,MATCH("AGG",차트데이터!$1:$1,0)),INDEX(차트데이터!$A:$BZ,0,MATCH("AGG",차트데이터!$1:$1,0)+1)),"")</f>
        <v/>
      </c>
      <c r="M32" s="274">
        <f>IFERROR(LOOKUP(M1,INDEX(차트데이터!$A:$BZ,0,MATCH("AGG",차트데이터!$1:$1,0)),INDEX(차트데이터!$A:$BZ,0,MATCH("AGG",차트데이터!$1:$1,0)+1)),"")</f>
        <v/>
      </c>
      <c r="N32" s="274">
        <f>IFERROR(LOOKUP(N1,INDEX(차트데이터!$A:$BZ,0,MATCH("AGG",차트데이터!$1:$1,0)),INDEX(차트데이터!$A:$BZ,0,MATCH("AGG",차트데이터!$1:$1,0)+1)),"")</f>
        <v/>
      </c>
      <c r="O32" s="274">
        <f>IFERROR(LOOKUP(O1,INDEX(차트데이터!$A:$BZ,0,MATCH("AGG",차트데이터!$1:$1,0)),INDEX(차트데이터!$A:$BZ,0,MATCH("AGG",차트데이터!$1:$1,0)+1)),"")</f>
        <v/>
      </c>
      <c r="P32" s="260">
        <f>AVERAGE(D32:O32)</f>
        <v/>
      </c>
      <c r="Q32" s="260">
        <f>B32/P32</f>
        <v/>
      </c>
      <c r="R32" s="275">
        <f>(B32/D32)-1</f>
        <v/>
      </c>
      <c r="S32" s="275">
        <f>(B32/F32)-1</f>
        <v/>
      </c>
      <c r="T32" s="275">
        <f>(B32/I32)-1</f>
        <v/>
      </c>
      <c r="U32" s="275">
        <f>(B32/O32)-1</f>
        <v/>
      </c>
      <c r="V32" s="496">
        <f>R32*12</f>
        <v/>
      </c>
      <c r="W32" s="496">
        <f>S32*12</f>
        <v/>
      </c>
      <c r="X32" s="496">
        <f>T32*2</f>
        <v/>
      </c>
      <c r="Y32" s="496">
        <f>U32*1</f>
        <v/>
      </c>
      <c r="Z32" s="277">
        <f>SUM(V32:Y32)</f>
        <v/>
      </c>
    </row>
    <row r="33" ht="14.25" customHeight="1" s="322">
      <c r="A33" s="287" t="inlineStr">
        <is>
          <t>QQQ</t>
        </is>
      </c>
      <c r="B33" s="497">
        <f>관심종목!H26</f>
        <v/>
      </c>
      <c r="C33" s="280">
        <f>IFERROR(LOOKUP(C1,INDEX(차트데이터!$A:$BZ,0,MATCH("QQQ",차트데이터!$1:$1,0)),INDEX(차트데이터!$A:$BZ,0,MATCH("QQQ",차트데이터!$1:$1,0)+1)),"")</f>
        <v/>
      </c>
      <c r="D33" s="280">
        <f>IFERROR(LOOKUP(D1,INDEX(차트데이터!$A:$BZ,0,MATCH("QQQ",차트데이터!$1:$1,0)),INDEX(차트데이터!$A:$BZ,0,MATCH("QQQ",차트데이터!$1:$1,0)+1)),"")</f>
        <v/>
      </c>
      <c r="E33" s="280">
        <f>IFERROR(LOOKUP(E1,INDEX(차트데이터!$A:$BZ,0,MATCH("QQQ",차트데이터!$1:$1,0)),INDEX(차트데이터!$A:$BZ,0,MATCH("QQQ",차트데이터!$1:$1,0)+1)),"")</f>
        <v/>
      </c>
      <c r="F33" s="280">
        <f>IFERROR(LOOKUP(F1,INDEX(차트데이터!$A:$BZ,0,MATCH("QQQ",차트데이터!$1:$1,0)),INDEX(차트데이터!$A:$BZ,0,MATCH("QQQ",차트데이터!$1:$1,0)+1)),"")</f>
        <v/>
      </c>
      <c r="G33" s="280">
        <f>IFERROR(LOOKUP(G1,INDEX(차트데이터!$A:$BZ,0,MATCH("QQQ",차트데이터!$1:$1,0)),INDEX(차트데이터!$A:$BZ,0,MATCH("QQQ",차트데이터!$1:$1,0)+1)),"")</f>
        <v/>
      </c>
      <c r="H33" s="280">
        <f>IFERROR(LOOKUP(H1,INDEX(차트데이터!$A:$BZ,0,MATCH("QQQ",차트데이터!$1:$1,0)),INDEX(차트데이터!$A:$BZ,0,MATCH("QQQ",차트데이터!$1:$1,0)+1)),"")</f>
        <v/>
      </c>
      <c r="I33" s="280">
        <f>IFERROR(LOOKUP(I1,INDEX(차트데이터!$A:$BZ,0,MATCH("QQQ",차트데이터!$1:$1,0)),INDEX(차트데이터!$A:$BZ,0,MATCH("QQQ",차트데이터!$1:$1,0)+1)),"")</f>
        <v/>
      </c>
      <c r="J33" s="280">
        <f>IFERROR(LOOKUP(J1,INDEX(차트데이터!$A:$BZ,0,MATCH("QQQ",차트데이터!$1:$1,0)),INDEX(차트데이터!$A:$BZ,0,MATCH("QQQ",차트데이터!$1:$1,0)+1)),"")</f>
        <v/>
      </c>
      <c r="K33" s="280">
        <f>IFERROR(LOOKUP(K1,INDEX(차트데이터!$A:$BZ,0,MATCH("QQQ",차트데이터!$1:$1,0)),INDEX(차트데이터!$A:$BZ,0,MATCH("QQQ",차트데이터!$1:$1,0)+1)),"")</f>
        <v/>
      </c>
      <c r="L33" s="280">
        <f>IFERROR(LOOKUP(L1,INDEX(차트데이터!$A:$BZ,0,MATCH("QQQ",차트데이터!$1:$1,0)),INDEX(차트데이터!$A:$BZ,0,MATCH("QQQ",차트데이터!$1:$1,0)+1)),"")</f>
        <v/>
      </c>
      <c r="M33" s="280">
        <f>IFERROR(LOOKUP(M1,INDEX(차트데이터!$A:$BZ,0,MATCH("QQQ",차트데이터!$1:$1,0)),INDEX(차트데이터!$A:$BZ,0,MATCH("QQQ",차트데이터!$1:$1,0)+1)),"")</f>
        <v/>
      </c>
      <c r="N33" s="280">
        <f>IFERROR(LOOKUP(N1,INDEX(차트데이터!$A:$BZ,0,MATCH("QQQ",차트데이터!$1:$1,0)),INDEX(차트데이터!$A:$BZ,0,MATCH("QQQ",차트데이터!$1:$1,0)+1)),"")</f>
        <v/>
      </c>
      <c r="O33" s="280">
        <f>IFERROR(LOOKUP(O1,INDEX(차트데이터!$A:$BZ,0,MATCH("QQQ",차트데이터!$1:$1,0)),INDEX(차트데이터!$A:$BZ,0,MATCH("QQQ",차트데이터!$1:$1,0)+1)),"")</f>
        <v/>
      </c>
      <c r="P33" s="265">
        <f>AVERAGE(D33:O33)</f>
        <v/>
      </c>
      <c r="Q33" s="265">
        <f>B33/P33</f>
        <v/>
      </c>
      <c r="R33" s="281">
        <f>(B33/D33)-1</f>
        <v/>
      </c>
      <c r="S33" s="281">
        <f>(B33/F33)-1</f>
        <v/>
      </c>
      <c r="T33" s="281">
        <f>(B33/I33)-1</f>
        <v/>
      </c>
      <c r="U33" s="281">
        <f>(B33/O33)-1</f>
        <v/>
      </c>
      <c r="V33" s="498">
        <f>R33*12</f>
        <v/>
      </c>
      <c r="W33" s="498">
        <f>S33*4</f>
        <v/>
      </c>
      <c r="X33" s="498">
        <f>T33*2</f>
        <v/>
      </c>
      <c r="Y33" s="498">
        <f>U33*1</f>
        <v/>
      </c>
      <c r="Z33" s="283">
        <f>SUM(V33:Y33)</f>
        <v/>
      </c>
    </row>
    <row r="34" ht="20.25" customHeight="1" s="322">
      <c r="A34" s="267" t="n"/>
      <c r="P34" s="284" t="n"/>
      <c r="T34" s="168" t="n"/>
    </row>
    <row r="35" ht="12.75" customHeight="1" s="322">
      <c r="A35" s="231" t="inlineStr">
        <is>
          <t>ㅣ변형듀얼모멘텀_공격자산</t>
        </is>
      </c>
    </row>
    <row r="36" ht="24.75" customHeight="1" s="322">
      <c r="A36" s="269" t="n"/>
      <c r="B36" s="285">
        <f>U28</f>
        <v/>
      </c>
      <c r="E36" s="284" t="n"/>
    </row>
    <row r="37" ht="12.75" customHeight="1" s="322">
      <c r="A37" s="272" t="inlineStr">
        <is>
          <t>SPY</t>
        </is>
      </c>
      <c r="B37" s="286">
        <f>U29</f>
        <v/>
      </c>
    </row>
    <row r="38" ht="12.75" customHeight="1" s="322">
      <c r="A38" s="287" t="inlineStr">
        <is>
          <t>EFA</t>
        </is>
      </c>
      <c r="B38" s="288">
        <f>U30</f>
        <v/>
      </c>
    </row>
    <row r="39" ht="12.75" customHeight="1" s="322">
      <c r="A39" s="267" t="n"/>
    </row>
    <row r="40" ht="12.75" customHeight="1" s="322">
      <c r="A40" s="231" t="inlineStr">
        <is>
          <t>ㅣ변형듀얼모멘텀_안전자산</t>
        </is>
      </c>
    </row>
    <row r="41" ht="38.25" customHeight="1" s="322">
      <c r="A41" s="253" t="n"/>
      <c r="B41" s="121" t="inlineStr">
        <is>
          <t>현재</t>
        </is>
      </c>
      <c r="C41" s="121" t="inlineStr">
        <is>
          <t>전 날</t>
        </is>
      </c>
      <c r="D41" s="121" t="inlineStr">
        <is>
          <t>1개월 전</t>
        </is>
      </c>
      <c r="E41" s="121" t="inlineStr">
        <is>
          <t>2개월 전</t>
        </is>
      </c>
      <c r="F41" s="121" t="inlineStr">
        <is>
          <t>3개월 전</t>
        </is>
      </c>
      <c r="G41" s="121" t="inlineStr">
        <is>
          <t>4개월 전</t>
        </is>
      </c>
      <c r="H41" s="121" t="inlineStr">
        <is>
          <t>5개월 전</t>
        </is>
      </c>
      <c r="I41" s="121" t="inlineStr">
        <is>
          <t>6개월 전</t>
        </is>
      </c>
      <c r="J41" s="121" t="inlineStr">
        <is>
          <t>7개월 전</t>
        </is>
      </c>
      <c r="K41" s="121" t="inlineStr">
        <is>
          <t>8개월 전</t>
        </is>
      </c>
      <c r="L41" s="121" t="inlineStr">
        <is>
          <t>9개월 전</t>
        </is>
      </c>
      <c r="M41" s="121" t="inlineStr">
        <is>
          <t>10개월 전</t>
        </is>
      </c>
      <c r="N41" s="121" t="inlineStr">
        <is>
          <t>11개월 전</t>
        </is>
      </c>
      <c r="O41" s="121" t="inlineStr">
        <is>
          <t>12개월 전</t>
        </is>
      </c>
      <c r="P41" s="254" t="inlineStr">
        <is>
          <t>12개월 이동평균</t>
        </is>
      </c>
      <c r="Q41" s="254" t="inlineStr">
        <is>
          <t>현재가격/12개월 이동평균</t>
        </is>
      </c>
      <c r="R41" s="269" t="inlineStr">
        <is>
          <t>1개월 수익률</t>
        </is>
      </c>
      <c r="S41" s="269" t="inlineStr">
        <is>
          <t>3개월 수익률</t>
        </is>
      </c>
      <c r="T41" s="269" t="inlineStr">
        <is>
          <t>6개월 수익률</t>
        </is>
      </c>
      <c r="U41" s="269" t="inlineStr">
        <is>
          <t>최근 1년 수익률</t>
        </is>
      </c>
      <c r="V41" s="121" t="inlineStr">
        <is>
          <t>1개월 수익률*12</t>
        </is>
      </c>
      <c r="W41" s="121" t="inlineStr">
        <is>
          <t>3개월 수익률*4</t>
        </is>
      </c>
      <c r="X41" s="121" t="inlineStr">
        <is>
          <t>6개월 수익률*2</t>
        </is>
      </c>
      <c r="Y41" s="121" t="inlineStr">
        <is>
          <t>12개월 수익률*1</t>
        </is>
      </c>
      <c r="Z41" s="124" t="inlineStr">
        <is>
          <t>모멘텀 스코어</t>
        </is>
      </c>
    </row>
    <row r="42" ht="15" customHeight="1" s="322">
      <c r="A42" s="289">
        <f>관심종목!D39</f>
        <v/>
      </c>
      <c r="B42" s="499">
        <f>관심종목!H39</f>
        <v/>
      </c>
      <c r="C42" s="291">
        <f>IFERROR(LOOKUP(C1,INDEX(차트데이터!$A:$BZ,0,MATCH("SHY",차트데이터!$1:$1,0)),INDEX(차트데이터!$A:$BZ,0,MATCH("SHY",차트데이터!$1:$1,0)+1)),"")</f>
        <v/>
      </c>
      <c r="D42" s="291">
        <f>IFERROR(LOOKUP(D1,INDEX(차트데이터!$A:$BZ,0,MATCH("SHY",차트데이터!$1:$1,0)),INDEX(차트데이터!$A:$BZ,0,MATCH("SHY",차트데이터!$1:$1,0)+1)),"")</f>
        <v/>
      </c>
      <c r="E42" s="291">
        <f>IFERROR(LOOKUP(E1,INDEX(차트데이터!$A:$BZ,0,MATCH("SHY",차트데이터!$1:$1,0)),INDEX(차트데이터!$A:$BZ,0,MATCH("SHY",차트데이터!$1:$1,0)+1)),"")</f>
        <v/>
      </c>
      <c r="F42" s="291">
        <f>IFERROR(LOOKUP(F1,INDEX(차트데이터!$A:$BZ,0,MATCH("SHY",차트데이터!$1:$1,0)),INDEX(차트데이터!$A:$BZ,0,MATCH("SHY",차트데이터!$1:$1,0)+1)),"")</f>
        <v/>
      </c>
      <c r="G42" s="291">
        <f>IFERROR(LOOKUP(G1,INDEX(차트데이터!$A:$BZ,0,MATCH("SHY",차트데이터!$1:$1,0)),INDEX(차트데이터!$A:$BZ,0,MATCH("SHY",차트데이터!$1:$1,0)+1)),"")</f>
        <v/>
      </c>
      <c r="H42" s="291">
        <f>IFERROR(LOOKUP(H1,INDEX(차트데이터!$A:$BZ,0,MATCH("SHY",차트데이터!$1:$1,0)),INDEX(차트데이터!$A:$BZ,0,MATCH("SHY",차트데이터!$1:$1,0)+1)),"")</f>
        <v/>
      </c>
      <c r="I42" s="291">
        <f>IFERROR(LOOKUP(I1,INDEX(차트데이터!$A:$BZ,0,MATCH("SHY",차트데이터!$1:$1,0)),INDEX(차트데이터!$A:$BZ,0,MATCH("SHY",차트데이터!$1:$1,0)+1)),"")</f>
        <v/>
      </c>
      <c r="J42" s="291">
        <f>IFERROR(LOOKUP(J1,INDEX(차트데이터!$A:$BZ,0,MATCH("SHY",차트데이터!$1:$1,0)),INDEX(차트데이터!$A:$BZ,0,MATCH("SHY",차트데이터!$1:$1,0)+1)),"")</f>
        <v/>
      </c>
      <c r="K42" s="291">
        <f>IFERROR(LOOKUP(K1,INDEX(차트데이터!$A:$BZ,0,MATCH("SHY",차트데이터!$1:$1,0)),INDEX(차트데이터!$A:$BZ,0,MATCH("SHY",차트데이터!$1:$1,0)+1)),"")</f>
        <v/>
      </c>
      <c r="L42" s="291">
        <f>IFERROR(LOOKUP(L1,INDEX(차트데이터!$A:$BZ,0,MATCH("SHY",차트데이터!$1:$1,0)),INDEX(차트데이터!$A:$BZ,0,MATCH("SHY",차트데이터!$1:$1,0)+1)),"")</f>
        <v/>
      </c>
      <c r="M42" s="291">
        <f>IFERROR(LOOKUP(M1,INDEX(차트데이터!$A:$BZ,0,MATCH("SHY",차트데이터!$1:$1,0)),INDEX(차트데이터!$A:$BZ,0,MATCH("SHY",차트데이터!$1:$1,0)+1)),"")</f>
        <v/>
      </c>
      <c r="N42" s="291">
        <f>IFERROR(LOOKUP(N1,INDEX(차트데이터!$A:$BZ,0,MATCH("SHY",차트데이터!$1:$1,0)),INDEX(차트데이터!$A:$BZ,0,MATCH("SHY",차트데이터!$1:$1,0)+1)),"")</f>
        <v/>
      </c>
      <c r="O42" s="291">
        <f>IFERROR(LOOKUP(O1,INDEX(차트데이터!$A:$BZ,0,MATCH("SHY",차트데이터!$1:$1,0)),INDEX(차트데이터!$A:$BZ,0,MATCH("SHY",차트데이터!$1:$1,0)+1)),"")</f>
        <v/>
      </c>
      <c r="P42" s="292">
        <f>AVERAGE(D42:O42)</f>
        <v/>
      </c>
      <c r="Q42" s="293">
        <f>B42/P42</f>
        <v/>
      </c>
      <c r="R42" s="294">
        <f>(B42/D42)-1</f>
        <v/>
      </c>
      <c r="S42" s="294">
        <f>(B42/F42)-1</f>
        <v/>
      </c>
      <c r="T42" s="294">
        <f>(B42/I42)-1</f>
        <v/>
      </c>
      <c r="U42" s="294">
        <f>(B42/O42)-1</f>
        <v/>
      </c>
      <c r="V42" s="295">
        <f>R42*12</f>
        <v/>
      </c>
      <c r="W42" s="295">
        <f>S42*4</f>
        <v/>
      </c>
      <c r="X42" s="295">
        <f>T42*2</f>
        <v/>
      </c>
      <c r="Y42" s="295">
        <f>U42*1</f>
        <v/>
      </c>
      <c r="Z42" s="296">
        <f>SUM(V42:Y42)</f>
        <v/>
      </c>
    </row>
    <row r="43" ht="15" customHeight="1" s="322">
      <c r="A43" s="289">
        <f>관심종목!D40</f>
        <v/>
      </c>
      <c r="B43" s="499">
        <f>관심종목!H40</f>
        <v/>
      </c>
      <c r="C43" s="291">
        <f>IFERROR(LOOKUP(C1,INDEX(차트데이터!$A:$BZ,0,MATCH("IEF",차트데이터!$1:$1,0)),INDEX(차트데이터!$A:$BZ,0,MATCH("IEF",차트데이터!$1:$1,0)+1)),"")</f>
        <v/>
      </c>
      <c r="D43" s="291">
        <f>IFERROR(LOOKUP(D1,INDEX(차트데이터!$A:$BZ,0,MATCH("IEF",차트데이터!$1:$1,0)),INDEX(차트데이터!$A:$BZ,0,MATCH("IEF",차트데이터!$1:$1,0)+1)),"")</f>
        <v/>
      </c>
      <c r="E43" s="291">
        <f>IFERROR(LOOKUP(E1,INDEX(차트데이터!$A:$BZ,0,MATCH("IEF",차트데이터!$1:$1,0)),INDEX(차트데이터!$A:$BZ,0,MATCH("IEF",차트데이터!$1:$1,0)+1)),"")</f>
        <v/>
      </c>
      <c r="F43" s="291">
        <f>IFERROR(LOOKUP(F1,INDEX(차트데이터!$A:$BZ,0,MATCH("IEF",차트데이터!$1:$1,0)),INDEX(차트데이터!$A:$BZ,0,MATCH("IEF",차트데이터!$1:$1,0)+1)),"")</f>
        <v/>
      </c>
      <c r="G43" s="291">
        <f>IFERROR(LOOKUP(G1,INDEX(차트데이터!$A:$BZ,0,MATCH("IEF",차트데이터!$1:$1,0)),INDEX(차트데이터!$A:$BZ,0,MATCH("IEF",차트데이터!$1:$1,0)+1)),"")</f>
        <v/>
      </c>
      <c r="H43" s="291">
        <f>IFERROR(LOOKUP(H1,INDEX(차트데이터!$A:$BZ,0,MATCH("IEF",차트데이터!$1:$1,0)),INDEX(차트데이터!$A:$BZ,0,MATCH("IEF",차트데이터!$1:$1,0)+1)),"")</f>
        <v/>
      </c>
      <c r="I43" s="291">
        <f>IFERROR(LOOKUP(I1,INDEX(차트데이터!$A:$BZ,0,MATCH("IEF",차트데이터!$1:$1,0)),INDEX(차트데이터!$A:$BZ,0,MATCH("IEF",차트데이터!$1:$1,0)+1)),"")</f>
        <v/>
      </c>
      <c r="J43" s="291">
        <f>IFERROR(LOOKUP(J1,INDEX(차트데이터!$A:$BZ,0,MATCH("IEF",차트데이터!$1:$1,0)),INDEX(차트데이터!$A:$BZ,0,MATCH("IEF",차트데이터!$1:$1,0)+1)),"")</f>
        <v/>
      </c>
      <c r="K43" s="291">
        <f>IFERROR(LOOKUP(K1,INDEX(차트데이터!$A:$BZ,0,MATCH("IEF",차트데이터!$1:$1,0)),INDEX(차트데이터!$A:$BZ,0,MATCH("IEF",차트데이터!$1:$1,0)+1)),"")</f>
        <v/>
      </c>
      <c r="L43" s="291">
        <f>IFERROR(LOOKUP(L1,INDEX(차트데이터!$A:$BZ,0,MATCH("IEF",차트데이터!$1:$1,0)),INDEX(차트데이터!$A:$BZ,0,MATCH("IEF",차트데이터!$1:$1,0)+1)),"")</f>
        <v/>
      </c>
      <c r="M43" s="291">
        <f>IFERROR(LOOKUP(M1,INDEX(차트데이터!$A:$BZ,0,MATCH("IEF",차트데이터!$1:$1,0)),INDEX(차트데이터!$A:$BZ,0,MATCH("IEF",차트데이터!$1:$1,0)+1)),"")</f>
        <v/>
      </c>
      <c r="N43" s="291">
        <f>IFERROR(LOOKUP(N1,INDEX(차트데이터!$A:$BZ,0,MATCH("IEF",차트데이터!$1:$1,0)),INDEX(차트데이터!$A:$BZ,0,MATCH("IEF",차트데이터!$1:$1,0)+1)),"")</f>
        <v/>
      </c>
      <c r="O43" s="291">
        <f>IFERROR(LOOKUP(O1,INDEX(차트데이터!$A:$BZ,0,MATCH("IEF",차트데이터!$1:$1,0)),INDEX(차트데이터!$A:$BZ,0,MATCH("IEF",차트데이터!$1:$1,0)+1)),"")</f>
        <v/>
      </c>
      <c r="P43" s="292">
        <f>AVERAGE(D43:O43)</f>
        <v/>
      </c>
      <c r="Q43" s="293">
        <f>B43/P43</f>
        <v/>
      </c>
      <c r="R43" s="294">
        <f>(B43/D43)-1</f>
        <v/>
      </c>
      <c r="S43" s="294">
        <f>(C43/F43)-1</f>
        <v/>
      </c>
      <c r="T43" s="294">
        <f>(B43/I43)-1</f>
        <v/>
      </c>
      <c r="U43" s="294">
        <f>(B43/O43)-1</f>
        <v/>
      </c>
      <c r="V43" s="295">
        <f>R43*12</f>
        <v/>
      </c>
      <c r="W43" s="295">
        <f>S43*4</f>
        <v/>
      </c>
      <c r="X43" s="295">
        <f>T43*2</f>
        <v/>
      </c>
      <c r="Y43" s="295">
        <f>U43*1</f>
        <v/>
      </c>
      <c r="Z43" s="296">
        <f>SUM(V43:Y43)</f>
        <v/>
      </c>
    </row>
    <row r="44" ht="15" customHeight="1" s="322">
      <c r="A44" s="289">
        <f>관심종목!D41</f>
        <v/>
      </c>
      <c r="B44" s="499">
        <f>관심종목!H41</f>
        <v/>
      </c>
      <c r="C44" s="291">
        <f>IFERROR(LOOKUP(C1,INDEX(차트데이터!$A:$BZ,0,MATCH("TLT",차트데이터!$1:$1,0)),INDEX(차트데이터!$A:$BZ,0,MATCH("TLT",차트데이터!$1:$1,0)+1)),"")</f>
        <v/>
      </c>
      <c r="D44" s="291">
        <f>IFERROR(LOOKUP(D1,INDEX(차트데이터!$A:$BZ,0,MATCH("TLT",차트데이터!$1:$1,0)),INDEX(차트데이터!$A:$BZ,0,MATCH("TLT",차트데이터!$1:$1,0)+1)),"")</f>
        <v/>
      </c>
      <c r="E44" s="291">
        <f>IFERROR(LOOKUP(E1,INDEX(차트데이터!$A:$BZ,0,MATCH("TLT",차트데이터!$1:$1,0)),INDEX(차트데이터!$A:$BZ,0,MATCH("TLT",차트데이터!$1:$1,0)+1)),"")</f>
        <v/>
      </c>
      <c r="F44" s="291">
        <f>IFERROR(LOOKUP(F1,INDEX(차트데이터!$A:$BZ,0,MATCH("TLT",차트데이터!$1:$1,0)),INDEX(차트데이터!$A:$BZ,0,MATCH("TLT",차트데이터!$1:$1,0)+1)),"")</f>
        <v/>
      </c>
      <c r="G44" s="291">
        <f>IFERROR(LOOKUP(G1,INDEX(차트데이터!$A:$BZ,0,MATCH("TLT",차트데이터!$1:$1,0)),INDEX(차트데이터!$A:$BZ,0,MATCH("TLT",차트데이터!$1:$1,0)+1)),"")</f>
        <v/>
      </c>
      <c r="H44" s="291">
        <f>IFERROR(LOOKUP(H1,INDEX(차트데이터!$A:$BZ,0,MATCH("TLT",차트데이터!$1:$1,0)),INDEX(차트데이터!$A:$BZ,0,MATCH("TLT",차트데이터!$1:$1,0)+1)),"")</f>
        <v/>
      </c>
      <c r="I44" s="291">
        <f>IFERROR(LOOKUP(I1,INDEX(차트데이터!$A:$BZ,0,MATCH("TLT",차트데이터!$1:$1,0)),INDEX(차트데이터!$A:$BZ,0,MATCH("TLT",차트데이터!$1:$1,0)+1)),"")</f>
        <v/>
      </c>
      <c r="J44" s="291">
        <f>IFERROR(LOOKUP(J1,INDEX(차트데이터!$A:$BZ,0,MATCH("TLT",차트데이터!$1:$1,0)),INDEX(차트데이터!$A:$BZ,0,MATCH("TLT",차트데이터!$1:$1,0)+1)),"")</f>
        <v/>
      </c>
      <c r="K44" s="291">
        <f>IFERROR(LOOKUP(K1,INDEX(차트데이터!$A:$BZ,0,MATCH("TLT",차트데이터!$1:$1,0)),INDEX(차트데이터!$A:$BZ,0,MATCH("TLT",차트데이터!$1:$1,0)+1)),"")</f>
        <v/>
      </c>
      <c r="L44" s="291">
        <f>IFERROR(LOOKUP(L1,INDEX(차트데이터!$A:$BZ,0,MATCH("TLT",차트데이터!$1:$1,0)),INDEX(차트데이터!$A:$BZ,0,MATCH("TLT",차트데이터!$1:$1,0)+1)),"")</f>
        <v/>
      </c>
      <c r="M44" s="291">
        <f>IFERROR(LOOKUP(M1,INDEX(차트데이터!$A:$BZ,0,MATCH("TLT",차트데이터!$1:$1,0)),INDEX(차트데이터!$A:$BZ,0,MATCH("TLT",차트데이터!$1:$1,0)+1)),"")</f>
        <v/>
      </c>
      <c r="N44" s="291">
        <f>IFERROR(LOOKUP(N1,INDEX(차트데이터!$A:$BZ,0,MATCH("TLT",차트데이터!$1:$1,0)),INDEX(차트데이터!$A:$BZ,0,MATCH("TLT",차트데이터!$1:$1,0)+1)),"")</f>
        <v/>
      </c>
      <c r="O44" s="291">
        <f>IFERROR(LOOKUP(O1,INDEX(차트데이터!$A:$BZ,0,MATCH("TLT",차트데이터!$1:$1,0)),INDEX(차트데이터!$A:$BZ,0,MATCH("TLT",차트데이터!$1:$1,0)+1)),"")</f>
        <v/>
      </c>
      <c r="P44" s="292">
        <f>AVERAGE(D44:O44)</f>
        <v/>
      </c>
      <c r="Q44" s="293">
        <f>B44/P44</f>
        <v/>
      </c>
      <c r="R44" s="294">
        <f>(B44/D44)-1</f>
        <v/>
      </c>
      <c r="S44" s="294">
        <f>(C44/F44)-1</f>
        <v/>
      </c>
      <c r="T44" s="294">
        <f>(B44/I44)-1</f>
        <v/>
      </c>
      <c r="U44" s="294">
        <f>(B44/O44)-1</f>
        <v/>
      </c>
      <c r="V44" s="295">
        <f>R44*12</f>
        <v/>
      </c>
      <c r="W44" s="295">
        <f>S44*4</f>
        <v/>
      </c>
      <c r="X44" s="295">
        <f>T44*2</f>
        <v/>
      </c>
      <c r="Y44" s="295">
        <f>U44*1</f>
        <v/>
      </c>
      <c r="Z44" s="296">
        <f>SUM(V44:Y44)</f>
        <v/>
      </c>
    </row>
    <row r="45" ht="15" customHeight="1" s="322">
      <c r="A45" s="289">
        <f>관심종목!D42</f>
        <v/>
      </c>
      <c r="B45" s="499">
        <f>관심종목!H42</f>
        <v/>
      </c>
      <c r="C45" s="291">
        <f>IFERROR(LOOKUP(C1,INDEX(차트데이터!$A:$BZ,0,MATCH("TIP",차트데이터!$1:$1,0)),INDEX(차트데이터!$A:$BZ,0,MATCH("TIP",차트데이터!$1:$1,0)+1)),"")</f>
        <v/>
      </c>
      <c r="D45" s="291">
        <f>IFERROR(LOOKUP(D1,INDEX(차트데이터!$A:$BZ,0,MATCH("TIP",차트데이터!$1:$1,0)),INDEX(차트데이터!$A:$BZ,0,MATCH("TIP",차트데이터!$1:$1,0)+1)),"")</f>
        <v/>
      </c>
      <c r="E45" s="291">
        <f>IFERROR(LOOKUP(E1,INDEX(차트데이터!$A:$BZ,0,MATCH("TIP",차트데이터!$1:$1,0)),INDEX(차트데이터!$A:$BZ,0,MATCH("TIP",차트데이터!$1:$1,0)+1)),"")</f>
        <v/>
      </c>
      <c r="F45" s="291">
        <f>IFERROR(LOOKUP(F1,INDEX(차트데이터!$A:$BZ,0,MATCH("TIP",차트데이터!$1:$1,0)),INDEX(차트데이터!$A:$BZ,0,MATCH("TIP",차트데이터!$1:$1,0)+1)),"")</f>
        <v/>
      </c>
      <c r="G45" s="291">
        <f>IFERROR(LOOKUP(G1,INDEX(차트데이터!$A:$BZ,0,MATCH("TIP",차트데이터!$1:$1,0)),INDEX(차트데이터!$A:$BZ,0,MATCH("TIP",차트데이터!$1:$1,0)+1)),"")</f>
        <v/>
      </c>
      <c r="H45" s="291">
        <f>IFERROR(LOOKUP(H1,INDEX(차트데이터!$A:$BZ,0,MATCH("TIP",차트데이터!$1:$1,0)),INDEX(차트데이터!$A:$BZ,0,MATCH("TIP",차트데이터!$1:$1,0)+1)),"")</f>
        <v/>
      </c>
      <c r="I45" s="291">
        <f>IFERROR(LOOKUP(I1,INDEX(차트데이터!$A:$BZ,0,MATCH("TIP",차트데이터!$1:$1,0)),INDEX(차트데이터!$A:$BZ,0,MATCH("TIP",차트데이터!$1:$1,0)+1)),"")</f>
        <v/>
      </c>
      <c r="J45" s="291">
        <f>IFERROR(LOOKUP(J1,INDEX(차트데이터!$A:$BZ,0,MATCH("TIP",차트데이터!$1:$1,0)),INDEX(차트데이터!$A:$BZ,0,MATCH("TIP",차트데이터!$1:$1,0)+1)),"")</f>
        <v/>
      </c>
      <c r="K45" s="291">
        <f>IFERROR(LOOKUP(K1,INDEX(차트데이터!$A:$BZ,0,MATCH("TIP",차트데이터!$1:$1,0)),INDEX(차트데이터!$A:$BZ,0,MATCH("TIP",차트데이터!$1:$1,0)+1)),"")</f>
        <v/>
      </c>
      <c r="L45" s="291">
        <f>IFERROR(LOOKUP(L1,INDEX(차트데이터!$A:$BZ,0,MATCH("TIP",차트데이터!$1:$1,0)),INDEX(차트데이터!$A:$BZ,0,MATCH("TIP",차트데이터!$1:$1,0)+1)),"")</f>
        <v/>
      </c>
      <c r="M45" s="291">
        <f>IFERROR(LOOKUP(M1,INDEX(차트데이터!$A:$BZ,0,MATCH("TIP",차트데이터!$1:$1,0)),INDEX(차트데이터!$A:$BZ,0,MATCH("TIP",차트데이터!$1:$1,0)+1)),"")</f>
        <v/>
      </c>
      <c r="N45" s="291">
        <f>IFERROR(LOOKUP(N1,INDEX(차트데이터!$A:$BZ,0,MATCH("TIP",차트데이터!$1:$1,0)),INDEX(차트데이터!$A:$BZ,0,MATCH("TIP",차트데이터!$1:$1,0)+1)),"")</f>
        <v/>
      </c>
      <c r="O45" s="291">
        <f>IFERROR(LOOKUP(O1,INDEX(차트데이터!$A:$BZ,0,MATCH("TIP",차트데이터!$1:$1,0)),INDEX(차트데이터!$A:$BZ,0,MATCH("TIP",차트데이터!$1:$1,0)+1)),"")</f>
        <v/>
      </c>
      <c r="P45" s="292">
        <f>AVERAGE(D45:O45)</f>
        <v/>
      </c>
      <c r="Q45" s="293">
        <f>B45/P45</f>
        <v/>
      </c>
      <c r="R45" s="294">
        <f>(B45/D45)-1</f>
        <v/>
      </c>
      <c r="S45" s="294">
        <f>(C45/F45)-1</f>
        <v/>
      </c>
      <c r="T45" s="294">
        <f>(B45/I45)-1</f>
        <v/>
      </c>
      <c r="U45" s="294">
        <f>(B45/O45)-1</f>
        <v/>
      </c>
      <c r="V45" s="295">
        <f>R45*12</f>
        <v/>
      </c>
      <c r="W45" s="295">
        <f>S45*4</f>
        <v/>
      </c>
      <c r="X45" s="295">
        <f>T45*2</f>
        <v/>
      </c>
      <c r="Y45" s="295">
        <f>U45*1</f>
        <v/>
      </c>
      <c r="Z45" s="296">
        <f>SUM(V45:Y45)</f>
        <v/>
      </c>
    </row>
    <row r="46" ht="15" customHeight="1" s="322">
      <c r="A46" s="289">
        <f>관심종목!D43</f>
        <v/>
      </c>
      <c r="B46" s="499">
        <f>관심종목!H43</f>
        <v/>
      </c>
      <c r="C46" s="291">
        <f>IFERROR(LOOKUP(C1,INDEX(차트데이터!$A:$BZ,0,MATCH("LQD",차트데이터!$1:$1,0)),INDEX(차트데이터!$A:$BZ,0,MATCH("LQD",차트데이터!$1:$1,0)+1)),"")</f>
        <v/>
      </c>
      <c r="D46" s="291">
        <f>IFERROR(LOOKUP(D1,INDEX(차트데이터!$A:$BZ,0,MATCH("LQD",차트데이터!$1:$1,0)),INDEX(차트데이터!$A:$BZ,0,MATCH("LQD",차트데이터!$1:$1,0)+1)),"")</f>
        <v/>
      </c>
      <c r="E46" s="291">
        <f>IFERROR(LOOKUP(E1,INDEX(차트데이터!$A:$BZ,0,MATCH("LQD",차트데이터!$1:$1,0)),INDEX(차트데이터!$A:$BZ,0,MATCH("LQD",차트데이터!$1:$1,0)+1)),"")</f>
        <v/>
      </c>
      <c r="F46" s="291">
        <f>IFERROR(LOOKUP(F1,INDEX(차트데이터!$A:$BZ,0,MATCH("LQD",차트데이터!$1:$1,0)),INDEX(차트데이터!$A:$BZ,0,MATCH("LQD",차트데이터!$1:$1,0)+1)),"")</f>
        <v/>
      </c>
      <c r="G46" s="291">
        <f>IFERROR(LOOKUP(G1,INDEX(차트데이터!$A:$BZ,0,MATCH("LQD",차트데이터!$1:$1,0)),INDEX(차트데이터!$A:$BZ,0,MATCH("LQD",차트데이터!$1:$1,0)+1)),"")</f>
        <v/>
      </c>
      <c r="H46" s="291">
        <f>IFERROR(LOOKUP(H1,INDEX(차트데이터!$A:$BZ,0,MATCH("LQD",차트데이터!$1:$1,0)),INDEX(차트데이터!$A:$BZ,0,MATCH("LQD",차트데이터!$1:$1,0)+1)),"")</f>
        <v/>
      </c>
      <c r="I46" s="291">
        <f>IFERROR(LOOKUP(I1,INDEX(차트데이터!$A:$BZ,0,MATCH("LQD",차트데이터!$1:$1,0)),INDEX(차트데이터!$A:$BZ,0,MATCH("LQD",차트데이터!$1:$1,0)+1)),"")</f>
        <v/>
      </c>
      <c r="J46" s="291">
        <f>IFERROR(LOOKUP(J1,INDEX(차트데이터!$A:$BZ,0,MATCH("LQD",차트데이터!$1:$1,0)),INDEX(차트데이터!$A:$BZ,0,MATCH("LQD",차트데이터!$1:$1,0)+1)),"")</f>
        <v/>
      </c>
      <c r="K46" s="291">
        <f>IFERROR(LOOKUP(K1,INDEX(차트데이터!$A:$BZ,0,MATCH("LQD",차트데이터!$1:$1,0)),INDEX(차트데이터!$A:$BZ,0,MATCH("LQD",차트데이터!$1:$1,0)+1)),"")</f>
        <v/>
      </c>
      <c r="L46" s="291">
        <f>IFERROR(LOOKUP(L1,INDEX(차트데이터!$A:$BZ,0,MATCH("LQD",차트데이터!$1:$1,0)),INDEX(차트데이터!$A:$BZ,0,MATCH("LQD",차트데이터!$1:$1,0)+1)),"")</f>
        <v/>
      </c>
      <c r="M46" s="291">
        <f>IFERROR(LOOKUP(M1,INDEX(차트데이터!$A:$BZ,0,MATCH("LQD",차트데이터!$1:$1,0)),INDEX(차트데이터!$A:$BZ,0,MATCH("LQD",차트데이터!$1:$1,0)+1)),"")</f>
        <v/>
      </c>
      <c r="N46" s="291">
        <f>IFERROR(LOOKUP(N1,INDEX(차트데이터!$A:$BZ,0,MATCH("LQD",차트데이터!$1:$1,0)),INDEX(차트데이터!$A:$BZ,0,MATCH("LQD",차트데이터!$1:$1,0)+1)),"")</f>
        <v/>
      </c>
      <c r="O46" s="291">
        <f>IFERROR(LOOKUP(O1,INDEX(차트데이터!$A:$BZ,0,MATCH("LQD",차트데이터!$1:$1,0)),INDEX(차트데이터!$A:$BZ,0,MATCH("LQD",차트데이터!$1:$1,0)+1)),"")</f>
        <v/>
      </c>
      <c r="P46" s="292">
        <f>AVERAGE(D46:O46)</f>
        <v/>
      </c>
      <c r="Q46" s="293">
        <f>B46/P46</f>
        <v/>
      </c>
      <c r="R46" s="294">
        <f>(B46/D46)-1</f>
        <v/>
      </c>
      <c r="S46" s="294">
        <f>(C46/F46)-1</f>
        <v/>
      </c>
      <c r="T46" s="294">
        <f>(B46/I46)-1</f>
        <v/>
      </c>
      <c r="U46" s="294">
        <f>(B46/O46)-1</f>
        <v/>
      </c>
      <c r="V46" s="295">
        <f>R46*12</f>
        <v/>
      </c>
      <c r="W46" s="295">
        <f>S46*4</f>
        <v/>
      </c>
      <c r="X46" s="295">
        <f>T46*2</f>
        <v/>
      </c>
      <c r="Y46" s="295">
        <f>U46*1</f>
        <v/>
      </c>
      <c r="Z46" s="296">
        <f>SUM(V46:Y46)</f>
        <v/>
      </c>
    </row>
    <row r="47" ht="15" customHeight="1" s="322">
      <c r="A47" s="289">
        <f>관심종목!D44</f>
        <v/>
      </c>
      <c r="B47" s="499">
        <f>관심종목!H44</f>
        <v/>
      </c>
      <c r="C47" s="291">
        <f>IFERROR(LOOKUP(C1,INDEX(차트데이터!$A:$BZ,0,MATCH("HYG",차트데이터!$1:$1,0)),INDEX(차트데이터!$A:$BZ,0,MATCH("HYG",차트데이터!$1:$1,0)+1)),"")</f>
        <v/>
      </c>
      <c r="D47" s="291">
        <f>IFERROR(LOOKUP(D1,INDEX(차트데이터!$A:$BZ,0,MATCH("HYG",차트데이터!$1:$1,0)),INDEX(차트데이터!$A:$BZ,0,MATCH("HYG",차트데이터!$1:$1,0)+1)),"")</f>
        <v/>
      </c>
      <c r="E47" s="291">
        <f>IFERROR(LOOKUP(E1,INDEX(차트데이터!$A:$BZ,0,MATCH("HYG",차트데이터!$1:$1,0)),INDEX(차트데이터!$A:$BZ,0,MATCH("HYG",차트데이터!$1:$1,0)+1)),"")</f>
        <v/>
      </c>
      <c r="F47" s="291">
        <f>IFERROR(LOOKUP(F1,INDEX(차트데이터!$A:$BZ,0,MATCH("HYG",차트데이터!$1:$1,0)),INDEX(차트데이터!$A:$BZ,0,MATCH("HYG",차트데이터!$1:$1,0)+1)),"")</f>
        <v/>
      </c>
      <c r="G47" s="291">
        <f>IFERROR(LOOKUP(G1,INDEX(차트데이터!$A:$BZ,0,MATCH("HYG",차트데이터!$1:$1,0)),INDEX(차트데이터!$A:$BZ,0,MATCH("HYG",차트데이터!$1:$1,0)+1)),"")</f>
        <v/>
      </c>
      <c r="H47" s="291">
        <f>IFERROR(LOOKUP(H1,INDEX(차트데이터!$A:$BZ,0,MATCH("HYG",차트데이터!$1:$1,0)),INDEX(차트데이터!$A:$BZ,0,MATCH("HYG",차트데이터!$1:$1,0)+1)),"")</f>
        <v/>
      </c>
      <c r="I47" s="291">
        <f>IFERROR(LOOKUP(I1,INDEX(차트데이터!$A:$BZ,0,MATCH("HYG",차트데이터!$1:$1,0)),INDEX(차트데이터!$A:$BZ,0,MATCH("HYG",차트데이터!$1:$1,0)+1)),"")</f>
        <v/>
      </c>
      <c r="J47" s="291">
        <f>IFERROR(LOOKUP(J1,INDEX(차트데이터!$A:$BZ,0,MATCH("HYG",차트데이터!$1:$1,0)),INDEX(차트데이터!$A:$BZ,0,MATCH("HYG",차트데이터!$1:$1,0)+1)),"")</f>
        <v/>
      </c>
      <c r="K47" s="291">
        <f>IFERROR(LOOKUP(K1,INDEX(차트데이터!$A:$BZ,0,MATCH("HYG",차트데이터!$1:$1,0)),INDEX(차트데이터!$A:$BZ,0,MATCH("HYG",차트데이터!$1:$1,0)+1)),"")</f>
        <v/>
      </c>
      <c r="L47" s="291">
        <f>IFERROR(LOOKUP(L1,INDEX(차트데이터!$A:$BZ,0,MATCH("HYG",차트데이터!$1:$1,0)),INDEX(차트데이터!$A:$BZ,0,MATCH("HYG",차트데이터!$1:$1,0)+1)),"")</f>
        <v/>
      </c>
      <c r="M47" s="291">
        <f>IFERROR(LOOKUP(M1,INDEX(차트데이터!$A:$BZ,0,MATCH("HYG",차트데이터!$1:$1,0)),INDEX(차트데이터!$A:$BZ,0,MATCH("HYG",차트데이터!$1:$1,0)+1)),"")</f>
        <v/>
      </c>
      <c r="N47" s="291">
        <f>IFERROR(LOOKUP(N1,INDEX(차트데이터!$A:$BZ,0,MATCH("HYG",차트데이터!$1:$1,0)),INDEX(차트데이터!$A:$BZ,0,MATCH("HYG",차트데이터!$1:$1,0)+1)),"")</f>
        <v/>
      </c>
      <c r="O47" s="291">
        <f>IFERROR(LOOKUP(O1,INDEX(차트데이터!$A:$BZ,0,MATCH("HYG",차트데이터!$1:$1,0)),INDEX(차트데이터!$A:$BZ,0,MATCH("HYG",차트데이터!$1:$1,0)+1)),"")</f>
        <v/>
      </c>
      <c r="P47" s="292">
        <f>AVERAGE(D47:O47)</f>
        <v/>
      </c>
      <c r="Q47" s="293">
        <f>B47/P47</f>
        <v/>
      </c>
      <c r="R47" s="294">
        <f>(B47/D47)-1</f>
        <v/>
      </c>
      <c r="S47" s="294">
        <f>(C47/F47)-1</f>
        <v/>
      </c>
      <c r="T47" s="294">
        <f>(B47/I47)-1</f>
        <v/>
      </c>
      <c r="U47" s="294">
        <f>(B47/O47)-1</f>
        <v/>
      </c>
      <c r="V47" s="295">
        <f>R47*12</f>
        <v/>
      </c>
      <c r="W47" s="295">
        <f>S47*4</f>
        <v/>
      </c>
      <c r="X47" s="295">
        <f>T47*2</f>
        <v/>
      </c>
      <c r="Y47" s="295">
        <f>U47*1</f>
        <v/>
      </c>
      <c r="Z47" s="296">
        <f>SUM(V47:Y47)</f>
        <v/>
      </c>
    </row>
    <row r="48" ht="15" customHeight="1" s="322">
      <c r="A48" s="289">
        <f>관심종목!D45</f>
        <v/>
      </c>
      <c r="B48" s="499">
        <f>관심종목!H45</f>
        <v/>
      </c>
      <c r="C48" s="291">
        <f>IFERROR(LOOKUP(C1,INDEX(차트데이터!$A:$BZ,0,MATCH("BWX",차트데이터!$1:$1,0)),INDEX(차트데이터!$A:$BZ,0,MATCH("BWX",차트데이터!$1:$1,0)+1)),"")</f>
        <v/>
      </c>
      <c r="D48" s="291">
        <f>IFERROR(LOOKUP(D1,INDEX(차트데이터!$A:$BZ,0,MATCH("BWX",차트데이터!$1:$1,0)),INDEX(차트데이터!$A:$BZ,0,MATCH("BWX",차트데이터!$1:$1,0)+1)),"")</f>
        <v/>
      </c>
      <c r="E48" s="291">
        <f>IFERROR(LOOKUP(E1,INDEX(차트데이터!$A:$BZ,0,MATCH("BWX",차트데이터!$1:$1,0)),INDEX(차트데이터!$A:$BZ,0,MATCH("BWX",차트데이터!$1:$1,0)+1)),"")</f>
        <v/>
      </c>
      <c r="F48" s="291">
        <f>IFERROR(LOOKUP(F1,INDEX(차트데이터!$A:$BZ,0,MATCH("BWX",차트데이터!$1:$1,0)),INDEX(차트데이터!$A:$BZ,0,MATCH("BWX",차트데이터!$1:$1,0)+1)),"")</f>
        <v/>
      </c>
      <c r="G48" s="291">
        <f>IFERROR(LOOKUP(G1,INDEX(차트데이터!$A:$BZ,0,MATCH("BWX",차트데이터!$1:$1,0)),INDEX(차트데이터!$A:$BZ,0,MATCH("BWX",차트데이터!$1:$1,0)+1)),"")</f>
        <v/>
      </c>
      <c r="H48" s="291">
        <f>IFERROR(LOOKUP(H1,INDEX(차트데이터!$A:$BZ,0,MATCH("BWX",차트데이터!$1:$1,0)),INDEX(차트데이터!$A:$BZ,0,MATCH("BWX",차트데이터!$1:$1,0)+1)),"")</f>
        <v/>
      </c>
      <c r="I48" s="291">
        <f>IFERROR(LOOKUP(I1,INDEX(차트데이터!$A:$BZ,0,MATCH("BWX",차트데이터!$1:$1,0)),INDEX(차트데이터!$A:$BZ,0,MATCH("BWX",차트데이터!$1:$1,0)+1)),"")</f>
        <v/>
      </c>
      <c r="J48" s="291">
        <f>IFERROR(LOOKUP(J1,INDEX(차트데이터!$A:$BZ,0,MATCH("BWX",차트데이터!$1:$1,0)),INDEX(차트데이터!$A:$BZ,0,MATCH("BWX",차트데이터!$1:$1,0)+1)),"")</f>
        <v/>
      </c>
      <c r="K48" s="291">
        <f>IFERROR(LOOKUP(K1,INDEX(차트데이터!$A:$BZ,0,MATCH("BWX",차트데이터!$1:$1,0)),INDEX(차트데이터!$A:$BZ,0,MATCH("BWX",차트데이터!$1:$1,0)+1)),"")</f>
        <v/>
      </c>
      <c r="L48" s="291">
        <f>IFERROR(LOOKUP(L1,INDEX(차트데이터!$A:$BZ,0,MATCH("BWX",차트데이터!$1:$1,0)),INDEX(차트데이터!$A:$BZ,0,MATCH("BWX",차트데이터!$1:$1,0)+1)),"")</f>
        <v/>
      </c>
      <c r="M48" s="291">
        <f>IFERROR(LOOKUP(M1,INDEX(차트데이터!$A:$BZ,0,MATCH("BWX",차트데이터!$1:$1,0)),INDEX(차트데이터!$A:$BZ,0,MATCH("BWX",차트데이터!$1:$1,0)+1)),"")</f>
        <v/>
      </c>
      <c r="N48" s="291">
        <f>IFERROR(LOOKUP(N1,INDEX(차트데이터!$A:$BZ,0,MATCH("BWX",차트데이터!$1:$1,0)),INDEX(차트데이터!$A:$BZ,0,MATCH("BWX",차트데이터!$1:$1,0)+1)),"")</f>
        <v/>
      </c>
      <c r="O48" s="291">
        <f>IFERROR(LOOKUP(O1,INDEX(차트데이터!$A:$BZ,0,MATCH("BWX",차트데이터!$1:$1,0)),INDEX(차트데이터!$A:$BZ,0,MATCH("BWX",차트데이터!$1:$1,0)+1)),"")</f>
        <v/>
      </c>
      <c r="P48" s="292">
        <f>AVERAGE(D48:O48)</f>
        <v/>
      </c>
      <c r="Q48" s="293">
        <f>B48/P48</f>
        <v/>
      </c>
      <c r="R48" s="294">
        <f>(B48/D48)-1</f>
        <v/>
      </c>
      <c r="S48" s="294">
        <f>(C48/F48)-1</f>
        <v/>
      </c>
      <c r="T48" s="294">
        <f>(B48/I48)-1</f>
        <v/>
      </c>
      <c r="U48" s="294">
        <f>(B48/O48)-1</f>
        <v/>
      </c>
      <c r="V48" s="295">
        <f>R48*12</f>
        <v/>
      </c>
      <c r="W48" s="295">
        <f>S48*4</f>
        <v/>
      </c>
      <c r="X48" s="295">
        <f>T48*2</f>
        <v/>
      </c>
      <c r="Y48" s="295">
        <f>U48*1</f>
        <v/>
      </c>
      <c r="Z48" s="296">
        <f>SUM(V48:Y48)</f>
        <v/>
      </c>
    </row>
    <row r="49" ht="15" customHeight="1" s="322">
      <c r="A49" s="297">
        <f>관심종목!D46</f>
        <v/>
      </c>
      <c r="B49" s="500">
        <f>관심종목!H46</f>
        <v/>
      </c>
      <c r="C49" s="299">
        <f>IFERROR(LOOKUP(C1,INDEX(차트데이터!$A:$BZ,0,MATCH("EMB",차트데이터!$1:$1,0)),INDEX(차트데이터!$A:$BZ,0,MATCH("EMB",차트데이터!$1:$1,0)+1)),"")</f>
        <v/>
      </c>
      <c r="D49" s="299">
        <f>IFERROR(LOOKUP(D1,INDEX(차트데이터!$A:$BZ,0,MATCH("EMB",차트데이터!$1:$1,0)),INDEX(차트데이터!$A:$BZ,0,MATCH("EMB",차트데이터!$1:$1,0)+1)),"")</f>
        <v/>
      </c>
      <c r="E49" s="299">
        <f>IFERROR(LOOKUP(E1,INDEX(차트데이터!$A:$BZ,0,MATCH("EMB",차트데이터!$1:$1,0)),INDEX(차트데이터!$A:$BZ,0,MATCH("EMB",차트데이터!$1:$1,0)+1)),"")</f>
        <v/>
      </c>
      <c r="F49" s="299">
        <f>IFERROR(LOOKUP(F1,INDEX(차트데이터!$A:$BZ,0,MATCH("EMB",차트데이터!$1:$1,0)),INDEX(차트데이터!$A:$BZ,0,MATCH("EMB",차트데이터!$1:$1,0)+1)),"")</f>
        <v/>
      </c>
      <c r="G49" s="299">
        <f>IFERROR(LOOKUP(G1,INDEX(차트데이터!$A:$BZ,0,MATCH("EMB",차트데이터!$1:$1,0)),INDEX(차트데이터!$A:$BZ,0,MATCH("EMB",차트데이터!$1:$1,0)+1)),"")</f>
        <v/>
      </c>
      <c r="H49" s="299">
        <f>IFERROR(LOOKUP(H1,INDEX(차트데이터!$A:$BZ,0,MATCH("EMB",차트데이터!$1:$1,0)),INDEX(차트데이터!$A:$BZ,0,MATCH("EMB",차트데이터!$1:$1,0)+1)),"")</f>
        <v/>
      </c>
      <c r="I49" s="299">
        <f>IFERROR(LOOKUP(I1,INDEX(차트데이터!$A:$BZ,0,MATCH("EMB",차트데이터!$1:$1,0)),INDEX(차트데이터!$A:$BZ,0,MATCH("EMB",차트데이터!$1:$1,0)+1)),"")</f>
        <v/>
      </c>
      <c r="J49" s="299">
        <f>IFERROR(LOOKUP(J1,INDEX(차트데이터!$A:$BZ,0,MATCH("EMB",차트데이터!$1:$1,0)),INDEX(차트데이터!$A:$BZ,0,MATCH("EMB",차트데이터!$1:$1,0)+1)),"")</f>
        <v/>
      </c>
      <c r="K49" s="299">
        <f>IFERROR(LOOKUP(K1,INDEX(차트데이터!$A:$BZ,0,MATCH("EMB",차트데이터!$1:$1,0)),INDEX(차트데이터!$A:$BZ,0,MATCH("EMB",차트데이터!$1:$1,0)+1)),"")</f>
        <v/>
      </c>
      <c r="L49" s="299">
        <f>IFERROR(LOOKUP(L1,INDEX(차트데이터!$A:$BZ,0,MATCH("EMB",차트데이터!$1:$1,0)),INDEX(차트데이터!$A:$BZ,0,MATCH("EMB",차트데이터!$1:$1,0)+1)),"")</f>
        <v/>
      </c>
      <c r="M49" s="299">
        <f>IFERROR(LOOKUP(M1,INDEX(차트데이터!$A:$BZ,0,MATCH("EMB",차트데이터!$1:$1,0)),INDEX(차트데이터!$A:$BZ,0,MATCH("EMB",차트데이터!$1:$1,0)+1)),"")</f>
        <v/>
      </c>
      <c r="N49" s="299">
        <f>IFERROR(LOOKUP(N1,INDEX(차트데이터!$A:$BZ,0,MATCH("EMB",차트데이터!$1:$1,0)),INDEX(차트데이터!$A:$BZ,0,MATCH("EMB",차트데이터!$1:$1,0)+1)),"")</f>
        <v/>
      </c>
      <c r="O49" s="299">
        <f>IFERROR(LOOKUP(O1,INDEX(차트데이터!$A:$BZ,0,MATCH("EMB",차트데이터!$1:$1,0)),INDEX(차트데이터!$A:$BZ,0,MATCH("EMB",차트데이터!$1:$1,0)+1)),"")</f>
        <v/>
      </c>
      <c r="P49" s="300">
        <f>AVERAGE(D49:O49)</f>
        <v/>
      </c>
      <c r="Q49" s="301">
        <f>B49/P49</f>
        <v/>
      </c>
      <c r="R49" s="302">
        <f>(B49/D49)-1</f>
        <v/>
      </c>
      <c r="S49" s="302">
        <f>(C49/F49)-1</f>
        <v/>
      </c>
      <c r="T49" s="302">
        <f>(B49/I49)-1</f>
        <v/>
      </c>
      <c r="U49" s="302">
        <f>(B49/O49)-1</f>
        <v/>
      </c>
      <c r="V49" s="303">
        <f>R49*12</f>
        <v/>
      </c>
      <c r="W49" s="303">
        <f>S49*4</f>
        <v/>
      </c>
      <c r="X49" s="303">
        <f>T49*2</f>
        <v/>
      </c>
      <c r="Y49" s="303">
        <f>U49*1</f>
        <v/>
      </c>
      <c r="Z49" s="304">
        <f>SUM(V49:Y49)</f>
        <v/>
      </c>
    </row>
    <row r="50" ht="12.75" customHeight="1" s="322">
      <c r="A50" s="267" t="n"/>
    </row>
    <row r="51" ht="12.75" customHeight="1" s="322">
      <c r="A51" s="267" t="n"/>
    </row>
    <row r="52" ht="12.75" customHeight="1" s="322">
      <c r="A52" s="267" t="n"/>
    </row>
    <row r="53" ht="12.75" customHeight="1" s="322">
      <c r="A53" s="267" t="n"/>
    </row>
    <row r="54" ht="12.75" customHeight="1" s="322">
      <c r="A54" s="267">
        <f>관심종목!D51</f>
        <v/>
      </c>
    </row>
    <row r="55" ht="12.75" customHeight="1" s="322">
      <c r="A55" s="267">
        <f>관심종목!D52</f>
        <v/>
      </c>
    </row>
    <row r="56" ht="12.75" customHeight="1" s="322">
      <c r="A56" s="267">
        <f>관심종목!D53</f>
        <v/>
      </c>
    </row>
    <row r="57" ht="12.75" customHeight="1" s="322">
      <c r="A57" s="267">
        <f>관심종목!D54</f>
        <v/>
      </c>
    </row>
    <row r="58" ht="12.75" customHeight="1" s="322">
      <c r="A58" s="267" t="n"/>
    </row>
    <row r="59" ht="12.75" customHeight="1" s="322">
      <c r="A59" s="267" t="n"/>
    </row>
    <row r="60" ht="12.75" customHeight="1" s="322">
      <c r="A60" s="267" t="n"/>
    </row>
    <row r="61" ht="12.75" customHeight="1" s="322">
      <c r="A61" s="267" t="n"/>
    </row>
    <row r="62" ht="12.75" customHeight="1" s="322">
      <c r="A62" s="267" t="n"/>
    </row>
    <row r="63" ht="12.75" customHeight="1" s="322">
      <c r="A63" s="267" t="n"/>
    </row>
    <row r="64" ht="12.75" customHeight="1" s="322">
      <c r="A64" s="267" t="n"/>
    </row>
    <row r="65" ht="12.75" customHeight="1" s="322">
      <c r="A65" s="267" t="n"/>
    </row>
    <row r="66" ht="12.75" customHeight="1" s="322">
      <c r="A66" s="267" t="n"/>
    </row>
    <row r="67" ht="12.75" customHeight="1" s="322">
      <c r="A67" s="267" t="n"/>
    </row>
    <row r="68" ht="12.75" customHeight="1" s="322">
      <c r="A68" s="267" t="n"/>
    </row>
    <row r="69" ht="12.75" customHeight="1" s="322">
      <c r="A69" s="267" t="n"/>
    </row>
    <row r="70" ht="12.75" customHeight="1" s="322">
      <c r="A70" s="267" t="n"/>
    </row>
    <row r="71" ht="12.75" customHeight="1" s="322">
      <c r="A71" s="267" t="n"/>
    </row>
    <row r="72" ht="12.75" customHeight="1" s="322">
      <c r="A72" s="267" t="n"/>
    </row>
    <row r="73" ht="12.75" customHeight="1" s="322">
      <c r="A73" s="267" t="n"/>
    </row>
    <row r="74" ht="12.75" customHeight="1" s="322">
      <c r="A74" s="267" t="n"/>
    </row>
    <row r="75" ht="12.75" customHeight="1" s="322">
      <c r="A75" s="267" t="n"/>
    </row>
    <row r="76" ht="12.75" customHeight="1" s="322">
      <c r="A76" s="267" t="n"/>
    </row>
    <row r="77" ht="12.75" customHeight="1" s="322">
      <c r="A77" s="267" t="n"/>
    </row>
    <row r="78" ht="12.75" customHeight="1" s="322">
      <c r="A78" s="267" t="n"/>
    </row>
    <row r="79" ht="12.75" customHeight="1" s="322">
      <c r="A79" s="267" t="n"/>
    </row>
    <row r="80" ht="12.75" customHeight="1" s="322">
      <c r="A80" s="267" t="n"/>
    </row>
    <row r="81" ht="12.75" customHeight="1" s="322">
      <c r="A81" s="267" t="n"/>
    </row>
    <row r="82" ht="12.75" customHeight="1" s="322">
      <c r="A82" s="267" t="n"/>
    </row>
    <row r="83" ht="12.75" customHeight="1" s="322">
      <c r="A83" s="267" t="n"/>
    </row>
    <row r="84" ht="12.75" customHeight="1" s="322">
      <c r="A84" s="267" t="n"/>
    </row>
    <row r="85" ht="12.75" customHeight="1" s="322">
      <c r="A85" s="267" t="n"/>
    </row>
    <row r="86" ht="12.75" customHeight="1" s="322">
      <c r="A86" s="267" t="n"/>
    </row>
    <row r="87" ht="12.75" customHeight="1" s="322">
      <c r="A87" s="267" t="n"/>
    </row>
    <row r="88" ht="12.75" customHeight="1" s="322">
      <c r="A88" s="267" t="n"/>
    </row>
    <row r="89" ht="12.75" customHeight="1" s="322">
      <c r="A89" s="267" t="n"/>
    </row>
    <row r="90" ht="12.75" customHeight="1" s="322">
      <c r="A90" s="267" t="n"/>
    </row>
    <row r="91" ht="12.75" customHeight="1" s="322">
      <c r="A91" s="267" t="n"/>
    </row>
    <row r="92" ht="12.75" customHeight="1" s="322">
      <c r="A92" s="267" t="n"/>
    </row>
    <row r="93" ht="12.75" customHeight="1" s="322">
      <c r="A93" s="267" t="n"/>
    </row>
    <row r="94" ht="12.75" customHeight="1" s="322">
      <c r="A94" s="267" t="n"/>
    </row>
    <row r="95" ht="12.75" customHeight="1" s="322">
      <c r="A95" s="267" t="n"/>
    </row>
    <row r="96" ht="12.75" customHeight="1" s="322">
      <c r="A96" s="267" t="n"/>
    </row>
    <row r="97" ht="12.75" customHeight="1" s="322">
      <c r="A97" s="267" t="n"/>
    </row>
    <row r="98" ht="12.75" customHeight="1" s="322">
      <c r="A98" s="267" t="n"/>
    </row>
    <row r="99" ht="12.75" customHeight="1" s="322">
      <c r="A99" s="267" t="n"/>
    </row>
    <row r="100" ht="12.75" customHeight="1" s="322">
      <c r="A100" s="267" t="n"/>
    </row>
    <row r="101" ht="12.75" customHeight="1" s="322">
      <c r="A101" s="267" t="n"/>
    </row>
    <row r="102" ht="12.75" customHeight="1" s="322">
      <c r="A102" s="267" t="n"/>
    </row>
    <row r="103" ht="12.75" customHeight="1" s="322">
      <c r="A103" s="267" t="n"/>
    </row>
    <row r="104" ht="12.75" customHeight="1" s="322">
      <c r="A104" s="267" t="n"/>
    </row>
    <row r="105" ht="12.75" customHeight="1" s="322">
      <c r="A105" s="267" t="n"/>
    </row>
    <row r="106" ht="12.75" customHeight="1" s="322">
      <c r="A106" s="267" t="n"/>
    </row>
    <row r="107" ht="12.75" customHeight="1" s="322">
      <c r="A107" s="267" t="n"/>
    </row>
    <row r="108" ht="12.75" customHeight="1" s="322">
      <c r="A108" s="267" t="n"/>
    </row>
    <row r="109" ht="12.75" customHeight="1" s="322">
      <c r="A109" s="267" t="n"/>
    </row>
    <row r="110" ht="12.75" customHeight="1" s="322">
      <c r="A110" s="267" t="n"/>
    </row>
    <row r="111" ht="12.75" customHeight="1" s="322">
      <c r="A111" s="267" t="n"/>
    </row>
    <row r="112" ht="12.75" customHeight="1" s="322">
      <c r="A112" s="267" t="n"/>
    </row>
    <row r="113" ht="12.75" customHeight="1" s="322">
      <c r="A113" s="267" t="n"/>
    </row>
    <row r="114" ht="12.75" customHeight="1" s="322">
      <c r="A114" s="267" t="n"/>
    </row>
    <row r="115" ht="12.75" customHeight="1" s="322">
      <c r="A115" s="267" t="n"/>
    </row>
    <row r="116" ht="12.75" customHeight="1" s="322">
      <c r="A116" s="267" t="n"/>
    </row>
    <row r="117" ht="12.75" customHeight="1" s="322">
      <c r="A117" s="267" t="n"/>
    </row>
    <row r="118" ht="12.75" customHeight="1" s="322">
      <c r="A118" s="267" t="n"/>
    </row>
    <row r="119" ht="12.75" customHeight="1" s="322">
      <c r="A119" s="267" t="n"/>
    </row>
    <row r="120" ht="12.75" customHeight="1" s="322">
      <c r="A120" s="267" t="n"/>
    </row>
    <row r="121" ht="12.75" customHeight="1" s="322">
      <c r="A121" s="267" t="n"/>
    </row>
    <row r="122" ht="12.75" customHeight="1" s="322">
      <c r="A122" s="267" t="n"/>
    </row>
    <row r="123" ht="12.75" customHeight="1" s="322">
      <c r="A123" s="267" t="n"/>
    </row>
    <row r="124" ht="12.75" customHeight="1" s="322">
      <c r="A124" s="267" t="n"/>
    </row>
    <row r="125" ht="12.75" customHeight="1" s="322">
      <c r="A125" s="267" t="n"/>
    </row>
    <row r="126" ht="12.75" customHeight="1" s="322">
      <c r="A126" s="267" t="n"/>
    </row>
    <row r="127" ht="12.75" customHeight="1" s="322">
      <c r="A127" s="267" t="n"/>
    </row>
    <row r="128" ht="12.75" customHeight="1" s="322">
      <c r="A128" s="267" t="n"/>
    </row>
    <row r="129" ht="12.75" customHeight="1" s="322">
      <c r="A129" s="267" t="n"/>
    </row>
    <row r="130" ht="12.75" customHeight="1" s="322">
      <c r="A130" s="267" t="n"/>
    </row>
    <row r="131" ht="12.75" customHeight="1" s="322">
      <c r="A131" s="267" t="n"/>
    </row>
    <row r="132" ht="12.75" customHeight="1" s="322">
      <c r="A132" s="267" t="n"/>
    </row>
    <row r="133" ht="12.75" customHeight="1" s="322">
      <c r="A133" s="267" t="n"/>
    </row>
    <row r="134" ht="12.75" customHeight="1" s="322">
      <c r="A134" s="267" t="n"/>
    </row>
    <row r="135" ht="12.75" customHeight="1" s="322">
      <c r="A135" s="267" t="n"/>
    </row>
    <row r="136" ht="12.75" customHeight="1" s="322">
      <c r="A136" s="267" t="n"/>
    </row>
    <row r="137" ht="12.75" customHeight="1" s="322">
      <c r="A137" s="267" t="n"/>
    </row>
    <row r="138" ht="12.75" customHeight="1" s="322">
      <c r="A138" s="267" t="n"/>
    </row>
    <row r="139" ht="12.75" customHeight="1" s="322">
      <c r="A139" s="267" t="n"/>
    </row>
    <row r="140" ht="12.75" customHeight="1" s="322">
      <c r="A140" s="267" t="n"/>
    </row>
    <row r="141" ht="12.75" customHeight="1" s="322">
      <c r="A141" s="267" t="n"/>
    </row>
    <row r="142" ht="12.75" customHeight="1" s="322">
      <c r="A142" s="267" t="n"/>
    </row>
    <row r="143" ht="12.75" customHeight="1" s="322">
      <c r="A143" s="267" t="n"/>
    </row>
    <row r="144" ht="12.75" customHeight="1" s="322">
      <c r="A144" s="267" t="n"/>
    </row>
    <row r="145" ht="12.75" customHeight="1" s="322">
      <c r="A145" s="267" t="n"/>
    </row>
    <row r="146" ht="12.75" customHeight="1" s="322">
      <c r="A146" s="267" t="n"/>
    </row>
    <row r="147" ht="12.75" customHeight="1" s="322">
      <c r="A147" s="267" t="n"/>
    </row>
    <row r="148" ht="12.75" customHeight="1" s="322">
      <c r="A148" s="267" t="n"/>
    </row>
    <row r="149" ht="12.75" customHeight="1" s="322">
      <c r="A149" s="267" t="n"/>
    </row>
    <row r="150" ht="12.75" customHeight="1" s="322">
      <c r="A150" s="267" t="n"/>
    </row>
    <row r="151" ht="12.75" customHeight="1" s="322">
      <c r="A151" s="267" t="n"/>
    </row>
    <row r="152" ht="12.75" customHeight="1" s="322">
      <c r="A152" s="267" t="n"/>
    </row>
    <row r="153" ht="12.75" customHeight="1" s="322">
      <c r="A153" s="267" t="n"/>
    </row>
    <row r="154" ht="12.75" customHeight="1" s="322">
      <c r="A154" s="267" t="n"/>
    </row>
    <row r="155" ht="12.75" customHeight="1" s="322">
      <c r="A155" s="267" t="n"/>
    </row>
    <row r="156" ht="12.75" customHeight="1" s="322">
      <c r="A156" s="267" t="n"/>
    </row>
    <row r="157" ht="12.75" customHeight="1" s="322">
      <c r="A157" s="267" t="n"/>
    </row>
    <row r="158" ht="12.75" customHeight="1" s="322">
      <c r="A158" s="267" t="n"/>
    </row>
    <row r="159" ht="12.75" customHeight="1" s="322">
      <c r="A159" s="267" t="n"/>
    </row>
    <row r="160" ht="12.75" customHeight="1" s="322">
      <c r="A160" s="267" t="n"/>
    </row>
    <row r="161" ht="12.75" customHeight="1" s="322">
      <c r="A161" s="267" t="n"/>
    </row>
    <row r="162" ht="12.75" customHeight="1" s="322">
      <c r="A162" s="267" t="n"/>
    </row>
    <row r="163" ht="12.75" customHeight="1" s="322">
      <c r="A163" s="267" t="n"/>
    </row>
    <row r="164" ht="12.75" customHeight="1" s="322">
      <c r="A164" s="267" t="n"/>
    </row>
    <row r="165" ht="12.75" customHeight="1" s="322">
      <c r="A165" s="267" t="n"/>
    </row>
    <row r="166" ht="12.75" customHeight="1" s="322">
      <c r="A166" s="267" t="n"/>
    </row>
    <row r="167" ht="12.75" customHeight="1" s="322">
      <c r="A167" s="267" t="n"/>
    </row>
    <row r="168" ht="12.75" customHeight="1" s="322">
      <c r="A168" s="267" t="n"/>
    </row>
    <row r="169" ht="12.75" customHeight="1" s="322">
      <c r="A169" s="267" t="n"/>
    </row>
    <row r="170" ht="12.75" customHeight="1" s="322">
      <c r="A170" s="267" t="n"/>
    </row>
    <row r="171" ht="12.75" customHeight="1" s="322">
      <c r="A171" s="267" t="n"/>
    </row>
    <row r="172" ht="12.75" customHeight="1" s="322">
      <c r="A172" s="267" t="n"/>
    </row>
    <row r="173" ht="12.75" customHeight="1" s="322">
      <c r="A173" s="267" t="n"/>
    </row>
    <row r="174" ht="12.75" customHeight="1" s="322">
      <c r="A174" s="267" t="n"/>
    </row>
    <row r="175" ht="12.75" customHeight="1" s="322">
      <c r="A175" s="267" t="n"/>
    </row>
    <row r="176" ht="12.75" customHeight="1" s="322">
      <c r="A176" s="267" t="n"/>
    </row>
    <row r="177" ht="12.75" customHeight="1" s="322">
      <c r="A177" s="267" t="n"/>
    </row>
    <row r="178" ht="12.75" customHeight="1" s="322">
      <c r="A178" s="267" t="n"/>
    </row>
    <row r="179" ht="12.75" customHeight="1" s="322">
      <c r="A179" s="267" t="n"/>
    </row>
    <row r="180" ht="12.75" customHeight="1" s="322">
      <c r="A180" s="267" t="n"/>
    </row>
    <row r="181" ht="12.75" customHeight="1" s="322">
      <c r="A181" s="267" t="n"/>
    </row>
    <row r="182" ht="12.75" customHeight="1" s="322">
      <c r="A182" s="267" t="n"/>
    </row>
    <row r="183" ht="12.75" customHeight="1" s="322">
      <c r="A183" s="267" t="n"/>
    </row>
    <row r="184" ht="12.75" customHeight="1" s="322">
      <c r="A184" s="267" t="n"/>
    </row>
    <row r="185" ht="12.75" customHeight="1" s="322">
      <c r="A185" s="267" t="n"/>
    </row>
    <row r="186" ht="12.75" customHeight="1" s="322">
      <c r="A186" s="267" t="n"/>
    </row>
    <row r="187" ht="12.75" customHeight="1" s="322">
      <c r="A187" s="267" t="n"/>
    </row>
    <row r="188" ht="12.75" customHeight="1" s="322">
      <c r="A188" s="267" t="n"/>
    </row>
    <row r="189" ht="12.75" customHeight="1" s="322">
      <c r="A189" s="267" t="n"/>
    </row>
    <row r="190" ht="12.75" customHeight="1" s="322">
      <c r="A190" s="267" t="n"/>
    </row>
    <row r="191" ht="12.75" customHeight="1" s="322">
      <c r="A191" s="267" t="n"/>
    </row>
    <row r="192" ht="12.75" customHeight="1" s="322">
      <c r="A192" s="267" t="n"/>
    </row>
    <row r="193" ht="12.75" customHeight="1" s="322">
      <c r="A193" s="267" t="n"/>
    </row>
    <row r="194" ht="12.75" customHeight="1" s="322">
      <c r="A194" s="267" t="n"/>
    </row>
    <row r="195" ht="12.75" customHeight="1" s="322">
      <c r="A195" s="267" t="n"/>
    </row>
    <row r="196" ht="12.75" customHeight="1" s="322">
      <c r="A196" s="267" t="n"/>
    </row>
    <row r="197" ht="12.75" customHeight="1" s="322">
      <c r="A197" s="267" t="n"/>
    </row>
    <row r="198" ht="12.75" customHeight="1" s="322">
      <c r="A198" s="267" t="n"/>
    </row>
    <row r="199" ht="12.75" customHeight="1" s="322">
      <c r="A199" s="267" t="n"/>
    </row>
    <row r="200" ht="12.75" customHeight="1" s="322">
      <c r="A200" s="267" t="n"/>
    </row>
    <row r="201" ht="12.75" customHeight="1" s="322">
      <c r="A201" s="267" t="n"/>
    </row>
    <row r="202" ht="12.75" customHeight="1" s="322">
      <c r="A202" s="267" t="n"/>
    </row>
    <row r="203" ht="12.75" customHeight="1" s="322">
      <c r="A203" s="267" t="n"/>
    </row>
    <row r="204" ht="12.75" customHeight="1" s="322">
      <c r="A204" s="267" t="n"/>
    </row>
    <row r="205" ht="12.75" customHeight="1" s="322">
      <c r="A205" s="267" t="n"/>
    </row>
    <row r="206" ht="12.75" customHeight="1" s="322">
      <c r="A206" s="267" t="n"/>
    </row>
    <row r="207" ht="12.75" customHeight="1" s="322">
      <c r="A207" s="267" t="n"/>
    </row>
    <row r="208" ht="12.75" customHeight="1" s="322">
      <c r="A208" s="267" t="n"/>
    </row>
    <row r="209" ht="12.75" customHeight="1" s="322">
      <c r="A209" s="267" t="n"/>
    </row>
    <row r="210" ht="12.75" customHeight="1" s="322">
      <c r="A210" s="267" t="n"/>
    </row>
    <row r="211" ht="12.75" customHeight="1" s="322">
      <c r="A211" s="267" t="n"/>
    </row>
    <row r="212" ht="12.75" customHeight="1" s="322">
      <c r="A212" s="267" t="n"/>
    </row>
    <row r="213" ht="12.75" customHeight="1" s="322">
      <c r="A213" s="267" t="n"/>
    </row>
    <row r="214" ht="12.75" customHeight="1" s="322">
      <c r="A214" s="267" t="n"/>
    </row>
    <row r="215" ht="12.75" customHeight="1" s="322">
      <c r="A215" s="267" t="n"/>
    </row>
    <row r="216" ht="12.75" customHeight="1" s="322">
      <c r="A216" s="267" t="n"/>
    </row>
    <row r="217" ht="12.75" customHeight="1" s="322">
      <c r="A217" s="267" t="n"/>
    </row>
    <row r="218" ht="12.75" customHeight="1" s="322">
      <c r="A218" s="267" t="n"/>
    </row>
    <row r="219" ht="12.75" customHeight="1" s="322">
      <c r="A219" s="267" t="n"/>
    </row>
    <row r="220" ht="12.75" customHeight="1" s="322">
      <c r="A220" s="267" t="n"/>
    </row>
    <row r="221" ht="12.75" customHeight="1" s="322">
      <c r="A221" s="267" t="n"/>
    </row>
    <row r="222" ht="12.75" customHeight="1" s="322">
      <c r="A222" s="267" t="n"/>
    </row>
    <row r="223" ht="12.75" customHeight="1" s="322">
      <c r="A223" s="267" t="n"/>
    </row>
    <row r="224" ht="12.75" customHeight="1" s="322">
      <c r="A224" s="267" t="n"/>
    </row>
    <row r="225" ht="12.75" customHeight="1" s="322">
      <c r="A225" s="267" t="n"/>
    </row>
    <row r="226" ht="12.75" customHeight="1" s="322">
      <c r="A226" s="267" t="n"/>
    </row>
    <row r="227" ht="12.75" customHeight="1" s="322">
      <c r="A227" s="267" t="n"/>
    </row>
    <row r="228" ht="12.75" customHeight="1" s="322">
      <c r="A228" s="267" t="n"/>
    </row>
    <row r="229" ht="12.75" customHeight="1" s="322">
      <c r="A229" s="267" t="n"/>
    </row>
    <row r="230" ht="12.75" customHeight="1" s="322">
      <c r="A230" s="267" t="n"/>
    </row>
    <row r="231" ht="12.75" customHeight="1" s="322">
      <c r="A231" s="267" t="n"/>
    </row>
    <row r="232" ht="12.75" customHeight="1" s="322">
      <c r="A232" s="267" t="n"/>
    </row>
    <row r="233" ht="12.75" customHeight="1" s="322">
      <c r="A233" s="267" t="n"/>
    </row>
    <row r="234" ht="12.75" customHeight="1" s="322">
      <c r="A234" s="267" t="n"/>
    </row>
    <row r="235" ht="12.75" customHeight="1" s="322">
      <c r="A235" s="267" t="n"/>
    </row>
    <row r="236" ht="12.75" customHeight="1" s="322">
      <c r="A236" s="267" t="n"/>
    </row>
    <row r="237" ht="12.75" customHeight="1" s="322">
      <c r="A237" s="267" t="n"/>
    </row>
    <row r="238" ht="12.75" customHeight="1" s="322">
      <c r="A238" s="267" t="n"/>
    </row>
    <row r="239" ht="12.75" customHeight="1" s="322">
      <c r="A239" s="267" t="n"/>
    </row>
    <row r="240" ht="12.75" customHeight="1" s="322">
      <c r="A240" s="267" t="n"/>
    </row>
    <row r="241" ht="12.75" customHeight="1" s="322">
      <c r="A241" s="267" t="n"/>
    </row>
    <row r="242" ht="12.75" customHeight="1" s="322">
      <c r="A242" s="267" t="n"/>
    </row>
    <row r="243" ht="12.75" customHeight="1" s="322">
      <c r="A243" s="267" t="n"/>
    </row>
    <row r="244" ht="12.75" customHeight="1" s="322">
      <c r="A244" s="267" t="n"/>
    </row>
    <row r="245" ht="12.75" customHeight="1" s="322">
      <c r="A245" s="267" t="n"/>
    </row>
    <row r="246" ht="12.75" customHeight="1" s="322">
      <c r="A246" s="267" t="n"/>
    </row>
    <row r="247" ht="12.75" customHeight="1" s="322">
      <c r="A247" s="267" t="n"/>
    </row>
    <row r="248" ht="12.75" customHeight="1" s="322">
      <c r="A248" s="267" t="n"/>
    </row>
    <row r="249" ht="12.75" customHeight="1" s="322">
      <c r="A249" s="267" t="n"/>
    </row>
    <row r="250" ht="12.75" customHeight="1" s="322">
      <c r="A250" s="267" t="n"/>
    </row>
    <row r="251" ht="12.75" customHeight="1" s="322">
      <c r="A251" s="267" t="n"/>
    </row>
    <row r="252" ht="12.75" customHeight="1" s="322">
      <c r="A252" s="267" t="n"/>
    </row>
    <row r="253" ht="12.75" customHeight="1" s="322">
      <c r="A253" s="267" t="n"/>
    </row>
    <row r="254" ht="12.75" customHeight="1" s="322">
      <c r="A254" s="267" t="n"/>
    </row>
    <row r="255" ht="12.75" customHeight="1" s="322">
      <c r="A255" s="267" t="n"/>
    </row>
    <row r="256" ht="12.75" customHeight="1" s="322">
      <c r="A256" s="267" t="n"/>
    </row>
    <row r="257" ht="12.75" customHeight="1" s="322">
      <c r="A257" s="267" t="n"/>
    </row>
    <row r="258" ht="12.75" customHeight="1" s="322">
      <c r="A258" s="267" t="n"/>
    </row>
    <row r="259" ht="12.75" customHeight="1" s="322">
      <c r="A259" s="267" t="n"/>
    </row>
    <row r="260" ht="12.75" customHeight="1" s="322">
      <c r="A260" s="267" t="n"/>
    </row>
    <row r="261" ht="12.75" customHeight="1" s="322">
      <c r="A261" s="267" t="n"/>
    </row>
    <row r="262" ht="12.75" customHeight="1" s="322">
      <c r="A262" s="267" t="n"/>
    </row>
    <row r="263" ht="12.75" customHeight="1" s="322">
      <c r="A263" s="267" t="n"/>
    </row>
    <row r="264" ht="12.75" customHeight="1" s="322">
      <c r="A264" s="267" t="n"/>
    </row>
    <row r="265" ht="12.75" customHeight="1" s="322">
      <c r="A265" s="267" t="n"/>
    </row>
    <row r="266" ht="12.75" customHeight="1" s="322">
      <c r="A266" s="267" t="n"/>
    </row>
    <row r="267" ht="12.75" customHeight="1" s="322">
      <c r="A267" s="267" t="n"/>
    </row>
    <row r="268" ht="12.75" customHeight="1" s="322">
      <c r="A268" s="267" t="n"/>
    </row>
    <row r="269" ht="12.75" customHeight="1" s="322">
      <c r="A269" s="267" t="n"/>
    </row>
    <row r="270" ht="12.75" customHeight="1" s="322">
      <c r="A270" s="267" t="n"/>
    </row>
    <row r="271" ht="12.75" customHeight="1" s="322">
      <c r="A271" s="267" t="n"/>
    </row>
    <row r="272" ht="12.75" customHeight="1" s="322">
      <c r="A272" s="267" t="n"/>
    </row>
    <row r="273" ht="12.75" customHeight="1" s="322">
      <c r="A273" s="267" t="n"/>
    </row>
    <row r="274" ht="12.75" customHeight="1" s="322">
      <c r="A274" s="267" t="n"/>
    </row>
    <row r="275" ht="12.75" customHeight="1" s="322">
      <c r="A275" s="267" t="n"/>
    </row>
    <row r="276" ht="12.75" customHeight="1" s="322">
      <c r="A276" s="267" t="n"/>
    </row>
    <row r="277" ht="12.75" customHeight="1" s="322">
      <c r="A277" s="267" t="n"/>
    </row>
    <row r="278" ht="12.75" customHeight="1" s="322">
      <c r="A278" s="267" t="n"/>
    </row>
    <row r="279" ht="12.75" customHeight="1" s="322">
      <c r="A279" s="267" t="n"/>
    </row>
    <row r="280" ht="12.75" customHeight="1" s="322">
      <c r="A280" s="267" t="n"/>
    </row>
    <row r="281" ht="12.75" customHeight="1" s="322">
      <c r="A281" s="267" t="n"/>
    </row>
    <row r="282" ht="12.75" customHeight="1" s="322">
      <c r="A282" s="267" t="n"/>
    </row>
    <row r="283" ht="12.75" customHeight="1" s="322">
      <c r="A283" s="267" t="n"/>
    </row>
    <row r="284" ht="12.75" customHeight="1" s="322">
      <c r="A284" s="267" t="n"/>
    </row>
    <row r="285" ht="12.75" customHeight="1" s="322">
      <c r="A285" s="267" t="n"/>
    </row>
    <row r="286" ht="12.75" customHeight="1" s="322">
      <c r="A286" s="267" t="n"/>
    </row>
    <row r="287" ht="12.75" customHeight="1" s="322">
      <c r="A287" s="267" t="n"/>
    </row>
    <row r="288" ht="12.75" customHeight="1" s="322">
      <c r="A288" s="267" t="n"/>
    </row>
    <row r="289" ht="12.75" customHeight="1" s="322">
      <c r="A289" s="267" t="n"/>
    </row>
    <row r="290" ht="12.75" customHeight="1" s="322">
      <c r="A290" s="267" t="n"/>
    </row>
    <row r="291" ht="12.75" customHeight="1" s="322">
      <c r="A291" s="267" t="n"/>
    </row>
    <row r="292" ht="12.75" customHeight="1" s="322">
      <c r="A292" s="267" t="n"/>
    </row>
    <row r="293" ht="12.75" customHeight="1" s="322">
      <c r="A293" s="267" t="n"/>
    </row>
    <row r="294" ht="12.75" customHeight="1" s="322">
      <c r="A294" s="267" t="n"/>
    </row>
    <row r="295" ht="12.75" customHeight="1" s="322">
      <c r="A295" s="267" t="n"/>
    </row>
    <row r="296" ht="12.75" customHeight="1" s="322">
      <c r="A296" s="267" t="n"/>
    </row>
    <row r="297" ht="12.75" customHeight="1" s="322">
      <c r="A297" s="267" t="n"/>
    </row>
    <row r="298" ht="12.75" customHeight="1" s="322">
      <c r="A298" s="267" t="n"/>
    </row>
    <row r="299" ht="12.75" customHeight="1" s="322">
      <c r="A299" s="267" t="n"/>
    </row>
    <row r="300" ht="12.75" customHeight="1" s="322">
      <c r="A300" s="267" t="n"/>
    </row>
    <row r="301" ht="12.75" customHeight="1" s="322">
      <c r="A301" s="267" t="n"/>
    </row>
    <row r="302" ht="12.75" customHeight="1" s="322">
      <c r="A302" s="267" t="n"/>
    </row>
    <row r="303" ht="12.75" customHeight="1" s="322">
      <c r="A303" s="267" t="n"/>
    </row>
    <row r="304" ht="12.75" customHeight="1" s="322">
      <c r="A304" s="267" t="n"/>
    </row>
    <row r="305" ht="12.75" customHeight="1" s="322">
      <c r="A305" s="267" t="n"/>
    </row>
    <row r="306" ht="12.75" customHeight="1" s="322">
      <c r="A306" s="267" t="n"/>
    </row>
    <row r="307" ht="12.75" customHeight="1" s="322">
      <c r="A307" s="267" t="n"/>
    </row>
    <row r="308" ht="12.75" customHeight="1" s="322">
      <c r="A308" s="267" t="n"/>
    </row>
    <row r="309" ht="12.75" customHeight="1" s="322">
      <c r="A309" s="267" t="n"/>
    </row>
    <row r="310" ht="12.75" customHeight="1" s="322">
      <c r="A310" s="267" t="n"/>
    </row>
    <row r="311" ht="12.75" customHeight="1" s="322">
      <c r="A311" s="267" t="n"/>
    </row>
    <row r="312" ht="12.75" customHeight="1" s="322">
      <c r="A312" s="267" t="n"/>
    </row>
    <row r="313" ht="12.75" customHeight="1" s="322">
      <c r="A313" s="267" t="n"/>
    </row>
    <row r="314" ht="12.75" customHeight="1" s="322">
      <c r="A314" s="267" t="n"/>
    </row>
    <row r="315" ht="12.75" customHeight="1" s="322">
      <c r="A315" s="267" t="n"/>
    </row>
    <row r="316" ht="12.75" customHeight="1" s="322">
      <c r="A316" s="267" t="n"/>
    </row>
    <row r="317" ht="12.75" customHeight="1" s="322">
      <c r="A317" s="267" t="n"/>
    </row>
    <row r="318" ht="12.75" customHeight="1" s="322">
      <c r="A318" s="267" t="n"/>
    </row>
    <row r="319" ht="12.75" customHeight="1" s="322">
      <c r="A319" s="267" t="n"/>
    </row>
    <row r="320" ht="12.75" customHeight="1" s="322">
      <c r="A320" s="267" t="n"/>
    </row>
    <row r="321" ht="12.75" customHeight="1" s="322">
      <c r="A321" s="267" t="n"/>
    </row>
    <row r="322" ht="12.75" customHeight="1" s="322">
      <c r="A322" s="267" t="n"/>
    </row>
    <row r="323" ht="12.75" customHeight="1" s="322">
      <c r="A323" s="267" t="n"/>
    </row>
    <row r="324" ht="12.75" customHeight="1" s="322">
      <c r="A324" s="267" t="n"/>
    </row>
    <row r="325" ht="12.75" customHeight="1" s="322">
      <c r="A325" s="267" t="n"/>
    </row>
    <row r="326" ht="12.75" customHeight="1" s="322">
      <c r="A326" s="267" t="n"/>
    </row>
    <row r="327" ht="12.75" customHeight="1" s="322">
      <c r="A327" s="267" t="n"/>
    </row>
    <row r="328" ht="12.75" customHeight="1" s="322">
      <c r="A328" s="267" t="n"/>
    </row>
    <row r="329" ht="12.75" customHeight="1" s="322">
      <c r="A329" s="267" t="n"/>
    </row>
    <row r="330" ht="12.75" customHeight="1" s="322">
      <c r="A330" s="267" t="n"/>
    </row>
    <row r="331" ht="12.75" customHeight="1" s="322">
      <c r="A331" s="267" t="n"/>
    </row>
    <row r="332" ht="12.75" customHeight="1" s="322">
      <c r="A332" s="267" t="n"/>
    </row>
    <row r="333" ht="12.75" customHeight="1" s="322">
      <c r="A333" s="267" t="n"/>
    </row>
    <row r="334" ht="12.75" customHeight="1" s="322">
      <c r="A334" s="267" t="n"/>
    </row>
    <row r="335" ht="12.75" customHeight="1" s="322">
      <c r="A335" s="267" t="n"/>
    </row>
    <row r="336" ht="12.75" customHeight="1" s="322">
      <c r="A336" s="267" t="n"/>
    </row>
    <row r="337" ht="12.75" customHeight="1" s="322">
      <c r="A337" s="267" t="n"/>
    </row>
    <row r="338" ht="12.75" customHeight="1" s="322">
      <c r="A338" s="267" t="n"/>
    </row>
    <row r="339" ht="12.75" customHeight="1" s="322">
      <c r="A339" s="267" t="n"/>
    </row>
    <row r="340" ht="12.75" customHeight="1" s="322">
      <c r="A340" s="267" t="n"/>
    </row>
    <row r="341" ht="12.75" customHeight="1" s="322">
      <c r="A341" s="267" t="n"/>
    </row>
    <row r="342" ht="12.75" customHeight="1" s="322">
      <c r="A342" s="267" t="n"/>
    </row>
    <row r="343" ht="12.75" customHeight="1" s="322">
      <c r="A343" s="267" t="n"/>
    </row>
    <row r="344" ht="12.75" customHeight="1" s="322">
      <c r="A344" s="267" t="n"/>
    </row>
    <row r="345" ht="12.75" customHeight="1" s="322">
      <c r="A345" s="267" t="n"/>
    </row>
    <row r="346" ht="12.75" customHeight="1" s="322">
      <c r="A346" s="267" t="n"/>
    </row>
    <row r="347" ht="12.75" customHeight="1" s="322">
      <c r="A347" s="267" t="n"/>
    </row>
    <row r="348" ht="12.75" customHeight="1" s="322">
      <c r="A348" s="267" t="n"/>
    </row>
    <row r="349" ht="12.75" customHeight="1" s="322">
      <c r="A349" s="267" t="n"/>
    </row>
    <row r="350" ht="12.75" customHeight="1" s="322">
      <c r="A350" s="267" t="n"/>
    </row>
    <row r="351" ht="12.75" customHeight="1" s="322">
      <c r="A351" s="267" t="n"/>
    </row>
    <row r="352" ht="12.75" customHeight="1" s="322">
      <c r="A352" s="267" t="n"/>
    </row>
    <row r="353" ht="12.75" customHeight="1" s="322">
      <c r="A353" s="267" t="n"/>
    </row>
    <row r="354" ht="12.75" customHeight="1" s="322">
      <c r="A354" s="267" t="n"/>
    </row>
    <row r="355" ht="12.75" customHeight="1" s="322">
      <c r="A355" s="267" t="n"/>
    </row>
    <row r="356" ht="12.75" customHeight="1" s="322">
      <c r="A356" s="267" t="n"/>
    </row>
    <row r="357" ht="12.75" customHeight="1" s="322">
      <c r="A357" s="267" t="n"/>
    </row>
    <row r="358" ht="12.75" customHeight="1" s="322">
      <c r="A358" s="267" t="n"/>
    </row>
    <row r="359" ht="12.75" customHeight="1" s="322">
      <c r="A359" s="267" t="n"/>
    </row>
    <row r="360" ht="12.75" customHeight="1" s="322">
      <c r="A360" s="267" t="n"/>
    </row>
    <row r="361" ht="12.75" customHeight="1" s="322">
      <c r="A361" s="267" t="n"/>
    </row>
    <row r="362" ht="12.75" customHeight="1" s="322">
      <c r="A362" s="267" t="n"/>
    </row>
    <row r="363" ht="12.75" customHeight="1" s="322">
      <c r="A363" s="267" t="n"/>
    </row>
    <row r="364" ht="12.75" customHeight="1" s="322">
      <c r="A364" s="267" t="n"/>
    </row>
    <row r="365" ht="12.75" customHeight="1" s="322">
      <c r="A365" s="267" t="n"/>
    </row>
    <row r="366" ht="12.75" customHeight="1" s="322">
      <c r="A366" s="267" t="n"/>
    </row>
    <row r="367" ht="12.75" customHeight="1" s="322">
      <c r="A367" s="267" t="n"/>
    </row>
    <row r="368" ht="12.75" customHeight="1" s="322">
      <c r="A368" s="267" t="n"/>
    </row>
    <row r="369" ht="12.75" customHeight="1" s="322">
      <c r="A369" s="267" t="n"/>
    </row>
    <row r="370" ht="12.75" customHeight="1" s="322">
      <c r="A370" s="267" t="n"/>
    </row>
    <row r="371" ht="12.75" customHeight="1" s="322">
      <c r="A371" s="267" t="n"/>
    </row>
    <row r="372" ht="12.75" customHeight="1" s="322">
      <c r="A372" s="267" t="n"/>
    </row>
    <row r="373" ht="12.75" customHeight="1" s="322">
      <c r="A373" s="267" t="n"/>
    </row>
    <row r="374" ht="12.75" customHeight="1" s="322">
      <c r="A374" s="267" t="n"/>
    </row>
    <row r="375" ht="12.75" customHeight="1" s="322">
      <c r="A375" s="267" t="n"/>
    </row>
    <row r="376" ht="12.75" customHeight="1" s="322">
      <c r="A376" s="267" t="n"/>
    </row>
    <row r="377" ht="12.75" customHeight="1" s="322">
      <c r="A377" s="267" t="n"/>
    </row>
    <row r="378" ht="12.75" customHeight="1" s="322">
      <c r="A378" s="267" t="n"/>
    </row>
    <row r="379" ht="12.75" customHeight="1" s="322">
      <c r="A379" s="267" t="n"/>
    </row>
    <row r="380" ht="12.75" customHeight="1" s="322">
      <c r="A380" s="267" t="n"/>
    </row>
    <row r="381" ht="12.75" customHeight="1" s="322">
      <c r="A381" s="267" t="n"/>
    </row>
    <row r="382" ht="12.75" customHeight="1" s="322">
      <c r="A382" s="267" t="n"/>
    </row>
    <row r="383" ht="12.75" customHeight="1" s="322">
      <c r="A383" s="267" t="n"/>
    </row>
    <row r="384" ht="12.75" customHeight="1" s="322">
      <c r="A384" s="267" t="n"/>
    </row>
    <row r="385" ht="12.75" customHeight="1" s="322">
      <c r="A385" s="267" t="n"/>
    </row>
    <row r="386" ht="12.75" customHeight="1" s="322">
      <c r="A386" s="267" t="n"/>
    </row>
    <row r="387" ht="12.75" customHeight="1" s="322">
      <c r="A387" s="267" t="n"/>
    </row>
    <row r="388" ht="12.75" customHeight="1" s="322">
      <c r="A388" s="267" t="n"/>
    </row>
    <row r="389" ht="12.75" customHeight="1" s="322">
      <c r="A389" s="267" t="n"/>
    </row>
    <row r="390" ht="12.75" customHeight="1" s="322">
      <c r="A390" s="267" t="n"/>
    </row>
    <row r="391" ht="12.75" customHeight="1" s="322">
      <c r="A391" s="267" t="n"/>
    </row>
    <row r="392" ht="12.75" customHeight="1" s="322">
      <c r="A392" s="267" t="n"/>
    </row>
    <row r="393" ht="12.75" customHeight="1" s="322">
      <c r="A393" s="267" t="n"/>
    </row>
    <row r="394" ht="12.75" customHeight="1" s="322">
      <c r="A394" s="267" t="n"/>
    </row>
    <row r="395" ht="12.75" customHeight="1" s="322">
      <c r="A395" s="267" t="n"/>
    </row>
    <row r="396" ht="12.75" customHeight="1" s="322">
      <c r="A396" s="267" t="n"/>
    </row>
    <row r="397" ht="12.75" customHeight="1" s="322">
      <c r="A397" s="267" t="n"/>
    </row>
    <row r="398" ht="12.75" customHeight="1" s="322">
      <c r="A398" s="267" t="n"/>
    </row>
    <row r="399" ht="12.75" customHeight="1" s="322">
      <c r="A399" s="267" t="n"/>
    </row>
    <row r="400" ht="12.75" customHeight="1" s="322">
      <c r="A400" s="267" t="n"/>
    </row>
    <row r="401" ht="12.75" customHeight="1" s="322">
      <c r="A401" s="267" t="n"/>
    </row>
    <row r="402" ht="12.75" customHeight="1" s="322">
      <c r="A402" s="267" t="n"/>
    </row>
    <row r="403" ht="12.75" customHeight="1" s="322">
      <c r="A403" s="267" t="n"/>
    </row>
    <row r="404" ht="12.75" customHeight="1" s="322">
      <c r="A404" s="267" t="n"/>
    </row>
    <row r="405" ht="12.75" customHeight="1" s="322">
      <c r="A405" s="267" t="n"/>
    </row>
    <row r="406" ht="12.75" customHeight="1" s="322">
      <c r="A406" s="267" t="n"/>
    </row>
    <row r="407" ht="12.75" customHeight="1" s="322">
      <c r="A407" s="267" t="n"/>
    </row>
    <row r="408" ht="12.75" customHeight="1" s="322">
      <c r="A408" s="267" t="n"/>
    </row>
    <row r="409" ht="12.75" customHeight="1" s="322">
      <c r="A409" s="267" t="n"/>
    </row>
    <row r="410" ht="12.75" customHeight="1" s="322">
      <c r="A410" s="267" t="n"/>
    </row>
    <row r="411" ht="12.75" customHeight="1" s="322">
      <c r="A411" s="267" t="n"/>
    </row>
    <row r="412" ht="12.75" customHeight="1" s="322">
      <c r="A412" s="267" t="n"/>
    </row>
    <row r="413" ht="12.75" customHeight="1" s="322">
      <c r="A413" s="267" t="n"/>
    </row>
    <row r="414" ht="12.75" customHeight="1" s="322">
      <c r="A414" s="267" t="n"/>
    </row>
    <row r="415" ht="12.75" customHeight="1" s="322">
      <c r="A415" s="267" t="n"/>
    </row>
    <row r="416" ht="12.75" customHeight="1" s="322">
      <c r="A416" s="267" t="n"/>
    </row>
    <row r="417" ht="12.75" customHeight="1" s="322">
      <c r="A417" s="267" t="n"/>
    </row>
    <row r="418" ht="12.75" customHeight="1" s="322">
      <c r="A418" s="267" t="n"/>
    </row>
    <row r="419" ht="12.75" customHeight="1" s="322">
      <c r="A419" s="267" t="n"/>
    </row>
    <row r="420" ht="12.75" customHeight="1" s="322">
      <c r="A420" s="267" t="n"/>
    </row>
    <row r="421" ht="12.75" customHeight="1" s="322">
      <c r="A421" s="267" t="n"/>
    </row>
    <row r="422" ht="12.75" customHeight="1" s="322">
      <c r="A422" s="267" t="n"/>
    </row>
    <row r="423" ht="12.75" customHeight="1" s="322">
      <c r="A423" s="267" t="n"/>
    </row>
    <row r="424" ht="12.75" customHeight="1" s="322">
      <c r="A424" s="267" t="n"/>
    </row>
    <row r="425" ht="12.75" customHeight="1" s="322">
      <c r="A425" s="267" t="n"/>
    </row>
    <row r="426" ht="12.75" customHeight="1" s="322">
      <c r="A426" s="267" t="n"/>
    </row>
    <row r="427" ht="12.75" customHeight="1" s="322">
      <c r="A427" s="267" t="n"/>
    </row>
    <row r="428" ht="12.75" customHeight="1" s="322">
      <c r="A428" s="267" t="n"/>
    </row>
    <row r="429" ht="12.75" customHeight="1" s="322">
      <c r="A429" s="267" t="n"/>
    </row>
    <row r="430" ht="12.75" customHeight="1" s="322">
      <c r="A430" s="267" t="n"/>
    </row>
    <row r="431" ht="12.75" customHeight="1" s="322">
      <c r="A431" s="267" t="n"/>
    </row>
    <row r="432" ht="12.75" customHeight="1" s="322">
      <c r="A432" s="267" t="n"/>
    </row>
    <row r="433" ht="12.75" customHeight="1" s="322">
      <c r="A433" s="267" t="n"/>
    </row>
    <row r="434" ht="12.75" customHeight="1" s="322">
      <c r="A434" s="267" t="n"/>
    </row>
    <row r="435" ht="12.75" customHeight="1" s="322">
      <c r="A435" s="267" t="n"/>
    </row>
    <row r="436" ht="12.75" customHeight="1" s="322">
      <c r="A436" s="267" t="n"/>
    </row>
    <row r="437" ht="12.75" customHeight="1" s="322">
      <c r="A437" s="267" t="n"/>
    </row>
    <row r="438" ht="12.75" customHeight="1" s="322">
      <c r="A438" s="267" t="n"/>
    </row>
    <row r="439" ht="12.75" customHeight="1" s="322">
      <c r="A439" s="267" t="n"/>
    </row>
    <row r="440" ht="12.75" customHeight="1" s="322">
      <c r="A440" s="267" t="n"/>
    </row>
    <row r="441" ht="12.75" customHeight="1" s="322">
      <c r="A441" s="267" t="n"/>
    </row>
    <row r="442" ht="12.75" customHeight="1" s="322">
      <c r="A442" s="267" t="n"/>
    </row>
    <row r="443" ht="12.75" customHeight="1" s="322">
      <c r="A443" s="267" t="n"/>
    </row>
    <row r="444" ht="12.75" customHeight="1" s="322">
      <c r="A444" s="267" t="n"/>
    </row>
    <row r="445" ht="12.75" customHeight="1" s="322">
      <c r="A445" s="267" t="n"/>
    </row>
    <row r="446" ht="12.75" customHeight="1" s="322">
      <c r="A446" s="267" t="n"/>
    </row>
    <row r="447" ht="12.75" customHeight="1" s="322">
      <c r="A447" s="267" t="n"/>
    </row>
    <row r="448" ht="12.75" customHeight="1" s="322">
      <c r="A448" s="267" t="n"/>
    </row>
    <row r="449" ht="12.75" customHeight="1" s="322">
      <c r="A449" s="267" t="n"/>
    </row>
    <row r="450" ht="12.75" customHeight="1" s="322">
      <c r="A450" s="267" t="n"/>
    </row>
    <row r="451" ht="12.75" customHeight="1" s="322">
      <c r="A451" s="267" t="n"/>
    </row>
    <row r="452" ht="12.75" customHeight="1" s="322">
      <c r="A452" s="267" t="n"/>
    </row>
    <row r="453" ht="12.75" customHeight="1" s="322">
      <c r="A453" s="267" t="n"/>
    </row>
    <row r="454" ht="12.75" customHeight="1" s="322">
      <c r="A454" s="267" t="n"/>
    </row>
    <row r="455" ht="12.75" customHeight="1" s="322">
      <c r="A455" s="267" t="n"/>
    </row>
    <row r="456" ht="12.75" customHeight="1" s="322">
      <c r="A456" s="267" t="n"/>
    </row>
    <row r="457" ht="12.75" customHeight="1" s="322">
      <c r="A457" s="267" t="n"/>
    </row>
    <row r="458" ht="12.75" customHeight="1" s="322">
      <c r="A458" s="267" t="n"/>
    </row>
    <row r="459" ht="12.75" customHeight="1" s="322">
      <c r="A459" s="267" t="n"/>
    </row>
    <row r="460" ht="12.75" customHeight="1" s="322">
      <c r="A460" s="267" t="n"/>
    </row>
    <row r="461" ht="12.75" customHeight="1" s="322">
      <c r="A461" s="267" t="n"/>
    </row>
    <row r="462" ht="12.75" customHeight="1" s="322">
      <c r="A462" s="267" t="n"/>
    </row>
    <row r="463" ht="12.75" customHeight="1" s="322">
      <c r="A463" s="267" t="n"/>
    </row>
    <row r="464" ht="12.75" customHeight="1" s="322">
      <c r="A464" s="267" t="n"/>
    </row>
    <row r="465" ht="12.75" customHeight="1" s="322">
      <c r="A465" s="267" t="n"/>
    </row>
    <row r="466" ht="12.75" customHeight="1" s="322">
      <c r="A466" s="267" t="n"/>
    </row>
    <row r="467" ht="12.75" customHeight="1" s="322">
      <c r="A467" s="267" t="n"/>
    </row>
    <row r="468" ht="12.75" customHeight="1" s="322">
      <c r="A468" s="267" t="n"/>
    </row>
    <row r="469" ht="12.75" customHeight="1" s="322">
      <c r="A469" s="267" t="n"/>
    </row>
    <row r="470" ht="12.75" customHeight="1" s="322">
      <c r="A470" s="267" t="n"/>
    </row>
    <row r="471" ht="12.75" customHeight="1" s="322">
      <c r="A471" s="267" t="n"/>
    </row>
    <row r="472" ht="12.75" customHeight="1" s="322">
      <c r="A472" s="267" t="n"/>
    </row>
    <row r="473" ht="12.75" customHeight="1" s="322">
      <c r="A473" s="267" t="n"/>
    </row>
    <row r="474" ht="12.75" customHeight="1" s="322">
      <c r="A474" s="267" t="n"/>
    </row>
    <row r="475" ht="12.75" customHeight="1" s="322">
      <c r="A475" s="267" t="n"/>
    </row>
    <row r="476" ht="12.75" customHeight="1" s="322">
      <c r="A476" s="267" t="n"/>
    </row>
    <row r="477" ht="12.75" customHeight="1" s="322">
      <c r="A477" s="267" t="n"/>
    </row>
    <row r="478" ht="12.75" customHeight="1" s="322">
      <c r="A478" s="267" t="n"/>
    </row>
    <row r="479" ht="12.75" customHeight="1" s="322">
      <c r="A479" s="267" t="n"/>
    </row>
    <row r="480" ht="12.75" customHeight="1" s="322">
      <c r="A480" s="267" t="n"/>
    </row>
    <row r="481" ht="12.75" customHeight="1" s="322">
      <c r="A481" s="267" t="n"/>
    </row>
    <row r="482" ht="12.75" customHeight="1" s="322">
      <c r="A482" s="267" t="n"/>
    </row>
    <row r="483" ht="12.75" customHeight="1" s="322">
      <c r="A483" s="267" t="n"/>
    </row>
    <row r="484" ht="12.75" customHeight="1" s="322">
      <c r="A484" s="267" t="n"/>
    </row>
    <row r="485" ht="12.75" customHeight="1" s="322">
      <c r="A485" s="267" t="n"/>
    </row>
    <row r="486" ht="12.75" customHeight="1" s="322">
      <c r="A486" s="267" t="n"/>
    </row>
    <row r="487" ht="12.75" customHeight="1" s="322">
      <c r="A487" s="267" t="n"/>
    </row>
    <row r="488" ht="12.75" customHeight="1" s="322">
      <c r="A488" s="267" t="n"/>
    </row>
    <row r="489" ht="12.75" customHeight="1" s="322">
      <c r="A489" s="267" t="n"/>
    </row>
    <row r="490" ht="12.75" customHeight="1" s="322">
      <c r="A490" s="267" t="n"/>
    </row>
    <row r="491" ht="12.75" customHeight="1" s="322">
      <c r="A491" s="267" t="n"/>
    </row>
    <row r="492" ht="12.75" customHeight="1" s="322">
      <c r="A492" s="267" t="n"/>
    </row>
    <row r="493" ht="12.75" customHeight="1" s="322">
      <c r="A493" s="267" t="n"/>
    </row>
    <row r="494" ht="12.75" customHeight="1" s="322">
      <c r="A494" s="267" t="n"/>
    </row>
    <row r="495" ht="12.75" customHeight="1" s="322">
      <c r="A495" s="267" t="n"/>
    </row>
    <row r="496" ht="12.75" customHeight="1" s="322">
      <c r="A496" s="267" t="n"/>
    </row>
    <row r="497" ht="12.75" customHeight="1" s="322">
      <c r="A497" s="267" t="n"/>
    </row>
    <row r="498" ht="12.75" customHeight="1" s="322">
      <c r="A498" s="267" t="n"/>
    </row>
    <row r="499" ht="12.75" customHeight="1" s="322">
      <c r="A499" s="267" t="n"/>
    </row>
    <row r="500" ht="12.75" customHeight="1" s="322">
      <c r="A500" s="267" t="n"/>
    </row>
    <row r="501" ht="12.75" customHeight="1" s="322">
      <c r="A501" s="267" t="n"/>
    </row>
    <row r="502" ht="12.75" customHeight="1" s="322">
      <c r="A502" s="267" t="n"/>
    </row>
    <row r="503" ht="12.75" customHeight="1" s="322">
      <c r="A503" s="267" t="n"/>
    </row>
    <row r="504" ht="12.75" customHeight="1" s="322">
      <c r="A504" s="267" t="n"/>
    </row>
    <row r="505" ht="12.75" customHeight="1" s="322">
      <c r="A505" s="267" t="n"/>
    </row>
    <row r="506" ht="12.75" customHeight="1" s="322">
      <c r="A506" s="267" t="n"/>
    </row>
    <row r="507" ht="12.75" customHeight="1" s="322">
      <c r="A507" s="267" t="n"/>
    </row>
    <row r="508" ht="12.75" customHeight="1" s="322">
      <c r="A508" s="267" t="n"/>
    </row>
    <row r="509" ht="12.75" customHeight="1" s="322">
      <c r="A509" s="267" t="n"/>
    </row>
    <row r="510" ht="12.75" customHeight="1" s="322">
      <c r="A510" s="267" t="n"/>
    </row>
    <row r="511" ht="12.75" customHeight="1" s="322">
      <c r="A511" s="267" t="n"/>
    </row>
    <row r="512" ht="12.75" customHeight="1" s="322">
      <c r="A512" s="267" t="n"/>
    </row>
    <row r="513" ht="12.75" customHeight="1" s="322">
      <c r="A513" s="267" t="n"/>
    </row>
    <row r="514" ht="12.75" customHeight="1" s="322">
      <c r="A514" s="267" t="n"/>
    </row>
    <row r="515" ht="12.75" customHeight="1" s="322">
      <c r="A515" s="267" t="n"/>
    </row>
    <row r="516" ht="12.75" customHeight="1" s="322">
      <c r="A516" s="267" t="n"/>
    </row>
    <row r="517" ht="12.75" customHeight="1" s="322">
      <c r="A517" s="267" t="n"/>
    </row>
    <row r="518" ht="12.75" customHeight="1" s="322">
      <c r="A518" s="267" t="n"/>
    </row>
    <row r="519" ht="12.75" customHeight="1" s="322">
      <c r="A519" s="267" t="n"/>
    </row>
    <row r="520" ht="12.75" customHeight="1" s="322">
      <c r="A520" s="267" t="n"/>
    </row>
    <row r="521" ht="12.75" customHeight="1" s="322">
      <c r="A521" s="267" t="n"/>
    </row>
    <row r="522" ht="12.75" customHeight="1" s="322">
      <c r="A522" s="267" t="n"/>
    </row>
    <row r="523" ht="12.75" customHeight="1" s="322">
      <c r="A523" s="267" t="n"/>
    </row>
    <row r="524" ht="12.75" customHeight="1" s="322">
      <c r="A524" s="267" t="n"/>
    </row>
    <row r="525" ht="12.75" customHeight="1" s="322">
      <c r="A525" s="267" t="n"/>
    </row>
    <row r="526" ht="12.75" customHeight="1" s="322">
      <c r="A526" s="267" t="n"/>
    </row>
    <row r="527" ht="12.75" customHeight="1" s="322">
      <c r="A527" s="267" t="n"/>
    </row>
    <row r="528" ht="12.75" customHeight="1" s="322">
      <c r="A528" s="267" t="n"/>
    </row>
    <row r="529" ht="12.75" customHeight="1" s="322">
      <c r="A529" s="267" t="n"/>
    </row>
    <row r="530" ht="12.75" customHeight="1" s="322">
      <c r="A530" s="267" t="n"/>
    </row>
    <row r="531" ht="12.75" customHeight="1" s="322">
      <c r="A531" s="267" t="n"/>
    </row>
    <row r="532" ht="12.75" customHeight="1" s="322">
      <c r="A532" s="267" t="n"/>
    </row>
    <row r="533" ht="12.75" customHeight="1" s="322">
      <c r="A533" s="267" t="n"/>
    </row>
    <row r="534" ht="12.75" customHeight="1" s="322">
      <c r="A534" s="267" t="n"/>
    </row>
    <row r="535" ht="12.75" customHeight="1" s="322">
      <c r="A535" s="267" t="n"/>
    </row>
    <row r="536" ht="12.75" customHeight="1" s="322">
      <c r="A536" s="267" t="n"/>
    </row>
    <row r="537" ht="12.75" customHeight="1" s="322">
      <c r="A537" s="267" t="n"/>
    </row>
    <row r="538" ht="12.75" customHeight="1" s="322">
      <c r="A538" s="267" t="n"/>
    </row>
    <row r="539" ht="12.75" customHeight="1" s="322">
      <c r="A539" s="267" t="n"/>
    </row>
    <row r="540" ht="12.75" customHeight="1" s="322">
      <c r="A540" s="267" t="n"/>
    </row>
    <row r="541" ht="12.75" customHeight="1" s="322">
      <c r="A541" s="267" t="n"/>
    </row>
    <row r="542" ht="12.75" customHeight="1" s="322">
      <c r="A542" s="267" t="n"/>
    </row>
    <row r="543" ht="12.75" customHeight="1" s="322">
      <c r="A543" s="267" t="n"/>
    </row>
    <row r="544" ht="12.75" customHeight="1" s="322">
      <c r="A544" s="267" t="n"/>
    </row>
    <row r="545" ht="12.75" customHeight="1" s="322">
      <c r="A545" s="267" t="n"/>
    </row>
    <row r="546" ht="12.75" customHeight="1" s="322">
      <c r="A546" s="267" t="n"/>
    </row>
    <row r="547" ht="12.75" customHeight="1" s="322">
      <c r="A547" s="267" t="n"/>
    </row>
    <row r="548" ht="12.75" customHeight="1" s="322">
      <c r="A548" s="267" t="n"/>
    </row>
    <row r="549" ht="12.75" customHeight="1" s="322">
      <c r="A549" s="267" t="n"/>
    </row>
    <row r="550" ht="12.75" customHeight="1" s="322">
      <c r="A550" s="267" t="n"/>
    </row>
    <row r="551" ht="12.75" customHeight="1" s="322">
      <c r="A551" s="267" t="n"/>
    </row>
    <row r="552" ht="12.75" customHeight="1" s="322">
      <c r="A552" s="267" t="n"/>
    </row>
    <row r="553" ht="12.75" customHeight="1" s="322">
      <c r="A553" s="267" t="n"/>
    </row>
    <row r="554" ht="12.75" customHeight="1" s="322">
      <c r="A554" s="267" t="n"/>
    </row>
    <row r="555" ht="12.75" customHeight="1" s="322">
      <c r="A555" s="267" t="n"/>
    </row>
    <row r="556" ht="12.75" customHeight="1" s="322">
      <c r="A556" s="267" t="n"/>
    </row>
    <row r="557" ht="12.75" customHeight="1" s="322">
      <c r="A557" s="267" t="n"/>
    </row>
    <row r="558" ht="12.75" customHeight="1" s="322">
      <c r="A558" s="267" t="n"/>
    </row>
    <row r="559" ht="12.75" customHeight="1" s="322">
      <c r="A559" s="267" t="n"/>
    </row>
    <row r="560" ht="12.75" customHeight="1" s="322">
      <c r="A560" s="267" t="n"/>
    </row>
    <row r="561" ht="12.75" customHeight="1" s="322">
      <c r="A561" s="267" t="n"/>
    </row>
    <row r="562" ht="12.75" customHeight="1" s="322">
      <c r="A562" s="267" t="n"/>
    </row>
    <row r="563" ht="12.75" customHeight="1" s="322">
      <c r="A563" s="267" t="n"/>
    </row>
    <row r="564" ht="12.75" customHeight="1" s="322">
      <c r="A564" s="267" t="n"/>
    </row>
    <row r="565" ht="12.75" customHeight="1" s="322">
      <c r="A565" s="267" t="n"/>
    </row>
    <row r="566" ht="12.75" customHeight="1" s="322">
      <c r="A566" s="267" t="n"/>
    </row>
    <row r="567" ht="12.75" customHeight="1" s="322">
      <c r="A567" s="267" t="n"/>
    </row>
    <row r="568" ht="12.75" customHeight="1" s="322">
      <c r="A568" s="267" t="n"/>
    </row>
    <row r="569" ht="12.75" customHeight="1" s="322">
      <c r="A569" s="267" t="n"/>
    </row>
    <row r="570" ht="12.75" customHeight="1" s="322">
      <c r="A570" s="267" t="n"/>
    </row>
    <row r="571" ht="12.75" customHeight="1" s="322">
      <c r="A571" s="267" t="n"/>
    </row>
    <row r="572" ht="12.75" customHeight="1" s="322">
      <c r="A572" s="267" t="n"/>
    </row>
    <row r="573" ht="12.75" customHeight="1" s="322">
      <c r="A573" s="267" t="n"/>
    </row>
    <row r="574" ht="12.75" customHeight="1" s="322">
      <c r="A574" s="267" t="n"/>
    </row>
    <row r="575" ht="12.75" customHeight="1" s="322">
      <c r="A575" s="267" t="n"/>
    </row>
    <row r="576" ht="12.75" customHeight="1" s="322">
      <c r="A576" s="267" t="n"/>
    </row>
    <row r="577" ht="12.75" customHeight="1" s="322">
      <c r="A577" s="267" t="n"/>
    </row>
    <row r="578" ht="12.75" customHeight="1" s="322">
      <c r="A578" s="267" t="n"/>
    </row>
    <row r="579" ht="12.75" customHeight="1" s="322">
      <c r="A579" s="267" t="n"/>
    </row>
    <row r="580" ht="12.75" customHeight="1" s="322">
      <c r="A580" s="267" t="n"/>
    </row>
    <row r="581" ht="12.75" customHeight="1" s="322">
      <c r="A581" s="267" t="n"/>
    </row>
    <row r="582" ht="12.75" customHeight="1" s="322">
      <c r="A582" s="267" t="n"/>
    </row>
    <row r="583" ht="12.75" customHeight="1" s="322">
      <c r="A583" s="267" t="n"/>
    </row>
    <row r="584" ht="12.75" customHeight="1" s="322">
      <c r="A584" s="267" t="n"/>
    </row>
    <row r="585" ht="12.75" customHeight="1" s="322">
      <c r="A585" s="267" t="n"/>
    </row>
    <row r="586" ht="12.75" customHeight="1" s="322">
      <c r="A586" s="267" t="n"/>
    </row>
    <row r="587" ht="12.75" customHeight="1" s="322">
      <c r="A587" s="267" t="n"/>
    </row>
    <row r="588" ht="12.75" customHeight="1" s="322">
      <c r="A588" s="267" t="n"/>
    </row>
    <row r="589" ht="12.75" customHeight="1" s="322">
      <c r="A589" s="267" t="n"/>
    </row>
    <row r="590" ht="12.75" customHeight="1" s="322">
      <c r="A590" s="267" t="n"/>
    </row>
    <row r="591" ht="12.75" customHeight="1" s="322">
      <c r="A591" s="267" t="n"/>
    </row>
    <row r="592" ht="12.75" customHeight="1" s="322">
      <c r="A592" s="267" t="n"/>
    </row>
    <row r="593" ht="12.75" customHeight="1" s="322">
      <c r="A593" s="267" t="n"/>
    </row>
    <row r="594" ht="12.75" customHeight="1" s="322">
      <c r="A594" s="267" t="n"/>
    </row>
    <row r="595" ht="12.75" customHeight="1" s="322">
      <c r="A595" s="267" t="n"/>
    </row>
    <row r="596" ht="12.75" customHeight="1" s="322">
      <c r="A596" s="267" t="n"/>
    </row>
    <row r="597" ht="12.75" customHeight="1" s="322">
      <c r="A597" s="267" t="n"/>
    </row>
    <row r="598" ht="12.75" customHeight="1" s="322">
      <c r="A598" s="267" t="n"/>
    </row>
    <row r="599" ht="12.75" customHeight="1" s="322">
      <c r="A599" s="267" t="n"/>
    </row>
    <row r="600" ht="12.75" customHeight="1" s="322">
      <c r="A600" s="267" t="n"/>
    </row>
    <row r="601" ht="12.75" customHeight="1" s="322">
      <c r="A601" s="267" t="n"/>
    </row>
    <row r="602" ht="12.75" customHeight="1" s="322">
      <c r="A602" s="267" t="n"/>
    </row>
    <row r="603" ht="12.75" customHeight="1" s="322">
      <c r="A603" s="267" t="n"/>
    </row>
    <row r="604" ht="12.75" customHeight="1" s="322">
      <c r="A604" s="267" t="n"/>
    </row>
    <row r="605" ht="12.75" customHeight="1" s="322">
      <c r="A605" s="267" t="n"/>
    </row>
    <row r="606" ht="12.75" customHeight="1" s="322">
      <c r="A606" s="267" t="n"/>
    </row>
    <row r="607" ht="12.75" customHeight="1" s="322">
      <c r="A607" s="267" t="n"/>
    </row>
    <row r="608" ht="12.75" customHeight="1" s="322">
      <c r="A608" s="267" t="n"/>
    </row>
    <row r="609" ht="12.75" customHeight="1" s="322">
      <c r="A609" s="267" t="n"/>
    </row>
    <row r="610" ht="12.75" customHeight="1" s="322">
      <c r="A610" s="267" t="n"/>
    </row>
    <row r="611" ht="12.75" customHeight="1" s="322">
      <c r="A611" s="267" t="n"/>
    </row>
    <row r="612" ht="12.75" customHeight="1" s="322">
      <c r="A612" s="267" t="n"/>
    </row>
    <row r="613" ht="12.75" customHeight="1" s="322">
      <c r="A613" s="267" t="n"/>
    </row>
    <row r="614" ht="12.75" customHeight="1" s="322">
      <c r="A614" s="267" t="n"/>
    </row>
    <row r="615" ht="12.75" customHeight="1" s="322">
      <c r="A615" s="267" t="n"/>
    </row>
    <row r="616" ht="12.75" customHeight="1" s="322">
      <c r="A616" s="267" t="n"/>
    </row>
    <row r="617" ht="12.75" customHeight="1" s="322">
      <c r="A617" s="267" t="n"/>
    </row>
    <row r="618" ht="12.75" customHeight="1" s="322">
      <c r="A618" s="267" t="n"/>
    </row>
    <row r="619" ht="12.75" customHeight="1" s="322">
      <c r="A619" s="267" t="n"/>
    </row>
    <row r="620" ht="12.75" customHeight="1" s="322">
      <c r="A620" s="267" t="n"/>
    </row>
    <row r="621" ht="12.75" customHeight="1" s="322">
      <c r="A621" s="267" t="n"/>
    </row>
    <row r="622" ht="12.75" customHeight="1" s="322">
      <c r="A622" s="267" t="n"/>
    </row>
    <row r="623" ht="12.75" customHeight="1" s="322">
      <c r="A623" s="267" t="n"/>
    </row>
    <row r="624" ht="12.75" customHeight="1" s="322">
      <c r="A624" s="267" t="n"/>
    </row>
    <row r="625" ht="12.75" customHeight="1" s="322">
      <c r="A625" s="267" t="n"/>
    </row>
    <row r="626" ht="12.75" customHeight="1" s="322">
      <c r="A626" s="267" t="n"/>
    </row>
    <row r="627" ht="12.75" customHeight="1" s="322">
      <c r="A627" s="267" t="n"/>
    </row>
    <row r="628" ht="12.75" customHeight="1" s="322">
      <c r="A628" s="267" t="n"/>
    </row>
    <row r="629" ht="12.75" customHeight="1" s="322">
      <c r="A629" s="267" t="n"/>
    </row>
    <row r="630" ht="12.75" customHeight="1" s="322">
      <c r="A630" s="267" t="n"/>
    </row>
    <row r="631" ht="12.75" customHeight="1" s="322">
      <c r="A631" s="267" t="n"/>
    </row>
    <row r="632" ht="12.75" customHeight="1" s="322">
      <c r="A632" s="267" t="n"/>
    </row>
    <row r="633" ht="12.75" customHeight="1" s="322">
      <c r="A633" s="267" t="n"/>
    </row>
    <row r="634" ht="12.75" customHeight="1" s="322">
      <c r="A634" s="267" t="n"/>
    </row>
    <row r="635" ht="12.75" customHeight="1" s="322">
      <c r="A635" s="267" t="n"/>
    </row>
    <row r="636" ht="12.75" customHeight="1" s="322">
      <c r="A636" s="267" t="n"/>
    </row>
    <row r="637" ht="12.75" customHeight="1" s="322">
      <c r="A637" s="267" t="n"/>
    </row>
    <row r="638" ht="12.75" customHeight="1" s="322">
      <c r="A638" s="267" t="n"/>
    </row>
    <row r="639" ht="12.75" customHeight="1" s="322">
      <c r="A639" s="267" t="n"/>
    </row>
    <row r="640" ht="12.75" customHeight="1" s="322">
      <c r="A640" s="267" t="n"/>
    </row>
    <row r="641" ht="12.75" customHeight="1" s="322">
      <c r="A641" s="267" t="n"/>
    </row>
    <row r="642" ht="12.75" customHeight="1" s="322">
      <c r="A642" s="267" t="n"/>
    </row>
    <row r="643" ht="12.75" customHeight="1" s="322">
      <c r="A643" s="267" t="n"/>
    </row>
    <row r="644" ht="12.75" customHeight="1" s="322">
      <c r="A644" s="267" t="n"/>
    </row>
    <row r="645" ht="12.75" customHeight="1" s="322">
      <c r="A645" s="267" t="n"/>
    </row>
    <row r="646" ht="12.75" customHeight="1" s="322">
      <c r="A646" s="267" t="n"/>
    </row>
    <row r="647" ht="12.75" customHeight="1" s="322">
      <c r="A647" s="267" t="n"/>
    </row>
    <row r="648" ht="12.75" customHeight="1" s="322">
      <c r="A648" s="267" t="n"/>
    </row>
    <row r="649" ht="12.75" customHeight="1" s="322">
      <c r="A649" s="267" t="n"/>
    </row>
    <row r="650" ht="12.75" customHeight="1" s="322">
      <c r="A650" s="267" t="n"/>
    </row>
    <row r="651" ht="12.75" customHeight="1" s="322">
      <c r="A651" s="267" t="n"/>
    </row>
    <row r="652" ht="12.75" customHeight="1" s="322">
      <c r="A652" s="267" t="n"/>
    </row>
    <row r="653" ht="12.75" customHeight="1" s="322">
      <c r="A653" s="267" t="n"/>
    </row>
    <row r="654" ht="12.75" customHeight="1" s="322">
      <c r="A654" s="267" t="n"/>
    </row>
    <row r="655" ht="12.75" customHeight="1" s="322">
      <c r="A655" s="267" t="n"/>
    </row>
    <row r="656" ht="12.75" customHeight="1" s="322">
      <c r="A656" s="267" t="n"/>
    </row>
    <row r="657" ht="12.75" customHeight="1" s="322">
      <c r="A657" s="267" t="n"/>
    </row>
    <row r="658" ht="12.75" customHeight="1" s="322">
      <c r="A658" s="267" t="n"/>
    </row>
    <row r="659" ht="12.75" customHeight="1" s="322">
      <c r="A659" s="267" t="n"/>
    </row>
    <row r="660" ht="12.75" customHeight="1" s="322">
      <c r="A660" s="267" t="n"/>
    </row>
    <row r="661" ht="12.75" customHeight="1" s="322">
      <c r="A661" s="267" t="n"/>
    </row>
    <row r="662" ht="12.75" customHeight="1" s="322">
      <c r="A662" s="267" t="n"/>
    </row>
    <row r="663" ht="12.75" customHeight="1" s="322">
      <c r="A663" s="267" t="n"/>
    </row>
    <row r="664" ht="12.75" customHeight="1" s="322">
      <c r="A664" s="267" t="n"/>
    </row>
    <row r="665" ht="12.75" customHeight="1" s="322">
      <c r="A665" s="267" t="n"/>
    </row>
    <row r="666" ht="12.75" customHeight="1" s="322">
      <c r="A666" s="267" t="n"/>
    </row>
    <row r="667" ht="12.75" customHeight="1" s="322">
      <c r="A667" s="267" t="n"/>
    </row>
    <row r="668" ht="12.75" customHeight="1" s="322">
      <c r="A668" s="267" t="n"/>
    </row>
    <row r="669" ht="12.75" customHeight="1" s="322">
      <c r="A669" s="267" t="n"/>
    </row>
    <row r="670" ht="12.75" customHeight="1" s="322">
      <c r="A670" s="267" t="n"/>
    </row>
    <row r="671" ht="12.75" customHeight="1" s="322">
      <c r="A671" s="267" t="n"/>
    </row>
    <row r="672" ht="12.75" customHeight="1" s="322">
      <c r="A672" s="267" t="n"/>
    </row>
    <row r="673" ht="12.75" customHeight="1" s="322">
      <c r="A673" s="267" t="n"/>
    </row>
    <row r="674" ht="12.75" customHeight="1" s="322">
      <c r="A674" s="267" t="n"/>
    </row>
    <row r="675" ht="12.75" customHeight="1" s="322">
      <c r="A675" s="267" t="n"/>
    </row>
    <row r="676" ht="12.75" customHeight="1" s="322">
      <c r="A676" s="267" t="n"/>
    </row>
    <row r="677" ht="12.75" customHeight="1" s="322">
      <c r="A677" s="267" t="n"/>
    </row>
    <row r="678" ht="12.75" customHeight="1" s="322">
      <c r="A678" s="267" t="n"/>
    </row>
    <row r="679" ht="12.75" customHeight="1" s="322">
      <c r="A679" s="267" t="n"/>
    </row>
    <row r="680" ht="12.75" customHeight="1" s="322">
      <c r="A680" s="267" t="n"/>
    </row>
    <row r="681" ht="12.75" customHeight="1" s="322">
      <c r="A681" s="267" t="n"/>
    </row>
    <row r="682" ht="12.75" customHeight="1" s="322">
      <c r="A682" s="267" t="n"/>
    </row>
    <row r="683" ht="12.75" customHeight="1" s="322">
      <c r="A683" s="267" t="n"/>
    </row>
    <row r="684" ht="12.75" customHeight="1" s="322">
      <c r="A684" s="267" t="n"/>
    </row>
    <row r="685" ht="12.75" customHeight="1" s="322">
      <c r="A685" s="267" t="n"/>
    </row>
    <row r="686" ht="12.75" customHeight="1" s="322">
      <c r="A686" s="267" t="n"/>
    </row>
    <row r="687" ht="12.75" customHeight="1" s="322">
      <c r="A687" s="267" t="n"/>
    </row>
    <row r="688" ht="12.75" customHeight="1" s="322">
      <c r="A688" s="267" t="n"/>
    </row>
    <row r="689" ht="12.75" customHeight="1" s="322">
      <c r="A689" s="267" t="n"/>
    </row>
    <row r="690" ht="12.75" customHeight="1" s="322">
      <c r="A690" s="267" t="n"/>
    </row>
    <row r="691" ht="12.75" customHeight="1" s="322">
      <c r="A691" s="267" t="n"/>
    </row>
    <row r="692" ht="12.75" customHeight="1" s="322">
      <c r="A692" s="267" t="n"/>
    </row>
    <row r="693" ht="12.75" customHeight="1" s="322">
      <c r="A693" s="267" t="n"/>
    </row>
    <row r="694" ht="12.75" customHeight="1" s="322">
      <c r="A694" s="267" t="n"/>
    </row>
    <row r="695" ht="12.75" customHeight="1" s="322">
      <c r="A695" s="267" t="n"/>
    </row>
    <row r="696" ht="12.75" customHeight="1" s="322">
      <c r="A696" s="267" t="n"/>
    </row>
    <row r="697" ht="12.75" customHeight="1" s="322">
      <c r="A697" s="267" t="n"/>
    </row>
    <row r="698" ht="12.75" customHeight="1" s="322">
      <c r="A698" s="267" t="n"/>
    </row>
    <row r="699" ht="12.75" customHeight="1" s="322">
      <c r="A699" s="267" t="n"/>
    </row>
    <row r="700" ht="12.75" customHeight="1" s="322">
      <c r="A700" s="267" t="n"/>
    </row>
    <row r="701" ht="12.75" customHeight="1" s="322">
      <c r="A701" s="267" t="n"/>
    </row>
    <row r="702" ht="12.75" customHeight="1" s="322">
      <c r="A702" s="267" t="n"/>
    </row>
    <row r="703" ht="12.75" customHeight="1" s="322">
      <c r="A703" s="267" t="n"/>
    </row>
    <row r="704" ht="12.75" customHeight="1" s="322">
      <c r="A704" s="267" t="n"/>
    </row>
    <row r="705" ht="12.75" customHeight="1" s="322">
      <c r="A705" s="267" t="n"/>
    </row>
    <row r="706" ht="12.75" customHeight="1" s="322">
      <c r="A706" s="267" t="n"/>
    </row>
    <row r="707" ht="12.75" customHeight="1" s="322">
      <c r="A707" s="267" t="n"/>
    </row>
    <row r="708" ht="12.75" customHeight="1" s="322">
      <c r="A708" s="267" t="n"/>
    </row>
    <row r="709" ht="12.75" customHeight="1" s="322">
      <c r="A709" s="267" t="n"/>
    </row>
    <row r="710" ht="12.75" customHeight="1" s="322">
      <c r="A710" s="267" t="n"/>
    </row>
    <row r="711" ht="12.75" customHeight="1" s="322">
      <c r="A711" s="267" t="n"/>
    </row>
    <row r="712" ht="12.75" customHeight="1" s="322">
      <c r="A712" s="267" t="n"/>
    </row>
    <row r="713" ht="12.75" customHeight="1" s="322">
      <c r="A713" s="267" t="n"/>
    </row>
    <row r="714" ht="12.75" customHeight="1" s="322">
      <c r="A714" s="267" t="n"/>
    </row>
    <row r="715" ht="12.75" customHeight="1" s="322">
      <c r="A715" s="267" t="n"/>
    </row>
    <row r="716" ht="12.75" customHeight="1" s="322">
      <c r="A716" s="267" t="n"/>
    </row>
    <row r="717" ht="12.75" customHeight="1" s="322">
      <c r="A717" s="267" t="n"/>
    </row>
    <row r="718" ht="12.75" customHeight="1" s="322">
      <c r="A718" s="267" t="n"/>
    </row>
    <row r="719" ht="12.75" customHeight="1" s="322">
      <c r="A719" s="267" t="n"/>
    </row>
    <row r="720" ht="12.75" customHeight="1" s="322">
      <c r="A720" s="267" t="n"/>
    </row>
    <row r="721" ht="12.75" customHeight="1" s="322">
      <c r="A721" s="267" t="n"/>
    </row>
    <row r="722" ht="12.75" customHeight="1" s="322">
      <c r="A722" s="267" t="n"/>
    </row>
    <row r="723" ht="12.75" customHeight="1" s="322">
      <c r="A723" s="267" t="n"/>
    </row>
    <row r="724" ht="12.75" customHeight="1" s="322">
      <c r="A724" s="267" t="n"/>
    </row>
    <row r="725" ht="12.75" customHeight="1" s="322">
      <c r="A725" s="267" t="n"/>
    </row>
    <row r="726" ht="12.75" customHeight="1" s="322">
      <c r="A726" s="267" t="n"/>
    </row>
    <row r="727" ht="12.75" customHeight="1" s="322">
      <c r="A727" s="267" t="n"/>
    </row>
    <row r="728" ht="12.75" customHeight="1" s="322">
      <c r="A728" s="267" t="n"/>
    </row>
    <row r="729" ht="12.75" customHeight="1" s="322">
      <c r="A729" s="267" t="n"/>
    </row>
    <row r="730" ht="12.75" customHeight="1" s="322">
      <c r="A730" s="267" t="n"/>
    </row>
    <row r="731" ht="12.75" customHeight="1" s="322">
      <c r="A731" s="267" t="n"/>
    </row>
    <row r="732" ht="12.75" customHeight="1" s="322">
      <c r="A732" s="267" t="n"/>
    </row>
    <row r="733" ht="12.75" customHeight="1" s="322">
      <c r="A733" s="267" t="n"/>
    </row>
    <row r="734" ht="12.75" customHeight="1" s="322">
      <c r="A734" s="267" t="n"/>
    </row>
    <row r="735" ht="12.75" customHeight="1" s="322">
      <c r="A735" s="267" t="n"/>
    </row>
    <row r="736" ht="12.75" customHeight="1" s="322">
      <c r="A736" s="267" t="n"/>
    </row>
    <row r="737" ht="12.75" customHeight="1" s="322">
      <c r="A737" s="267" t="n"/>
    </row>
    <row r="738" ht="12.75" customHeight="1" s="322">
      <c r="A738" s="267" t="n"/>
    </row>
    <row r="739" ht="12.75" customHeight="1" s="322">
      <c r="A739" s="267" t="n"/>
    </row>
    <row r="740" ht="12.75" customHeight="1" s="322">
      <c r="A740" s="267" t="n"/>
    </row>
    <row r="741" ht="12.75" customHeight="1" s="322">
      <c r="A741" s="267" t="n"/>
    </row>
    <row r="742" ht="12.75" customHeight="1" s="322">
      <c r="A742" s="267" t="n"/>
    </row>
    <row r="743" ht="12.75" customHeight="1" s="322">
      <c r="A743" s="267" t="n"/>
    </row>
    <row r="744" ht="12.75" customHeight="1" s="322">
      <c r="A744" s="267" t="n"/>
    </row>
    <row r="745" ht="12.75" customHeight="1" s="322">
      <c r="A745" s="267" t="n"/>
    </row>
    <row r="746" ht="12.75" customHeight="1" s="322">
      <c r="A746" s="267" t="n"/>
    </row>
    <row r="747" ht="12.75" customHeight="1" s="322">
      <c r="A747" s="267" t="n"/>
    </row>
    <row r="748" ht="12.75" customHeight="1" s="322">
      <c r="A748" s="267" t="n"/>
    </row>
    <row r="749" ht="12.75" customHeight="1" s="322">
      <c r="A749" s="267" t="n"/>
    </row>
    <row r="750" ht="12.75" customHeight="1" s="322">
      <c r="A750" s="267" t="n"/>
    </row>
    <row r="751" ht="12.75" customHeight="1" s="322">
      <c r="A751" s="267" t="n"/>
    </row>
    <row r="752" ht="12.75" customHeight="1" s="322">
      <c r="A752" s="267" t="n"/>
    </row>
    <row r="753" ht="12.75" customHeight="1" s="322">
      <c r="A753" s="267" t="n"/>
    </row>
    <row r="754" ht="12.75" customHeight="1" s="322">
      <c r="A754" s="267" t="n"/>
    </row>
    <row r="755" ht="12.75" customHeight="1" s="322">
      <c r="A755" s="267" t="n"/>
    </row>
    <row r="756" ht="12.75" customHeight="1" s="322">
      <c r="A756" s="267" t="n"/>
    </row>
    <row r="757" ht="12.75" customHeight="1" s="322">
      <c r="A757" s="267" t="n"/>
    </row>
    <row r="758" ht="12.75" customHeight="1" s="322">
      <c r="A758" s="267" t="n"/>
    </row>
    <row r="759" ht="12.75" customHeight="1" s="322">
      <c r="A759" s="267" t="n"/>
    </row>
    <row r="760" ht="12.75" customHeight="1" s="322">
      <c r="A760" s="267" t="n"/>
    </row>
    <row r="761" ht="12.75" customHeight="1" s="322">
      <c r="A761" s="267" t="n"/>
    </row>
    <row r="762" ht="12.75" customHeight="1" s="322">
      <c r="A762" s="267" t="n"/>
    </row>
    <row r="763" ht="12.75" customHeight="1" s="322">
      <c r="A763" s="267" t="n"/>
    </row>
    <row r="764" ht="12.75" customHeight="1" s="322">
      <c r="A764" s="267" t="n"/>
    </row>
    <row r="765" ht="12.75" customHeight="1" s="322">
      <c r="A765" s="267" t="n"/>
    </row>
    <row r="766" ht="12.75" customHeight="1" s="322">
      <c r="A766" s="267" t="n"/>
    </row>
    <row r="767" ht="12.75" customHeight="1" s="322">
      <c r="A767" s="267" t="n"/>
    </row>
    <row r="768" ht="12.75" customHeight="1" s="322">
      <c r="A768" s="267" t="n"/>
    </row>
    <row r="769" ht="12.75" customHeight="1" s="322">
      <c r="A769" s="267" t="n"/>
    </row>
    <row r="770" ht="12.75" customHeight="1" s="322">
      <c r="A770" s="267" t="n"/>
    </row>
    <row r="771" ht="12.75" customHeight="1" s="322">
      <c r="A771" s="267" t="n"/>
    </row>
    <row r="772" ht="12.75" customHeight="1" s="322">
      <c r="A772" s="267" t="n"/>
    </row>
    <row r="773" ht="12.75" customHeight="1" s="322">
      <c r="A773" s="267" t="n"/>
    </row>
    <row r="774" ht="12.75" customHeight="1" s="322">
      <c r="A774" s="267" t="n"/>
    </row>
    <row r="775" ht="12.75" customHeight="1" s="322">
      <c r="A775" s="267" t="n"/>
    </row>
    <row r="776" ht="12.75" customHeight="1" s="322">
      <c r="A776" s="267" t="n"/>
    </row>
    <row r="777" ht="12.75" customHeight="1" s="322">
      <c r="A777" s="267" t="n"/>
    </row>
    <row r="778" ht="12.75" customHeight="1" s="322">
      <c r="A778" s="267" t="n"/>
    </row>
    <row r="779" ht="12.75" customHeight="1" s="322">
      <c r="A779" s="267" t="n"/>
    </row>
    <row r="780" ht="12.75" customHeight="1" s="322">
      <c r="A780" s="267" t="n"/>
    </row>
    <row r="781" ht="12.75" customHeight="1" s="322">
      <c r="A781" s="267" t="n"/>
    </row>
    <row r="782" ht="12.75" customHeight="1" s="322">
      <c r="A782" s="267" t="n"/>
    </row>
    <row r="783" ht="12.75" customHeight="1" s="322">
      <c r="A783" s="267" t="n"/>
    </row>
    <row r="784" ht="12.75" customHeight="1" s="322">
      <c r="A784" s="267" t="n"/>
    </row>
    <row r="785" ht="12.75" customHeight="1" s="322">
      <c r="A785" s="267" t="n"/>
    </row>
    <row r="786" ht="12.75" customHeight="1" s="322">
      <c r="A786" s="267" t="n"/>
    </row>
    <row r="787" ht="12.75" customHeight="1" s="322">
      <c r="A787" s="267" t="n"/>
    </row>
    <row r="788" ht="12.75" customHeight="1" s="322">
      <c r="A788" s="267" t="n"/>
    </row>
    <row r="789" ht="12.75" customHeight="1" s="322">
      <c r="A789" s="267" t="n"/>
    </row>
    <row r="790" ht="12.75" customHeight="1" s="322">
      <c r="A790" s="267" t="n"/>
    </row>
    <row r="791" ht="12.75" customHeight="1" s="322">
      <c r="A791" s="267" t="n"/>
    </row>
    <row r="792" ht="12.75" customHeight="1" s="322">
      <c r="A792" s="267" t="n"/>
    </row>
    <row r="793" ht="12.75" customHeight="1" s="322">
      <c r="A793" s="267" t="n"/>
    </row>
    <row r="794" ht="12.75" customHeight="1" s="322">
      <c r="A794" s="267" t="n"/>
    </row>
    <row r="795" ht="12.75" customHeight="1" s="322">
      <c r="A795" s="267" t="n"/>
    </row>
    <row r="796" ht="12.75" customHeight="1" s="322">
      <c r="A796" s="267" t="n"/>
    </row>
    <row r="797" ht="12.75" customHeight="1" s="322">
      <c r="A797" s="267" t="n"/>
    </row>
    <row r="798" ht="12.75" customHeight="1" s="322">
      <c r="A798" s="267" t="n"/>
    </row>
    <row r="799" ht="12.75" customHeight="1" s="322">
      <c r="A799" s="267" t="n"/>
    </row>
    <row r="800" ht="12.75" customHeight="1" s="322">
      <c r="A800" s="267" t="n"/>
    </row>
    <row r="801" ht="12.75" customHeight="1" s="322">
      <c r="A801" s="267" t="n"/>
    </row>
    <row r="802" ht="12.75" customHeight="1" s="322">
      <c r="A802" s="267" t="n"/>
    </row>
    <row r="803" ht="12.75" customHeight="1" s="322">
      <c r="A803" s="267" t="n"/>
    </row>
    <row r="804" ht="12.75" customHeight="1" s="322">
      <c r="A804" s="267" t="n"/>
    </row>
    <row r="805" ht="12.75" customHeight="1" s="322">
      <c r="A805" s="267" t="n"/>
    </row>
    <row r="806" ht="12.75" customHeight="1" s="322">
      <c r="A806" s="267" t="n"/>
    </row>
    <row r="807" ht="12.75" customHeight="1" s="322">
      <c r="A807" s="267" t="n"/>
    </row>
    <row r="808" ht="12.75" customHeight="1" s="322">
      <c r="A808" s="267" t="n"/>
    </row>
    <row r="809" ht="12.75" customHeight="1" s="322">
      <c r="A809" s="267" t="n"/>
    </row>
    <row r="810" ht="12.75" customHeight="1" s="322">
      <c r="A810" s="267" t="n"/>
    </row>
    <row r="811" ht="12.75" customHeight="1" s="322">
      <c r="A811" s="267" t="n"/>
    </row>
    <row r="812" ht="12.75" customHeight="1" s="322">
      <c r="A812" s="267" t="n"/>
    </row>
    <row r="813" ht="12.75" customHeight="1" s="322">
      <c r="A813" s="267" t="n"/>
    </row>
    <row r="814" ht="12.75" customHeight="1" s="322">
      <c r="A814" s="267" t="n"/>
    </row>
    <row r="815" ht="12.75" customHeight="1" s="322">
      <c r="A815" s="267" t="n"/>
    </row>
    <row r="816" ht="12.75" customHeight="1" s="322">
      <c r="A816" s="267" t="n"/>
    </row>
    <row r="817" ht="12.75" customHeight="1" s="322">
      <c r="A817" s="267" t="n"/>
    </row>
    <row r="818" ht="12.75" customHeight="1" s="322">
      <c r="A818" s="267" t="n"/>
    </row>
    <row r="819" ht="12.75" customHeight="1" s="322">
      <c r="A819" s="267" t="n"/>
    </row>
    <row r="820" ht="12.75" customHeight="1" s="322">
      <c r="A820" s="267" t="n"/>
    </row>
    <row r="821" ht="12.75" customHeight="1" s="322">
      <c r="A821" s="267" t="n"/>
    </row>
    <row r="822" ht="12.75" customHeight="1" s="322">
      <c r="A822" s="267" t="n"/>
    </row>
    <row r="823" ht="12.75" customHeight="1" s="322">
      <c r="A823" s="267" t="n"/>
    </row>
    <row r="824" ht="12.75" customHeight="1" s="322">
      <c r="A824" s="267" t="n"/>
    </row>
    <row r="825" ht="12.75" customHeight="1" s="322">
      <c r="A825" s="267" t="n"/>
    </row>
    <row r="826" ht="12.75" customHeight="1" s="322">
      <c r="A826" s="267" t="n"/>
    </row>
    <row r="827" ht="12.75" customHeight="1" s="322">
      <c r="A827" s="267" t="n"/>
    </row>
    <row r="828" ht="12.75" customHeight="1" s="322">
      <c r="A828" s="267" t="n"/>
    </row>
    <row r="829" ht="12.75" customHeight="1" s="322">
      <c r="A829" s="267" t="n"/>
    </row>
    <row r="830" ht="12.75" customHeight="1" s="322">
      <c r="A830" s="267" t="n"/>
    </row>
    <row r="831" ht="12.75" customHeight="1" s="322">
      <c r="A831" s="267" t="n"/>
    </row>
    <row r="832" ht="12.75" customHeight="1" s="322">
      <c r="A832" s="267" t="n"/>
    </row>
    <row r="833" ht="12.75" customHeight="1" s="322">
      <c r="A833" s="267" t="n"/>
    </row>
    <row r="834" ht="12.75" customHeight="1" s="322">
      <c r="A834" s="267" t="n"/>
    </row>
    <row r="835" ht="12.75" customHeight="1" s="322">
      <c r="A835" s="267" t="n"/>
    </row>
    <row r="836" ht="12.75" customHeight="1" s="322">
      <c r="A836" s="267" t="n"/>
    </row>
    <row r="837" ht="12.75" customHeight="1" s="322">
      <c r="A837" s="267" t="n"/>
    </row>
    <row r="838" ht="12.75" customHeight="1" s="322">
      <c r="A838" s="267" t="n"/>
    </row>
    <row r="839" ht="12.75" customHeight="1" s="322">
      <c r="A839" s="267" t="n"/>
    </row>
    <row r="840" ht="12.75" customHeight="1" s="322">
      <c r="A840" s="267" t="n"/>
    </row>
    <row r="841" ht="12.75" customHeight="1" s="322">
      <c r="A841" s="267" t="n"/>
    </row>
    <row r="842" ht="12.75" customHeight="1" s="322">
      <c r="A842" s="267" t="n"/>
    </row>
    <row r="843" ht="12.75" customHeight="1" s="322">
      <c r="A843" s="267" t="n"/>
    </row>
    <row r="844" ht="12.75" customHeight="1" s="322">
      <c r="A844" s="267" t="n"/>
    </row>
    <row r="845" ht="12.75" customHeight="1" s="322">
      <c r="A845" s="267" t="n"/>
    </row>
    <row r="846" ht="12.75" customHeight="1" s="322">
      <c r="A846" s="267" t="n"/>
    </row>
    <row r="847" ht="12.75" customHeight="1" s="322">
      <c r="A847" s="267" t="n"/>
    </row>
    <row r="848" ht="12.75" customHeight="1" s="322">
      <c r="A848" s="267" t="n"/>
    </row>
    <row r="849" ht="12.75" customHeight="1" s="322">
      <c r="A849" s="267" t="n"/>
    </row>
    <row r="850" ht="12.75" customHeight="1" s="322">
      <c r="A850" s="267" t="n"/>
    </row>
    <row r="851" ht="12.75" customHeight="1" s="322">
      <c r="A851" s="267" t="n"/>
    </row>
    <row r="852" ht="12.75" customHeight="1" s="322">
      <c r="A852" s="267" t="n"/>
    </row>
    <row r="853" ht="12.75" customHeight="1" s="322">
      <c r="A853" s="267" t="n"/>
    </row>
    <row r="854" ht="12.75" customHeight="1" s="322">
      <c r="A854" s="267" t="n"/>
    </row>
    <row r="855" ht="12.75" customHeight="1" s="322">
      <c r="A855" s="267" t="n"/>
    </row>
    <row r="856" ht="12.75" customHeight="1" s="322">
      <c r="A856" s="267" t="n"/>
    </row>
    <row r="857" ht="12.75" customHeight="1" s="322">
      <c r="A857" s="267" t="n"/>
    </row>
    <row r="858" ht="12.75" customHeight="1" s="322">
      <c r="A858" s="267" t="n"/>
    </row>
    <row r="859" ht="12.75" customHeight="1" s="322">
      <c r="A859" s="267" t="n"/>
    </row>
    <row r="860" ht="12.75" customHeight="1" s="322">
      <c r="A860" s="267" t="n"/>
    </row>
    <row r="861" ht="12.75" customHeight="1" s="322">
      <c r="A861" s="267" t="n"/>
    </row>
    <row r="862" ht="12.75" customHeight="1" s="322">
      <c r="A862" s="267" t="n"/>
    </row>
    <row r="863" ht="12.75" customHeight="1" s="322">
      <c r="A863" s="267" t="n"/>
    </row>
    <row r="864" ht="12.75" customHeight="1" s="322">
      <c r="A864" s="267" t="n"/>
    </row>
    <row r="865" ht="12.75" customHeight="1" s="322">
      <c r="A865" s="267" t="n"/>
    </row>
    <row r="866" ht="12.75" customHeight="1" s="322">
      <c r="A866" s="267" t="n"/>
    </row>
    <row r="867" ht="12.75" customHeight="1" s="322">
      <c r="A867" s="267" t="n"/>
    </row>
    <row r="868" ht="12.75" customHeight="1" s="322">
      <c r="A868" s="267" t="n"/>
    </row>
    <row r="869" ht="12.75" customHeight="1" s="322">
      <c r="A869" s="267" t="n"/>
    </row>
    <row r="870" ht="12.75" customHeight="1" s="322">
      <c r="A870" s="267" t="n"/>
    </row>
    <row r="871" ht="12.75" customHeight="1" s="322">
      <c r="A871" s="267" t="n"/>
    </row>
    <row r="872" ht="12.75" customHeight="1" s="322">
      <c r="A872" s="267" t="n"/>
    </row>
    <row r="873" ht="12.75" customHeight="1" s="322">
      <c r="A873" s="267" t="n"/>
    </row>
    <row r="874" ht="12.75" customHeight="1" s="322">
      <c r="A874" s="267" t="n"/>
    </row>
    <row r="875" ht="12.75" customHeight="1" s="322">
      <c r="A875" s="267" t="n"/>
    </row>
    <row r="876" ht="12.75" customHeight="1" s="322">
      <c r="A876" s="267" t="n"/>
    </row>
    <row r="877" ht="12.75" customHeight="1" s="322">
      <c r="A877" s="267" t="n"/>
    </row>
    <row r="878" ht="12.75" customHeight="1" s="322">
      <c r="A878" s="267" t="n"/>
    </row>
    <row r="879" ht="12.75" customHeight="1" s="322">
      <c r="A879" s="267" t="n"/>
    </row>
    <row r="880" ht="12.75" customHeight="1" s="322">
      <c r="A880" s="267" t="n"/>
    </row>
    <row r="881" ht="12.75" customHeight="1" s="322">
      <c r="A881" s="267" t="n"/>
    </row>
    <row r="882" ht="12.75" customHeight="1" s="322">
      <c r="A882" s="267" t="n"/>
    </row>
    <row r="883" ht="12.75" customHeight="1" s="322">
      <c r="A883" s="267" t="n"/>
    </row>
    <row r="884" ht="12.75" customHeight="1" s="322">
      <c r="A884" s="267" t="n"/>
    </row>
    <row r="885" ht="12.75" customHeight="1" s="322">
      <c r="A885" s="267" t="n"/>
    </row>
    <row r="886" ht="12.75" customHeight="1" s="322">
      <c r="A886" s="267" t="n"/>
    </row>
    <row r="887" ht="12.75" customHeight="1" s="322">
      <c r="A887" s="267" t="n"/>
    </row>
    <row r="888" ht="12.75" customHeight="1" s="322">
      <c r="A888" s="267" t="n"/>
    </row>
    <row r="889" ht="12.75" customHeight="1" s="322">
      <c r="A889" s="267" t="n"/>
    </row>
    <row r="890" ht="12.75" customHeight="1" s="322">
      <c r="A890" s="267" t="n"/>
    </row>
    <row r="891" ht="12.75" customHeight="1" s="322">
      <c r="A891" s="267" t="n"/>
    </row>
    <row r="892" ht="12.75" customHeight="1" s="322">
      <c r="A892" s="267" t="n"/>
    </row>
    <row r="893" ht="12.75" customHeight="1" s="322">
      <c r="A893" s="267" t="n"/>
    </row>
    <row r="894" ht="12.75" customHeight="1" s="322">
      <c r="A894" s="267" t="n"/>
    </row>
    <row r="895" ht="12.75" customHeight="1" s="322">
      <c r="A895" s="267" t="n"/>
    </row>
    <row r="896" ht="12.75" customHeight="1" s="322">
      <c r="A896" s="267" t="n"/>
    </row>
    <row r="897" ht="12.75" customHeight="1" s="322">
      <c r="A897" s="267" t="n"/>
    </row>
    <row r="898" ht="12.75" customHeight="1" s="322">
      <c r="A898" s="267" t="n"/>
    </row>
    <row r="899" ht="12.75" customHeight="1" s="322">
      <c r="A899" s="267" t="n"/>
    </row>
    <row r="900" ht="12.75" customHeight="1" s="322">
      <c r="A900" s="267" t="n"/>
    </row>
    <row r="901" ht="12.75" customHeight="1" s="322">
      <c r="A901" s="267" t="n"/>
    </row>
    <row r="902" ht="12.75" customHeight="1" s="322">
      <c r="A902" s="267" t="n"/>
    </row>
    <row r="903" ht="12.75" customHeight="1" s="322">
      <c r="A903" s="267" t="n"/>
    </row>
    <row r="904" ht="12.75" customHeight="1" s="322">
      <c r="A904" s="267" t="n"/>
    </row>
    <row r="905" ht="12.75" customHeight="1" s="322">
      <c r="A905" s="267" t="n"/>
    </row>
    <row r="906" ht="12.75" customHeight="1" s="322">
      <c r="A906" s="267" t="n"/>
    </row>
    <row r="907" ht="12.75" customHeight="1" s="322">
      <c r="A907" s="267" t="n"/>
    </row>
    <row r="908" ht="12.75" customHeight="1" s="322">
      <c r="A908" s="267" t="n"/>
    </row>
    <row r="909" ht="12.75" customHeight="1" s="322">
      <c r="A909" s="267" t="n"/>
    </row>
    <row r="910" ht="12.75" customHeight="1" s="322">
      <c r="A910" s="267" t="n"/>
    </row>
    <row r="911" ht="12.75" customHeight="1" s="322">
      <c r="A911" s="267" t="n"/>
    </row>
    <row r="912" ht="12.75" customHeight="1" s="322">
      <c r="A912" s="267" t="n"/>
    </row>
    <row r="913" ht="12.75" customHeight="1" s="322">
      <c r="A913" s="267" t="n"/>
    </row>
    <row r="914" ht="12.75" customHeight="1" s="322">
      <c r="A914" s="267" t="n"/>
    </row>
    <row r="915" ht="12.75" customHeight="1" s="322">
      <c r="A915" s="267" t="n"/>
    </row>
    <row r="916" ht="12.75" customHeight="1" s="322">
      <c r="A916" s="267" t="n"/>
    </row>
    <row r="917" ht="12.75" customHeight="1" s="322">
      <c r="A917" s="267" t="n"/>
    </row>
    <row r="918" ht="12.75" customHeight="1" s="322">
      <c r="A918" s="267" t="n"/>
    </row>
    <row r="919" ht="12.75" customHeight="1" s="322">
      <c r="A919" s="267" t="n"/>
    </row>
    <row r="920" ht="12.75" customHeight="1" s="322">
      <c r="A920" s="267" t="n"/>
    </row>
    <row r="921" ht="12.75" customHeight="1" s="322">
      <c r="A921" s="267" t="n"/>
    </row>
    <row r="922" ht="12.75" customHeight="1" s="322">
      <c r="A922" s="267" t="n"/>
    </row>
    <row r="923" ht="12.75" customHeight="1" s="322">
      <c r="A923" s="267" t="n"/>
    </row>
    <row r="924" ht="12.75" customHeight="1" s="322">
      <c r="A924" s="267" t="n"/>
    </row>
    <row r="925" ht="12.75" customHeight="1" s="322">
      <c r="A925" s="267" t="n"/>
    </row>
    <row r="926" ht="12.75" customHeight="1" s="322">
      <c r="A926" s="267" t="n"/>
    </row>
    <row r="927" ht="12.75" customHeight="1" s="322">
      <c r="A927" s="267" t="n"/>
    </row>
    <row r="928" ht="12.75" customHeight="1" s="322">
      <c r="A928" s="267" t="n"/>
    </row>
    <row r="929" ht="12.75" customHeight="1" s="322">
      <c r="A929" s="267" t="n"/>
    </row>
    <row r="930" ht="12.75" customHeight="1" s="322">
      <c r="A930" s="267" t="n"/>
    </row>
    <row r="931" ht="12.75" customHeight="1" s="322">
      <c r="A931" s="267" t="n"/>
    </row>
    <row r="932" ht="12.75" customHeight="1" s="322">
      <c r="A932" s="267" t="n"/>
    </row>
    <row r="933" ht="12.75" customHeight="1" s="322">
      <c r="A933" s="267" t="n"/>
    </row>
    <row r="934" ht="12.75" customHeight="1" s="322">
      <c r="A934" s="267" t="n"/>
    </row>
    <row r="935" ht="12.75" customHeight="1" s="322">
      <c r="A935" s="267" t="n"/>
    </row>
    <row r="936" ht="12.75" customHeight="1" s="322">
      <c r="A936" s="267" t="n"/>
    </row>
    <row r="937" ht="12.75" customHeight="1" s="322">
      <c r="A937" s="267" t="n"/>
    </row>
    <row r="938" ht="12.75" customHeight="1" s="322">
      <c r="A938" s="267" t="n"/>
    </row>
    <row r="939" ht="12.75" customHeight="1" s="322">
      <c r="A939" s="267" t="n"/>
    </row>
    <row r="940" ht="12.75" customHeight="1" s="322">
      <c r="A940" s="267" t="n"/>
    </row>
    <row r="941" ht="12.75" customHeight="1" s="322">
      <c r="A941" s="267" t="n"/>
    </row>
    <row r="942" ht="12.75" customHeight="1" s="322">
      <c r="A942" s="267" t="n"/>
    </row>
    <row r="943" ht="12.75" customHeight="1" s="322">
      <c r="A943" s="267" t="n"/>
    </row>
    <row r="944" ht="12.75" customHeight="1" s="322">
      <c r="A944" s="267" t="n"/>
    </row>
    <row r="945" ht="12.75" customHeight="1" s="322">
      <c r="A945" s="267" t="n"/>
    </row>
    <row r="946" ht="12.75" customHeight="1" s="322">
      <c r="A946" s="267" t="n"/>
    </row>
    <row r="947" ht="12.75" customHeight="1" s="322">
      <c r="A947" s="267" t="n"/>
    </row>
    <row r="948" ht="12.75" customHeight="1" s="322">
      <c r="A948" s="267" t="n"/>
    </row>
    <row r="949" ht="12.75" customHeight="1" s="322">
      <c r="A949" s="267" t="n"/>
    </row>
    <row r="950" ht="12.75" customHeight="1" s="322">
      <c r="A950" s="267" t="n"/>
    </row>
    <row r="951" ht="12.75" customHeight="1" s="322">
      <c r="A951" s="267" t="n"/>
    </row>
    <row r="952" ht="12.75" customHeight="1" s="322">
      <c r="A952" s="267" t="n"/>
    </row>
    <row r="953" ht="12.75" customHeight="1" s="322">
      <c r="A953" s="267" t="n"/>
    </row>
    <row r="954" ht="12.75" customHeight="1" s="322">
      <c r="A954" s="267" t="n"/>
    </row>
    <row r="955" ht="12.75" customHeight="1" s="322">
      <c r="A955" s="267" t="n"/>
    </row>
    <row r="956" ht="12.75" customHeight="1" s="322">
      <c r="A956" s="267" t="n"/>
    </row>
    <row r="957" ht="12.75" customHeight="1" s="322">
      <c r="A957" s="267" t="n"/>
    </row>
    <row r="958" ht="12.75" customHeight="1" s="322">
      <c r="A958" s="267" t="n"/>
    </row>
    <row r="959" ht="12.75" customHeight="1" s="322">
      <c r="A959" s="267" t="n"/>
    </row>
    <row r="960" ht="12.75" customHeight="1" s="322">
      <c r="A960" s="267" t="n"/>
    </row>
    <row r="961" ht="12.75" customHeight="1" s="322">
      <c r="A961" s="267" t="n"/>
    </row>
    <row r="962" ht="12.75" customHeight="1" s="322">
      <c r="A962" s="267" t="n"/>
    </row>
    <row r="963" ht="12.75" customHeight="1" s="322">
      <c r="A963" s="267" t="n"/>
    </row>
    <row r="964" ht="12.75" customHeight="1" s="322">
      <c r="A964" s="267" t="n"/>
    </row>
    <row r="965" ht="12.75" customHeight="1" s="322">
      <c r="A965" s="267" t="n"/>
    </row>
    <row r="966" ht="12.75" customHeight="1" s="322">
      <c r="A966" s="267" t="n"/>
    </row>
    <row r="967" ht="12.75" customHeight="1" s="322">
      <c r="A967" s="267" t="n"/>
    </row>
    <row r="968" ht="12.75" customHeight="1" s="322">
      <c r="A968" s="267" t="n"/>
    </row>
    <row r="969" ht="12.75" customHeight="1" s="322">
      <c r="A969" s="267" t="n"/>
    </row>
    <row r="970" ht="12.75" customHeight="1" s="322">
      <c r="A970" s="267" t="n"/>
    </row>
    <row r="971" ht="12.75" customHeight="1" s="322">
      <c r="A971" s="267" t="n"/>
    </row>
    <row r="972" ht="12.75" customHeight="1" s="322">
      <c r="A972" s="267" t="n"/>
    </row>
    <row r="973" ht="12.75" customHeight="1" s="322">
      <c r="A973" s="267" t="n"/>
    </row>
    <row r="974" ht="12.75" customHeight="1" s="322">
      <c r="A974" s="267" t="n"/>
    </row>
    <row r="975" ht="12.75" customHeight="1" s="322">
      <c r="A975" s="267" t="n"/>
    </row>
    <row r="976" ht="12.75" customHeight="1" s="322">
      <c r="A976" s="267" t="n"/>
    </row>
    <row r="977" ht="12.75" customHeight="1" s="322">
      <c r="A977" s="267" t="n"/>
    </row>
    <row r="978" ht="12.75" customHeight="1" s="322">
      <c r="A978" s="267" t="n"/>
    </row>
    <row r="979" ht="12.75" customHeight="1" s="322">
      <c r="A979" s="267" t="n"/>
    </row>
    <row r="980" ht="12.75" customHeight="1" s="322">
      <c r="A980" s="267" t="n"/>
    </row>
    <row r="981" ht="12.75" customHeight="1" s="322">
      <c r="A981" s="267" t="n"/>
    </row>
    <row r="982" ht="12.75" customHeight="1" s="322">
      <c r="A982" s="267" t="n"/>
    </row>
    <row r="983" ht="12.75" customHeight="1" s="322">
      <c r="A983" s="267" t="n"/>
    </row>
    <row r="984" ht="12.75" customHeight="1" s="322">
      <c r="A984" s="267" t="n"/>
    </row>
    <row r="985" ht="12.75" customHeight="1" s="322">
      <c r="A985" s="267" t="n"/>
    </row>
    <row r="986" ht="12.75" customHeight="1" s="322">
      <c r="A986" s="267" t="n"/>
    </row>
    <row r="987" ht="12.75" customHeight="1" s="322">
      <c r="A987" s="267" t="n"/>
    </row>
    <row r="988" ht="12.75" customHeight="1" s="322">
      <c r="A988" s="267" t="n"/>
    </row>
    <row r="989" ht="12.75" customHeight="1" s="322">
      <c r="A989" s="267" t="n"/>
    </row>
    <row r="990" ht="12.75" customHeight="1" s="322">
      <c r="A990" s="267" t="n"/>
    </row>
    <row r="991" ht="12.75" customHeight="1" s="322">
      <c r="A991" s="267" t="n"/>
    </row>
    <row r="992" ht="12.75" customHeight="1" s="322">
      <c r="A992" s="267" t="n"/>
    </row>
    <row r="993" ht="12.75" customHeight="1" s="322">
      <c r="A993" s="267" t="n"/>
    </row>
    <row r="994" ht="12.75" customHeight="1" s="322">
      <c r="A994" s="267" t="n"/>
    </row>
    <row r="995" ht="12.75" customHeight="1" s="322">
      <c r="A995" s="267" t="n"/>
    </row>
    <row r="996" ht="12.75" customHeight="1" s="322">
      <c r="A996" s="267" t="n"/>
    </row>
    <row r="997" ht="12.75" customHeight="1" s="322">
      <c r="A997" s="267" t="n"/>
    </row>
    <row r="998" ht="12.75" customHeight="1" s="322">
      <c r="A998" s="267" t="n"/>
    </row>
    <row r="999" ht="12.75" customHeight="1" s="322">
      <c r="A999" s="267" t="n"/>
    </row>
    <row r="1000" ht="12.75" customHeight="1" s="322">
      <c r="A1000" s="267" t="n"/>
    </row>
    <row r="1001" ht="12.75" customHeight="1" s="322">
      <c r="A1001" s="267" t="n"/>
    </row>
    <row r="1002" ht="12.75" customHeight="1" s="322">
      <c r="A1002" s="267" t="n"/>
    </row>
    <row r="1003" ht="12.75" customHeight="1" s="322">
      <c r="A1003" s="267" t="n"/>
    </row>
    <row r="1004" ht="12.75" customHeight="1" s="322">
      <c r="A1004" s="267" t="n"/>
    </row>
    <row r="1005" ht="12.75" customHeight="1" s="322">
      <c r="A1005" s="267" t="n"/>
    </row>
    <row r="1006" ht="12.75" customHeight="1" s="322">
      <c r="A1006" s="267" t="n"/>
    </row>
    <row r="1007" ht="12.75" customHeight="1" s="322">
      <c r="A1007" s="267" t="n"/>
    </row>
    <row r="1008" ht="12.75" customHeight="1" s="322">
      <c r="A1008" s="267" t="n"/>
    </row>
    <row r="1009" ht="12.75" customHeight="1" s="322">
      <c r="A1009" s="267" t="n"/>
    </row>
    <row r="1010" ht="12.75" customHeight="1" s="322">
      <c r="A1010" s="267" t="n"/>
    </row>
    <row r="1011" ht="12.75" customHeight="1" s="322">
      <c r="A1011" s="267" t="n"/>
    </row>
    <row r="1012" ht="12.75" customHeight="1" s="322">
      <c r="A1012" s="267" t="n"/>
    </row>
    <row r="1013" ht="12.75" customHeight="1" s="322">
      <c r="A1013" s="267" t="n"/>
    </row>
    <row r="1014" ht="12.75" customHeight="1" s="322">
      <c r="A1014" s="26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2026-07-30T04:37:41Z</dcterms:created>
  <dcterms:modified xsi:type="dcterms:W3CDTF">2026-07-30T05:00:12Z</dcterms:modified>
  <cp:lastModifiedBy>김용(YONG KIM)[yong.kim]</cp:lastModifiedBy>
</cp:coreProperties>
</file>